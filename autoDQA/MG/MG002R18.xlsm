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fileSharing readOnlyRecommended="1"/>
  <workbookPr codeName="ThisWorkbook" defaultThemeVersion="124226"/>
  <bookViews>
    <workbookView xWindow="240" yWindow="225" windowWidth="14805" windowHeight="7890"/>
  </bookViews>
  <sheets>
    <sheet name="Senaste kontroll" sheetId="2" r:id="rId1"/>
    <sheet name="Data" sheetId="1" r:id="rId2"/>
    <sheet name="DICOM-taggar" sheetId="3" r:id="rId3"/>
  </sheets>
  <definedNames>
    <definedName name="Datatabell">Tabell1[]</definedName>
  </definedNames>
  <calcPr calcId="145621"/>
</workbook>
</file>

<file path=xl/calcChain.xml><?xml version="1.0" encoding="utf-8"?>
<calcChain xmlns="http://schemas.openxmlformats.org/spreadsheetml/2006/main">
  <c r="Q29" i="1" l="1"/>
  <c r="R29" i="1"/>
  <c r="S29" i="1"/>
  <c r="T29" i="1"/>
  <c r="U29" i="1"/>
  <c r="Q28" i="1" l="1"/>
  <c r="S28" i="1" s="1"/>
  <c r="R28" i="1"/>
  <c r="T28" i="1"/>
  <c r="U28" i="1" l="1"/>
  <c r="Q27" i="1"/>
  <c r="S27" i="1" s="1"/>
  <c r="R27" i="1"/>
  <c r="T27" i="1"/>
  <c r="U27" i="1" l="1"/>
  <c r="Q26" i="1"/>
  <c r="S26" i="1" s="1"/>
  <c r="R26" i="1"/>
  <c r="T26" i="1"/>
  <c r="U26" i="1" l="1"/>
  <c r="Q25" i="1"/>
  <c r="S25" i="1" s="1"/>
  <c r="R25" i="1"/>
  <c r="T25" i="1"/>
  <c r="U25" i="1" l="1"/>
  <c r="Q24" i="1"/>
  <c r="S24" i="1" s="1"/>
  <c r="R24" i="1"/>
  <c r="T24" i="1"/>
  <c r="U24" i="1" l="1"/>
  <c r="Q23" i="1"/>
  <c r="S23" i="1" s="1"/>
  <c r="R23" i="1"/>
  <c r="T23" i="1"/>
  <c r="U23" i="1" l="1"/>
  <c r="Q22" i="1" l="1"/>
  <c r="U22" i="1" s="1"/>
  <c r="R22" i="1"/>
  <c r="T22" i="1"/>
  <c r="S22" i="1" l="1"/>
  <c r="Q21" i="1"/>
  <c r="U21" i="1" s="1"/>
  <c r="R21" i="1"/>
  <c r="T21" i="1"/>
  <c r="S21" i="1" l="1"/>
  <c r="Q20" i="1"/>
  <c r="S20" i="1" s="1"/>
  <c r="R20" i="1"/>
  <c r="T20" i="1"/>
  <c r="U20" i="1" l="1"/>
  <c r="Q19" i="1"/>
  <c r="S19" i="1" s="1"/>
  <c r="R19" i="1"/>
  <c r="T19" i="1"/>
  <c r="U19" i="1" l="1"/>
  <c r="Q18" i="1"/>
  <c r="S18" i="1" s="1"/>
  <c r="R18" i="1"/>
  <c r="T18" i="1"/>
  <c r="U18" i="1" l="1"/>
  <c r="Q17" i="1"/>
  <c r="S17" i="1" s="1"/>
  <c r="R17" i="1"/>
  <c r="T17" i="1"/>
  <c r="U17" i="1" l="1"/>
  <c r="Q16" i="1"/>
  <c r="S16" i="1" s="1"/>
  <c r="R16" i="1"/>
  <c r="T16" i="1"/>
  <c r="U16" i="1" l="1"/>
  <c r="Q15" i="1"/>
  <c r="S15" i="1" s="1"/>
  <c r="R15" i="1"/>
  <c r="T15" i="1"/>
  <c r="U15" i="1" l="1"/>
  <c r="Q14" i="1" l="1"/>
  <c r="S14" i="1" s="1"/>
  <c r="R14" i="1"/>
  <c r="T14" i="1"/>
  <c r="U14" i="1" l="1"/>
  <c r="Q13" i="1"/>
  <c r="U13" i="1" s="1"/>
  <c r="R13" i="1"/>
  <c r="T13" i="1"/>
  <c r="S13" i="1" l="1"/>
  <c r="Q12" i="1"/>
  <c r="U12" i="1" s="1"/>
  <c r="R12" i="1"/>
  <c r="T12" i="1"/>
  <c r="S12" i="1" l="1"/>
  <c r="Q11" i="1"/>
  <c r="S11" i="1" s="1"/>
  <c r="R11" i="1"/>
  <c r="T11" i="1"/>
  <c r="U11" i="1" l="1"/>
  <c r="Q10" i="1"/>
  <c r="S10" i="1" s="1"/>
  <c r="R10" i="1"/>
  <c r="T10" i="1"/>
  <c r="U10" i="1" l="1"/>
  <c r="Q9" i="1"/>
  <c r="U9" i="1" s="1"/>
  <c r="R9" i="1"/>
  <c r="T9" i="1"/>
  <c r="S9" i="1" l="1"/>
  <c r="Q7" i="1"/>
  <c r="S7" i="1" s="1"/>
  <c r="Q8" i="1"/>
  <c r="U8" i="1" s="1"/>
  <c r="R7" i="1"/>
  <c r="R8" i="1"/>
  <c r="T7" i="1"/>
  <c r="T8" i="1"/>
  <c r="AJ29" i="1" l="1"/>
  <c r="AK29" i="1"/>
  <c r="AJ28" i="1"/>
  <c r="AK28" i="1"/>
  <c r="AJ27" i="1"/>
  <c r="AK27" i="1"/>
  <c r="AJ26" i="1"/>
  <c r="AK26" i="1"/>
  <c r="AJ25" i="1"/>
  <c r="AK25" i="1"/>
  <c r="AJ24" i="1"/>
  <c r="AK24" i="1"/>
  <c r="AK23" i="1"/>
  <c r="AJ23" i="1"/>
  <c r="AJ22" i="1"/>
  <c r="AK22" i="1"/>
  <c r="AJ21" i="1"/>
  <c r="AK21" i="1"/>
  <c r="AJ20" i="1"/>
  <c r="AK20" i="1"/>
  <c r="AJ19" i="1"/>
  <c r="AK19" i="1"/>
  <c r="AJ18" i="1"/>
  <c r="AK18" i="1"/>
  <c r="AK17" i="1"/>
  <c r="AJ17" i="1"/>
  <c r="AJ16" i="1"/>
  <c r="AK16" i="1"/>
  <c r="AK15" i="1"/>
  <c r="AJ15" i="1"/>
  <c r="AJ14" i="1"/>
  <c r="AK14" i="1"/>
  <c r="AJ13" i="1"/>
  <c r="AK13" i="1"/>
  <c r="AJ12" i="1"/>
  <c r="AK12" i="1"/>
  <c r="AJ11" i="1"/>
  <c r="AK11" i="1"/>
  <c r="AJ10" i="1"/>
  <c r="AK10" i="1"/>
  <c r="AJ9" i="1"/>
  <c r="AK9" i="1"/>
  <c r="S8" i="1"/>
  <c r="AH9" i="1" s="1"/>
  <c r="U7" i="1"/>
  <c r="AI29" i="1" l="1"/>
  <c r="AH29" i="1"/>
  <c r="AI28" i="1"/>
  <c r="AH28" i="1"/>
  <c r="AI27" i="1"/>
  <c r="AH27" i="1"/>
  <c r="AI26" i="1"/>
  <c r="AH26" i="1"/>
  <c r="AH25" i="1"/>
  <c r="AI25" i="1"/>
  <c r="AI24" i="1"/>
  <c r="AH24" i="1"/>
  <c r="AH23" i="1"/>
  <c r="AI23" i="1"/>
  <c r="AI22" i="1"/>
  <c r="AH22" i="1"/>
  <c r="AI21" i="1"/>
  <c r="AH21" i="1"/>
  <c r="AH20" i="1"/>
  <c r="AI20" i="1"/>
  <c r="AH19" i="1"/>
  <c r="AI19" i="1"/>
  <c r="AI18" i="1"/>
  <c r="AH18" i="1"/>
  <c r="AH17" i="1"/>
  <c r="AI17" i="1"/>
  <c r="AI16" i="1"/>
  <c r="AH16" i="1"/>
  <c r="AH15" i="1"/>
  <c r="AI15" i="1"/>
  <c r="AH14" i="1"/>
  <c r="AI14" i="1"/>
  <c r="AH13" i="1"/>
  <c r="AI13" i="1"/>
  <c r="AH12" i="1"/>
  <c r="AI12" i="1"/>
  <c r="AI11" i="1"/>
  <c r="AH11" i="1"/>
  <c r="AH10" i="1"/>
  <c r="AI10" i="1"/>
  <c r="AI9" i="1"/>
  <c r="C3" i="2"/>
  <c r="AI8" i="1" l="1"/>
  <c r="AH7" i="1"/>
  <c r="AH8" i="1"/>
  <c r="AI7" i="1"/>
  <c r="AJ7" i="1"/>
  <c r="AJ8" i="1"/>
  <c r="AK7" i="1"/>
  <c r="AK8" i="1"/>
</calcChain>
</file>

<file path=xl/sharedStrings.xml><?xml version="1.0" encoding="utf-8"?>
<sst xmlns="http://schemas.openxmlformats.org/spreadsheetml/2006/main" count="251" uniqueCount="104">
  <si>
    <t>Datum</t>
  </si>
  <si>
    <t>DICOM-data</t>
  </si>
  <si>
    <t>ROI-data</t>
  </si>
  <si>
    <t>µ1</t>
  </si>
  <si>
    <t>µ2</t>
  </si>
  <si>
    <t>µ3</t>
  </si>
  <si>
    <t>stdev1</t>
  </si>
  <si>
    <t>stdev2</t>
  </si>
  <si>
    <t>stdev3</t>
  </si>
  <si>
    <t>Parameter</t>
  </si>
  <si>
    <t>Värde</t>
  </si>
  <si>
    <t>FOR PROCESSING</t>
  </si>
  <si>
    <t xml:space="preserve">Variationskoefficient (%): </t>
  </si>
  <si>
    <t>AUTOMATIC</t>
  </si>
  <si>
    <t>AOP dose</t>
  </si>
  <si>
    <t>µ4</t>
  </si>
  <si>
    <t>µ5</t>
  </si>
  <si>
    <t>µ6</t>
  </si>
  <si>
    <t>stdev4</t>
  </si>
  <si>
    <t>stdev5</t>
  </si>
  <si>
    <t>stdev6</t>
  </si>
  <si>
    <t>Station name</t>
  </si>
  <si>
    <t>RHODIUM</t>
  </si>
  <si>
    <t>Beräknade parametrar</t>
  </si>
  <si>
    <t>Gränsvärden</t>
  </si>
  <si>
    <t>HI_low</t>
  </si>
  <si>
    <t>VK_low</t>
  </si>
  <si>
    <t>HI_high</t>
  </si>
  <si>
    <t>VK_high</t>
  </si>
  <si>
    <t>Medelsignal</t>
  </si>
  <si>
    <t>Image Time</t>
  </si>
  <si>
    <t>Rörladdning (mAs):</t>
  </si>
  <si>
    <t>Station Name:</t>
  </si>
  <si>
    <t>Datum:</t>
  </si>
  <si>
    <t>Tid:</t>
  </si>
  <si>
    <t>AGD (mGy):</t>
  </si>
  <si>
    <t>Rörspänning (kV):</t>
  </si>
  <si>
    <t>Fokusstorlek (mm):</t>
  </si>
  <si>
    <t>Tjocklek (mm):</t>
  </si>
  <si>
    <t>Kompressionskraft (N):</t>
  </si>
  <si>
    <t>AEC:</t>
  </si>
  <si>
    <t>AEC-typ:</t>
  </si>
  <si>
    <t>Bildtyp:</t>
  </si>
  <si>
    <t>Tid</t>
  </si>
  <si>
    <t>Bildtyp</t>
  </si>
  <si>
    <t>Rörspänning
(kV)</t>
  </si>
  <si>
    <t>Rörladdning</t>
  </si>
  <si>
    <t>Rörladdning
(mAs)</t>
  </si>
  <si>
    <t>AGD
(mGy)</t>
  </si>
  <si>
    <t>Huddos
(mGy)</t>
  </si>
  <si>
    <t>Fokus
(mm)</t>
  </si>
  <si>
    <t>Anod</t>
  </si>
  <si>
    <t>Tjocklek
(mm)</t>
  </si>
  <si>
    <t>Kraft
(N)</t>
  </si>
  <si>
    <t>Filter</t>
  </si>
  <si>
    <t>AEC</t>
  </si>
  <si>
    <t>AEC-typ</t>
  </si>
  <si>
    <t>SNR</t>
  </si>
  <si>
    <t>Homogenitet
(%)</t>
  </si>
  <si>
    <t>Var.koeff
(%)</t>
  </si>
  <si>
    <t>Signal/mAs</t>
  </si>
  <si>
    <t>Tag nr</t>
  </si>
  <si>
    <t>DICOM-benämning</t>
  </si>
  <si>
    <t>MFT-benämning</t>
  </si>
  <si>
    <t>Station Name</t>
  </si>
  <si>
    <t>(0008,1010)</t>
  </si>
  <si>
    <t>(0008,0023)</t>
  </si>
  <si>
    <t>Image Date</t>
  </si>
  <si>
    <t>(0008,0033)</t>
  </si>
  <si>
    <t>(0008,0068)</t>
  </si>
  <si>
    <t>Presentation Intent Type</t>
  </si>
  <si>
    <t>(0018,0060)</t>
  </si>
  <si>
    <t>kVp</t>
  </si>
  <si>
    <t>Rörspänning</t>
  </si>
  <si>
    <t>(0018,1153)</t>
  </si>
  <si>
    <t>Exposure in uAs</t>
  </si>
  <si>
    <t>(0018,1190)</t>
  </si>
  <si>
    <t>Focal Spot(s)</t>
  </si>
  <si>
    <t>Fokus</t>
  </si>
  <si>
    <t>(0018,1191)</t>
  </si>
  <si>
    <t>Anode Target Material</t>
  </si>
  <si>
    <t>(0018,11A0)</t>
  </si>
  <si>
    <t>Body Part Thickness</t>
  </si>
  <si>
    <t>Tjocklek</t>
  </si>
  <si>
    <t>(0018,11A2)</t>
  </si>
  <si>
    <t>Compression Force</t>
  </si>
  <si>
    <t>Kraft</t>
  </si>
  <si>
    <t>(0018,7050)</t>
  </si>
  <si>
    <t>Filter Material LT</t>
  </si>
  <si>
    <t>(0018,7060)</t>
  </si>
  <si>
    <t>Exposure Control Mode</t>
  </si>
  <si>
    <t>(0018,7062)</t>
  </si>
  <si>
    <t>Exposure Control Mode Description</t>
  </si>
  <si>
    <t>(0040,0316)</t>
  </si>
  <si>
    <t>Organ Dose</t>
  </si>
  <si>
    <t>AGD</t>
  </si>
  <si>
    <t>(0040,8302)</t>
  </si>
  <si>
    <t>Entrance Dose in mGy</t>
  </si>
  <si>
    <t>Huddos</t>
  </si>
  <si>
    <t>Kommentarer</t>
  </si>
  <si>
    <t>Huddos (mGy):</t>
  </si>
  <si>
    <t>Anod:</t>
  </si>
  <si>
    <t>Filter:</t>
  </si>
  <si>
    <t>MG002R18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</si>
</sst>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400]h:mm:ss\ AM/PM"/>
    <numFmt numFmtId="165" formatCode="0.0"/>
    <numFmt numFmtId="166" formatCode="0.0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</patternFill>
    </fill>
    <fill>
      <patternFill patternType="solid">
        <fgColor theme="4"/>
        <bgColor indexed="64"/>
      </patternFill>
    </fill>
    <fill>
      <patternFill patternType="solid">
        <fgColor rgb="FFFFC7CE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3" borderId="0" applyNumberFormat="0" applyBorder="0" applyAlignment="0" applyProtection="0"/>
    <xf numFmtId="0" fontId="5" fillId="5" borderId="0" applyNumberFormat="0" applyBorder="0" applyAlignment="0" applyProtection="0"/>
  </cellStyleXfs>
  <cellXfs count="51">
    <xf numFmtId="0" fontId="0" fillId="0" borderId="0" xfId="0"/>
    <xf numFmtId="14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0" borderId="5" xfId="0" applyBorder="1"/>
    <xf numFmtId="0" fontId="0" fillId="0" borderId="3" xfId="0" applyBorder="1"/>
    <xf numFmtId="0" fontId="2" fillId="0" borderId="5" xfId="0" applyFont="1" applyBorder="1"/>
    <xf numFmtId="0" fontId="2" fillId="0" borderId="6" xfId="0" applyFont="1" applyBorder="1"/>
    <xf numFmtId="0" fontId="3" fillId="0" borderId="0" xfId="0" applyFont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/>
    <xf numFmtId="166" fontId="0" fillId="0" borderId="0" xfId="0" applyNumberFormat="1" applyAlignment="1">
      <alignment horizontal="center"/>
    </xf>
    <xf numFmtId="0" fontId="4" fillId="2" borderId="10" xfId="0" applyFont="1" applyFill="1" applyBorder="1" applyAlignment="1"/>
    <xf numFmtId="0" fontId="4" fillId="2" borderId="11" xfId="0" applyFont="1" applyFill="1" applyBorder="1" applyAlignment="1"/>
    <xf numFmtId="0" fontId="4" fillId="2" borderId="12" xfId="0" applyFont="1" applyFill="1" applyBorder="1" applyAlignment="1"/>
    <xf numFmtId="165" fontId="0" fillId="0" borderId="0" xfId="0" applyNumberForma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19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14" fontId="7" fillId="0" borderId="0" xfId="0" applyNumberFormat="1" applyFont="1" applyBorder="1"/>
    <xf numFmtId="14" fontId="7" fillId="0" borderId="0" xfId="0" applyNumberFormat="1" applyFont="1" applyBorder="1" applyAlignment="1">
      <alignment horizontal="left"/>
    </xf>
    <xf numFmtId="19" fontId="7" fillId="0" borderId="0" xfId="0" applyNumberFormat="1" applyFont="1" applyBorder="1"/>
    <xf numFmtId="164" fontId="7" fillId="0" borderId="0" xfId="0" quotePrefix="1" applyNumberFormat="1" applyFont="1" applyBorder="1" applyAlignment="1">
      <alignment horizontal="left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2" fontId="7" fillId="0" borderId="0" xfId="0" applyNumberFormat="1" applyFont="1" applyBorder="1" applyAlignment="1">
      <alignment horizontal="left"/>
    </xf>
    <xf numFmtId="165" fontId="7" fillId="0" borderId="0" xfId="0" applyNumberFormat="1" applyFont="1" applyBorder="1" applyAlignment="1">
      <alignment horizontal="left"/>
    </xf>
    <xf numFmtId="1" fontId="7" fillId="0" borderId="0" xfId="0" applyNumberFormat="1" applyFont="1" applyBorder="1" applyAlignment="1">
      <alignment horizontal="left"/>
    </xf>
    <xf numFmtId="0" fontId="7" fillId="0" borderId="0" xfId="0" applyFont="1"/>
    <xf numFmtId="0" fontId="7" fillId="0" borderId="0" xfId="0" applyFont="1" applyFill="1" applyBorder="1"/>
    <xf numFmtId="0" fontId="0" fillId="0" borderId="0" xfId="0" applyFont="1"/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6" fontId="8" fillId="0" borderId="0" xfId="2" applyNumberFormat="1" applyFont="1" applyFill="1" applyAlignment="1">
      <alignment horizontal="left"/>
    </xf>
    <xf numFmtId="0" fontId="6" fillId="4" borderId="0" xfId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</cellXfs>
  <cellStyles count="3">
    <cellStyle name="Dålig" xfId="2" builtinId="27"/>
    <cellStyle name="Färg3" xfId="1" builtinId="37"/>
    <cellStyle name="Normal" xfId="0" builtinId="0"/>
  </cellStyles>
  <dxfs count="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'Senaste kontroll'!$C$3</c:f>
          <c:strCache>
            <c:ptCount val="1"/>
            <c:pt idx="0">
              <c:v>MG002R18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6.7039389148336764E-2"/>
          <c:y val="0.13416144443532396"/>
          <c:w val="0.87606637676327104"/>
          <c:h val="0.75558275257455898"/>
        </c:manualLayout>
      </c:layout>
      <c:scatterChart>
        <c:scatterStyle val="lineMarker"/>
        <c:varyColors val="0"/>
        <c:ser>
          <c:idx val="1"/>
          <c:order val="0"/>
          <c:tx>
            <c:v>Variationskoefficient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Data!$C$7:$C$30</c:f>
              <c:numCache>
                <c:formatCode>m/d/yyyy</c:formatCode>
                <c:ptCount val="24"/>
                <c:pt idx="0">
                  <c:v>42342</c:v>
                </c:pt>
                <c:pt idx="1">
                  <c:v>42353</c:v>
                </c:pt>
                <c:pt idx="2">
                  <c:v>42354</c:v>
                </c:pt>
                <c:pt idx="3">
                  <c:v>42359</c:v>
                </c:pt>
                <c:pt idx="4">
                  <c:v>42675</c:v>
                </c:pt>
                <c:pt idx="5">
                  <c:v>42676</c:v>
                </c:pt>
                <c:pt idx="6">
                  <c:v>42677</c:v>
                </c:pt>
                <c:pt idx="7">
                  <c:v>42681</c:v>
                </c:pt>
                <c:pt idx="8">
                  <c:v>42682</c:v>
                </c:pt>
                <c:pt idx="9">
                  <c:v>42683</c:v>
                </c:pt>
                <c:pt idx="10">
                  <c:v>42684</c:v>
                </c:pt>
                <c:pt idx="11">
                  <c:v>42684</c:v>
                </c:pt>
                <c:pt idx="12">
                  <c:v>42684</c:v>
                </c:pt>
                <c:pt idx="13">
                  <c:v>42689</c:v>
                </c:pt>
                <c:pt idx="14">
                  <c:v>42690</c:v>
                </c:pt>
                <c:pt idx="15">
                  <c:v>42699</c:v>
                </c:pt>
                <c:pt idx="16">
                  <c:v>42702</c:v>
                </c:pt>
                <c:pt idx="17">
                  <c:v>42703</c:v>
                </c:pt>
                <c:pt idx="18">
                  <c:v>42704</c:v>
                </c:pt>
                <c:pt idx="19">
                  <c:v>42709</c:v>
                </c:pt>
                <c:pt idx="20">
                  <c:v>42711</c:v>
                </c:pt>
                <c:pt idx="21">
                  <c:v>42713</c:v>
                </c:pt>
                <c:pt idx="22">
                  <c:v>42717</c:v>
                </c:pt>
              </c:numCache>
            </c:numRef>
          </c:xVal>
          <c:yVal>
            <c:numRef>
              <c:f>Data!$T$7:$T$30</c:f>
              <c:numCache>
                <c:formatCode>0.00</c:formatCode>
                <c:ptCount val="24"/>
                <c:pt idx="0">
                  <c:v>2.0579495560622978</c:v>
                </c:pt>
                <c:pt idx="1">
                  <c:v>2.1402030164762342</c:v>
                </c:pt>
                <c:pt idx="2">
                  <c:v>2.0932106047540553</c:v>
                </c:pt>
                <c:pt idx="3">
                  <c:v>2.16735418387209</c:v>
                </c:pt>
                <c:pt idx="4">
                  <c:v>2.0553728000082856</c:v>
                </c:pt>
                <c:pt idx="5">
                  <c:v>2.1230502599653378</c:v>
                </c:pt>
                <c:pt idx="6">
                  <c:v>2.050600753400869</c:v>
                </c:pt>
                <c:pt idx="7">
                  <c:v>2.1020646727201862</c:v>
                </c:pt>
                <c:pt idx="8">
                  <c:v>2.0328949205551368</c:v>
                </c:pt>
                <c:pt idx="9">
                  <c:v>2.0668453777867137</c:v>
                </c:pt>
                <c:pt idx="10">
                  <c:v>2.3328159925942349</c:v>
                </c:pt>
                <c:pt idx="11">
                  <c:v>2.2238163980011603</c:v>
                </c:pt>
                <c:pt idx="12">
                  <c:v>2.2864817360637439</c:v>
                </c:pt>
                <c:pt idx="13">
                  <c:v>2.3449091483230711</c:v>
                </c:pt>
                <c:pt idx="14">
                  <c:v>2.2617284240406224</c:v>
                </c:pt>
                <c:pt idx="15">
                  <c:v>2.338792206887244</c:v>
                </c:pt>
                <c:pt idx="16">
                  <c:v>2.3701814686301486</c:v>
                </c:pt>
                <c:pt idx="17">
                  <c:v>2.3899932624501981</c:v>
                </c:pt>
                <c:pt idx="18">
                  <c:v>2.2608589284703235</c:v>
                </c:pt>
                <c:pt idx="19">
                  <c:v>2.4553085714746246</c:v>
                </c:pt>
                <c:pt idx="20">
                  <c:v>2.3574433623057849</c:v>
                </c:pt>
                <c:pt idx="21">
                  <c:v>2.2961517658189949</c:v>
                </c:pt>
                <c:pt idx="22">
                  <c:v>2.3361662916322854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99200"/>
        <c:axId val="90900736"/>
      </c:scatterChart>
      <c:valAx>
        <c:axId val="90899200"/>
        <c:scaling>
          <c:orientation val="minMax"/>
          <c:min val="4230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2100000"/>
          <a:lstStyle/>
          <a:p>
            <a:pPr>
              <a:defRPr/>
            </a:pPr>
            <a:endParaRPr lang="sv-SE"/>
          </a:p>
        </c:txPr>
        <c:crossAx val="90900736"/>
        <c:crosses val="autoZero"/>
        <c:crossBetween val="midCat"/>
      </c:valAx>
      <c:valAx>
        <c:axId val="9090073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90899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9.4921975879916076E-2"/>
          <c:y val="0.12618141912756473"/>
          <c:w val="0.28952061487917391"/>
          <c:h val="0.12238299712345548"/>
        </c:manualLayout>
      </c:layout>
      <c:overlay val="0"/>
      <c:txPr>
        <a:bodyPr/>
        <a:lstStyle/>
        <a:p>
          <a:pPr>
            <a:defRPr sz="1100">
              <a:latin typeface="Arial" panose="020B0604020202020204" pitchFamily="34" charset="0"/>
              <a:cs typeface="Arial" panose="020B060402020202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ln w="1905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72277</xdr:colOff>
      <xdr:row>26</xdr:row>
      <xdr:rowOff>37540</xdr:rowOff>
    </xdr:from>
    <xdr:to>
      <xdr:col>12</xdr:col>
      <xdr:colOff>1504950</xdr:colOff>
      <xdr:row>42</xdr:row>
      <xdr:rowOff>0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28576</xdr:colOff>
      <xdr:row>5</xdr:row>
      <xdr:rowOff>47626</xdr:rowOff>
    </xdr:from>
    <xdr:to>
      <xdr:col>9</xdr:col>
      <xdr:colOff>204884</xdr:colOff>
      <xdr:row>24</xdr:row>
      <xdr:rowOff>221076</xdr:rowOff>
    </xdr:to>
    <xdr:pic>
      <xdr:nvPicPr>
        <xdr:cNvPr id="4" name="screenShot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1" y="952501"/>
          <a:ext cx="3919633" cy="469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171450</xdr:colOff>
          <xdr:row>1</xdr:row>
          <xdr:rowOff>9525</xdr:rowOff>
        </xdr:from>
        <xdr:to>
          <xdr:col>21</xdr:col>
          <xdr:colOff>0</xdr:colOff>
          <xdr:row>3</xdr:row>
          <xdr:rowOff>9525</xdr:rowOff>
        </xdr:to>
        <xdr:sp macro="" textlink="">
          <xdr:nvSpPr>
            <xdr:cNvPr id="1030" name="ShowHideRoiDat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ell1" displayName="Tabell1" ref="B6:AL29" headerRowDxfId="82" dataDxfId="80" headerRowBorderDxfId="81" tableBorderDxfId="79">
  <autoFilter ref="B6:AL29"/>
  <sortState ref="B7:AL10">
    <sortCondition ref="C6:C10"/>
  </sortState>
  <tableColumns count="37">
    <tableColumn id="31" name="Station name" totalsRowLabel="Summa" dataDxfId="78" totalsRowDxfId="77"/>
    <tableColumn id="1" name="Datum" dataDxfId="76" totalsRowDxfId="75"/>
    <tableColumn id="2" name="Tid" dataDxfId="74" totalsRowDxfId="73"/>
    <tableColumn id="37" name="Bildtyp" dataDxfId="72" totalsRowDxfId="71"/>
    <tableColumn id="38" name="Rörspänning_x000a_(kV)" dataDxfId="70" totalsRowDxfId="69"/>
    <tableColumn id="39" name="Rörladdning_x000a_(mAs)" dataDxfId="68" totalsRowDxfId="67"/>
    <tableColumn id="7" name="Fokus_x000a_(mm)" dataDxfId="66" totalsRowDxfId="65"/>
    <tableColumn id="8" name="Anod" dataDxfId="64" totalsRowDxfId="63"/>
    <tableColumn id="40" name="Tjocklek_x000a_(mm)" dataDxfId="62" totalsRowDxfId="61"/>
    <tableColumn id="41" name="Kraft_x000a_(N)" dataDxfId="60" totalsRowDxfId="59"/>
    <tableColumn id="9" name="Filter" dataDxfId="58" totalsRowDxfId="57"/>
    <tableColumn id="12" name="AEC" dataDxfId="56" totalsRowDxfId="55"/>
    <tableColumn id="13" name="AEC-typ" dataDxfId="54" totalsRowDxfId="53"/>
    <tableColumn id="6" name="AGD_x000a_(mGy)" dataDxfId="52" totalsRowDxfId="51"/>
    <tableColumn id="5" name="Huddos_x000a_(mGy)" dataDxfId="50" totalsRowDxfId="49"/>
    <tableColumn id="15" name="Medelsignal" dataDxfId="48" totalsRowDxfId="47">
      <calculatedColumnFormula>AVERAGE(Tabell1[[#This Row],[µ1]:[µ5]])</calculatedColumnFormula>
    </tableColumn>
    <tableColumn id="16" name="SNR" dataDxfId="46" totalsRowDxfId="45">
      <calculatedColumnFormula>Tabell1[[#This Row],[µ3]]/Tabell1[[#This Row],[stdev3]]</calculatedColumnFormula>
    </tableColumn>
    <tableColumn id="17" name="Homogenitet_x000a_(%)" dataDxfId="44" totalsRowDxfId="43">
      <calculatedColumnFormula>(MAX(Tabell1[[#This Row],[µ1]:[µ5]])-MIN(Tabell1[[#This Row],[µ1]:[µ5]]))/Tabell1[[#This Row],[Medelsignal]]*100</calculatedColumnFormula>
    </tableColumn>
    <tableColumn id="18" name="Var.koeff_x000a_(%)" dataDxfId="42" totalsRowDxfId="41">
      <calculatedColumnFormula>Tabell1[[#This Row],[stdev6]]/Tabell1[[#This Row],[µ6]]*100</calculatedColumnFormula>
    </tableColumn>
    <tableColumn id="30" name="Signal/mAs" dataDxfId="40">
      <calculatedColumnFormula>Tabell1[[#This Row],[Medelsignal]]/Tabell1[[#This Row],[Rörladdning
(mAs)]]</calculatedColumnFormula>
    </tableColumn>
    <tableColumn id="14" name="µ1" dataDxfId="39" totalsRowDxfId="38"/>
    <tableColumn id="19" name="µ2" dataDxfId="37" totalsRowDxfId="36"/>
    <tableColumn id="20" name="µ3" dataDxfId="35" totalsRowDxfId="34"/>
    <tableColumn id="21" name="µ4" dataDxfId="33" totalsRowDxfId="32"/>
    <tableColumn id="22" name="µ5" dataDxfId="31" totalsRowDxfId="30"/>
    <tableColumn id="23" name="µ6" dataDxfId="29" totalsRowDxfId="28"/>
    <tableColumn id="24" name="stdev1" dataDxfId="27" totalsRowDxfId="26"/>
    <tableColumn id="25" name="stdev2" dataDxfId="25" totalsRowDxfId="24"/>
    <tableColumn id="26" name="stdev3" dataDxfId="23" totalsRowDxfId="22"/>
    <tableColumn id="27" name="stdev4" dataDxfId="21" totalsRowDxfId="20"/>
    <tableColumn id="28" name="stdev5" dataDxfId="19" totalsRowDxfId="18"/>
    <tableColumn id="29" name="stdev6" totalsRowFunction="sum" dataDxfId="17" totalsRowDxfId="16"/>
    <tableColumn id="32" name="HI_low" dataDxfId="15" totalsRowDxfId="14">
      <calculatedColumnFormula>AVERAGE(Tabell1[Homogenitet
(%)])-3*_xlfn.STDEV.S(Tabell1[Homogenitet
(%)])</calculatedColumnFormula>
    </tableColumn>
    <tableColumn id="34" name="HI_high" dataDxfId="13" totalsRowDxfId="12">
      <calculatedColumnFormula>AVERAGE(Tabell1[Homogenitet
(%)])+3*_xlfn.STDEV.S(Tabell1[Homogenitet
(%)])</calculatedColumnFormula>
    </tableColumn>
    <tableColumn id="35" name="VK_low" dataDxfId="11" totalsRowDxfId="10">
      <calculatedColumnFormula>AVERAGE(Tabell1[Var.koeff
(%)])-3*_xlfn.STDEV.S(Tabell1[Var.koeff
(%)])</calculatedColumnFormula>
    </tableColumn>
    <tableColumn id="36" name="VK_high" dataDxfId="9" totalsRowDxfId="8">
      <calculatedColumnFormula>AVERAGE(Tabell1[Var.koeff
(%)])+3*_xlfn.STDEV.S(Tabell1[Var.koeff
(%)])</calculatedColumnFormula>
    </tableColumn>
    <tableColumn id="10" name="Kommentarer" dataDxfId="7" totalsRow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2" displayName="Tabell2" ref="B2:D17" totalsRowShown="0">
  <autoFilter ref="B2:D17"/>
  <tableColumns count="3">
    <tableColumn id="1" name="Tag nr"/>
    <tableColumn id="2" name="DICOM-benämning"/>
    <tableColumn id="3" name="MFT-benämn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B1:R44"/>
  <sheetViews>
    <sheetView showGridLines="0" tabSelected="1" topLeftCell="A4" zoomScale="85" zoomScaleNormal="85" workbookViewId="0">
      <selection activeCell="R24" sqref="R24"/>
    </sheetView>
  </sheetViews>
  <sheetFormatPr defaultRowHeight="15" x14ac:dyDescent="0.25"/>
  <cols>
    <col min="1" max="1" width="2.7109375" customWidth="1"/>
    <col min="2" max="2" width="2" customWidth="1"/>
    <col min="3" max="3" width="1.28515625" customWidth="1"/>
    <col min="10" max="10" width="5.5703125" customWidth="1"/>
    <col min="11" max="11" width="1.85546875" customWidth="1"/>
    <col min="12" max="12" width="27.42578125" customWidth="1"/>
    <col min="13" max="13" width="24" customWidth="1"/>
    <col min="14" max="14" width="2.140625" customWidth="1"/>
    <col min="15" max="15" width="1.85546875" customWidth="1"/>
  </cols>
  <sheetData>
    <row r="1" spans="2:18" ht="15.75" thickBot="1" x14ac:dyDescent="0.3"/>
    <row r="2" spans="2:18" x14ac:dyDescent="0.25">
      <c r="B2" s="6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spans="2:18" ht="15" customHeight="1" x14ac:dyDescent="0.25">
      <c r="B3" s="5"/>
      <c r="C3" s="42" t="str">
        <f ca="1">REPLACE(LEFT(CELL("filnamn",A1),FIND(".xlsm",CELL("filnamn",A1))-1),1,FIND("[",CELL("filnamn",A1)),"")</f>
        <v>MG002R18</v>
      </c>
      <c r="D3" s="42"/>
      <c r="E3" s="42"/>
      <c r="F3" s="42"/>
      <c r="G3" s="42"/>
      <c r="H3" s="42"/>
      <c r="I3" s="42"/>
      <c r="J3" s="42"/>
      <c r="K3" s="42"/>
      <c r="L3" s="42"/>
      <c r="M3" s="42"/>
      <c r="N3" s="4"/>
    </row>
    <row r="4" spans="2:18" ht="15" customHeight="1" x14ac:dyDescent="0.25">
      <c r="B4" s="5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"/>
    </row>
    <row r="5" spans="2:18" ht="10.5" customHeight="1" x14ac:dyDescent="0.3">
      <c r="B5" s="7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8"/>
    </row>
    <row r="6" spans="2:18" ht="18.75" x14ac:dyDescent="0.3">
      <c r="B6" s="7"/>
      <c r="C6" s="9"/>
      <c r="D6" s="9"/>
      <c r="E6" s="9"/>
      <c r="F6" s="9"/>
      <c r="G6" s="9"/>
      <c r="H6" s="9"/>
      <c r="I6" s="9"/>
      <c r="J6" s="9"/>
      <c r="K6" s="9"/>
      <c r="L6" s="23" t="s">
        <v>32</v>
      </c>
      <c r="M6" s="24" t="s">
        <v>103</v>
      </c>
      <c r="N6" s="8"/>
    </row>
    <row r="7" spans="2:18" ht="18.75" x14ac:dyDescent="0.3">
      <c r="B7" s="7"/>
      <c r="C7" s="9"/>
      <c r="D7" s="9"/>
      <c r="E7" s="9"/>
      <c r="F7" s="9"/>
      <c r="G7" s="9"/>
      <c r="H7" s="9"/>
      <c r="I7" s="9"/>
      <c r="J7" s="9"/>
      <c r="K7" s="9"/>
      <c r="L7" s="25" t="s">
        <v>33</v>
      </c>
      <c r="M7" s="26">
        <v>42717</v>
      </c>
      <c r="N7" s="8"/>
    </row>
    <row r="8" spans="2:18" ht="18.75" x14ac:dyDescent="0.3">
      <c r="B8" s="7"/>
      <c r="C8" s="9"/>
      <c r="D8" s="9"/>
      <c r="E8" s="9"/>
      <c r="F8" s="9"/>
      <c r="G8" s="9"/>
      <c r="H8" s="9"/>
      <c r="I8" s="9"/>
      <c r="J8" s="9"/>
      <c r="K8" s="9"/>
      <c r="L8" s="27" t="s">
        <v>34</v>
      </c>
      <c r="M8" s="28">
        <v>0.39921296296296299</v>
      </c>
      <c r="N8" s="8"/>
      <c r="R8" s="1"/>
    </row>
    <row r="9" spans="2:18" ht="18.75" x14ac:dyDescent="0.3">
      <c r="B9" s="7"/>
      <c r="C9" s="9"/>
      <c r="D9" s="9"/>
      <c r="E9" s="9"/>
      <c r="F9" s="9"/>
      <c r="G9" s="9"/>
      <c r="H9" s="9"/>
      <c r="I9" s="9"/>
      <c r="J9" s="9"/>
      <c r="K9" s="9"/>
      <c r="L9" s="23"/>
      <c r="M9" s="23"/>
      <c r="N9" s="8"/>
      <c r="R9" s="22"/>
    </row>
    <row r="10" spans="2:18" ht="18.75" x14ac:dyDescent="0.3">
      <c r="B10" s="7"/>
      <c r="C10" s="9"/>
      <c r="D10" s="9"/>
      <c r="E10" s="9"/>
      <c r="F10" s="9"/>
      <c r="G10" s="9"/>
      <c r="H10" s="9"/>
      <c r="I10" s="9"/>
      <c r="J10" s="9"/>
      <c r="K10" s="9"/>
      <c r="L10" s="29" t="s">
        <v>9</v>
      </c>
      <c r="M10" s="30" t="s">
        <v>10</v>
      </c>
      <c r="N10" s="8"/>
    </row>
    <row r="11" spans="2:18" ht="18.75" x14ac:dyDescent="0.3">
      <c r="B11" s="7"/>
      <c r="C11" s="9"/>
      <c r="D11" s="9"/>
      <c r="E11" s="9"/>
      <c r="F11" s="9"/>
      <c r="G11" s="9"/>
      <c r="H11" s="9"/>
      <c r="I11" s="9"/>
      <c r="J11" s="9"/>
      <c r="K11" s="9"/>
      <c r="L11" s="23" t="s">
        <v>35</v>
      </c>
      <c r="M11" s="31">
        <v>0.89900000000000002</v>
      </c>
      <c r="N11" s="8"/>
    </row>
    <row r="12" spans="2:18" ht="18.75" x14ac:dyDescent="0.3">
      <c r="B12" s="7"/>
      <c r="C12" s="9"/>
      <c r="D12" s="9"/>
      <c r="E12" s="9"/>
      <c r="F12" s="9"/>
      <c r="G12" s="9"/>
      <c r="H12" s="9"/>
      <c r="I12" s="9"/>
      <c r="J12" s="9"/>
      <c r="K12" s="9"/>
      <c r="L12" s="23" t="s">
        <v>100</v>
      </c>
      <c r="M12" s="31">
        <v>3.4449999999999998</v>
      </c>
      <c r="N12" s="8"/>
    </row>
    <row r="13" spans="2:18" ht="18.75" x14ac:dyDescent="0.3">
      <c r="B13" s="7"/>
      <c r="C13" s="9"/>
      <c r="D13" s="9"/>
      <c r="E13" s="9"/>
      <c r="F13" s="9"/>
      <c r="G13" s="9"/>
      <c r="H13" s="9"/>
      <c r="I13" s="9"/>
      <c r="J13" s="9"/>
      <c r="K13" s="9"/>
      <c r="L13" s="23" t="s">
        <v>31</v>
      </c>
      <c r="M13" s="32">
        <v>34.299999999999997</v>
      </c>
      <c r="N13" s="8"/>
    </row>
    <row r="14" spans="2:18" ht="18.75" x14ac:dyDescent="0.3">
      <c r="B14" s="7"/>
      <c r="C14" s="9"/>
      <c r="D14" s="9"/>
      <c r="E14" s="9"/>
      <c r="F14" s="9"/>
      <c r="G14" s="9"/>
      <c r="H14" s="9"/>
      <c r="I14" s="9"/>
      <c r="J14" s="9"/>
      <c r="K14" s="9"/>
      <c r="L14" s="23" t="s">
        <v>36</v>
      </c>
      <c r="M14" s="33">
        <v>29</v>
      </c>
      <c r="N14" s="8"/>
    </row>
    <row r="15" spans="2:18" ht="18.75" x14ac:dyDescent="0.3">
      <c r="B15" s="7"/>
      <c r="C15" s="9"/>
      <c r="D15" s="9"/>
      <c r="E15" s="9"/>
      <c r="F15" s="9"/>
      <c r="G15" s="9"/>
      <c r="H15" s="9"/>
      <c r="I15" s="9"/>
      <c r="J15" s="9"/>
      <c r="K15" s="9"/>
      <c r="L15" s="23" t="s">
        <v>37</v>
      </c>
      <c r="M15" s="32">
        <v>0.3</v>
      </c>
      <c r="N15" s="8"/>
    </row>
    <row r="16" spans="2:18" ht="18.75" x14ac:dyDescent="0.3">
      <c r="B16" s="7"/>
      <c r="C16" s="9"/>
      <c r="D16" s="9"/>
      <c r="E16" s="9"/>
      <c r="F16" s="9"/>
      <c r="G16" s="9"/>
      <c r="H16" s="9"/>
      <c r="I16" s="9"/>
      <c r="J16" s="9"/>
      <c r="K16" s="9"/>
      <c r="L16" s="23" t="s">
        <v>101</v>
      </c>
      <c r="M16" s="31" t="s">
        <v>22</v>
      </c>
      <c r="N16" s="8"/>
    </row>
    <row r="17" spans="2:14" ht="18.75" x14ac:dyDescent="0.3">
      <c r="B17" s="7"/>
      <c r="C17" s="9"/>
      <c r="D17" s="9"/>
      <c r="E17" s="9"/>
      <c r="F17" s="9"/>
      <c r="G17" s="9"/>
      <c r="H17" s="9"/>
      <c r="I17" s="9"/>
      <c r="J17" s="9"/>
      <c r="K17" s="9"/>
      <c r="L17" s="23" t="s">
        <v>102</v>
      </c>
      <c r="M17" s="24" t="s">
        <v>22</v>
      </c>
      <c r="N17" s="8"/>
    </row>
    <row r="18" spans="2:14" ht="18.75" x14ac:dyDescent="0.3">
      <c r="B18" s="7"/>
      <c r="C18" s="9"/>
      <c r="D18" s="9"/>
      <c r="E18" s="9"/>
      <c r="F18" s="9"/>
      <c r="G18" s="9"/>
      <c r="H18" s="9"/>
      <c r="I18" s="9"/>
      <c r="J18" s="9"/>
      <c r="K18" s="9"/>
      <c r="L18" s="23" t="s">
        <v>38</v>
      </c>
      <c r="M18" s="24">
        <v>49</v>
      </c>
      <c r="N18" s="8"/>
    </row>
    <row r="19" spans="2:14" ht="18.75" x14ac:dyDescent="0.3">
      <c r="B19" s="7"/>
      <c r="C19" s="9"/>
      <c r="D19" s="9"/>
      <c r="E19" s="9"/>
      <c r="F19" s="9"/>
      <c r="G19" s="9"/>
      <c r="H19" s="9"/>
      <c r="I19" s="9"/>
      <c r="J19" s="9"/>
      <c r="K19" s="9"/>
      <c r="L19" s="23" t="s">
        <v>39</v>
      </c>
      <c r="M19" s="24">
        <v>70</v>
      </c>
      <c r="N19" s="8"/>
    </row>
    <row r="20" spans="2:14" ht="18.75" x14ac:dyDescent="0.3">
      <c r="B20" s="7"/>
      <c r="C20" s="9"/>
      <c r="D20" s="9"/>
      <c r="E20" s="9"/>
      <c r="F20" s="9"/>
      <c r="G20" s="9"/>
      <c r="H20" s="9"/>
      <c r="I20" s="9"/>
      <c r="J20" s="9"/>
      <c r="K20" s="9"/>
      <c r="L20" s="23"/>
      <c r="M20" s="23"/>
      <c r="N20" s="8"/>
    </row>
    <row r="21" spans="2:14" ht="18.75" x14ac:dyDescent="0.3">
      <c r="B21" s="7"/>
      <c r="C21" s="9"/>
      <c r="D21" s="9"/>
      <c r="E21" s="9"/>
      <c r="F21" s="9"/>
      <c r="G21" s="9"/>
      <c r="H21" s="9"/>
      <c r="I21" s="9"/>
      <c r="J21" s="9"/>
      <c r="K21" s="9"/>
      <c r="L21" s="23" t="s">
        <v>40</v>
      </c>
      <c r="M21" s="34" t="s">
        <v>13</v>
      </c>
      <c r="N21" s="8"/>
    </row>
    <row r="22" spans="2:14" ht="18.75" x14ac:dyDescent="0.3">
      <c r="B22" s="7"/>
      <c r="C22" s="9"/>
      <c r="D22" s="9"/>
      <c r="E22" s="9"/>
      <c r="F22" s="9"/>
      <c r="G22" s="9"/>
      <c r="H22" s="9"/>
      <c r="I22" s="9"/>
      <c r="J22" s="9"/>
      <c r="K22" s="9"/>
      <c r="L22" s="35" t="s">
        <v>41</v>
      </c>
      <c r="M22" s="34" t="s">
        <v>14</v>
      </c>
      <c r="N22" s="8"/>
    </row>
    <row r="23" spans="2:14" ht="18.75" x14ac:dyDescent="0.3">
      <c r="B23" s="7"/>
      <c r="C23" s="9"/>
      <c r="D23" s="9"/>
      <c r="E23" s="9"/>
      <c r="F23" s="9"/>
      <c r="G23" s="9"/>
      <c r="H23" s="9"/>
      <c r="I23" s="9"/>
      <c r="J23" s="9"/>
      <c r="K23" s="9"/>
      <c r="L23" s="23" t="s">
        <v>42</v>
      </c>
      <c r="M23" s="34" t="s">
        <v>11</v>
      </c>
      <c r="N23" s="8"/>
    </row>
    <row r="24" spans="2:14" ht="18.75" x14ac:dyDescent="0.3">
      <c r="B24" s="7"/>
      <c r="C24" s="9"/>
      <c r="D24" s="9"/>
      <c r="E24" s="9"/>
      <c r="F24" s="9"/>
      <c r="G24" s="9"/>
      <c r="H24" s="9"/>
      <c r="I24" s="9"/>
      <c r="J24" s="9"/>
      <c r="K24" s="9"/>
      <c r="L24" s="23"/>
      <c r="M24" s="36"/>
      <c r="N24" s="8"/>
    </row>
    <row r="25" spans="2:14" ht="18.75" x14ac:dyDescent="0.3">
      <c r="B25" s="7"/>
      <c r="C25" s="9"/>
      <c r="D25" s="9"/>
      <c r="E25" s="9"/>
      <c r="F25" s="9"/>
      <c r="G25" s="9"/>
      <c r="H25" s="9"/>
      <c r="I25" s="9"/>
      <c r="J25" s="9"/>
      <c r="K25" s="9"/>
      <c r="L25" s="23" t="s">
        <v>12</v>
      </c>
      <c r="M25" s="41">
        <v>2.3361662916322854</v>
      </c>
      <c r="N25" s="8"/>
    </row>
    <row r="26" spans="2:14" ht="18.75" x14ac:dyDescent="0.3">
      <c r="B26" s="7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8"/>
    </row>
    <row r="27" spans="2:14" ht="18.75" x14ac:dyDescent="0.3">
      <c r="B27" s="7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8"/>
    </row>
    <row r="28" spans="2:14" ht="18.75" x14ac:dyDescent="0.3">
      <c r="B28" s="7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8"/>
    </row>
    <row r="29" spans="2:14" ht="18.75" x14ac:dyDescent="0.3">
      <c r="B29" s="7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8"/>
    </row>
    <row r="30" spans="2:14" ht="18.75" x14ac:dyDescent="0.3">
      <c r="B30" s="7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8"/>
    </row>
    <row r="31" spans="2:14" ht="18.75" x14ac:dyDescent="0.3">
      <c r="B31" s="7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8"/>
    </row>
    <row r="32" spans="2:14" ht="18.75" x14ac:dyDescent="0.3">
      <c r="B32" s="7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8"/>
    </row>
    <row r="33" spans="2:14" ht="18.75" x14ac:dyDescent="0.3">
      <c r="B33" s="7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8"/>
    </row>
    <row r="34" spans="2:14" ht="18.75" x14ac:dyDescent="0.3">
      <c r="B34" s="7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8"/>
    </row>
    <row r="35" spans="2:14" ht="18.75" x14ac:dyDescent="0.3">
      <c r="B35" s="7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8"/>
    </row>
    <row r="36" spans="2:14" ht="18.75" x14ac:dyDescent="0.3">
      <c r="B36" s="7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8"/>
    </row>
    <row r="37" spans="2:14" ht="18.75" x14ac:dyDescent="0.3">
      <c r="B37" s="7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8"/>
    </row>
    <row r="38" spans="2:14" ht="18.75" x14ac:dyDescent="0.3">
      <c r="B38" s="7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8"/>
    </row>
    <row r="39" spans="2:14" ht="18.75" x14ac:dyDescent="0.3">
      <c r="B39" s="7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8"/>
    </row>
    <row r="40" spans="2:14" ht="18.75" x14ac:dyDescent="0.3">
      <c r="B40" s="7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8"/>
    </row>
    <row r="41" spans="2:14" ht="18.75" x14ac:dyDescent="0.3">
      <c r="B41" s="7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8"/>
    </row>
    <row r="42" spans="2:14" ht="18.75" x14ac:dyDescent="0.3">
      <c r="B42" s="7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8"/>
    </row>
    <row r="43" spans="2:14" ht="15.75" thickBot="1" x14ac:dyDescent="0.3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1"/>
    </row>
    <row r="44" spans="2:14" ht="7.5" customHeight="1" x14ac:dyDescent="0.25"/>
  </sheetData>
  <mergeCells count="1">
    <mergeCell ref="C3:M4"/>
  </mergeCells>
  <conditionalFormatting sqref="M21">
    <cfRule type="cellIs" dxfId="5" priority="3" operator="notEqual">
      <formula>"AUTOMATIC"</formula>
    </cfRule>
  </conditionalFormatting>
  <conditionalFormatting sqref="M22">
    <cfRule type="cellIs" dxfId="4" priority="2" operator="notEqual">
      <formula>"AOP dose"</formula>
    </cfRule>
  </conditionalFormatting>
  <conditionalFormatting sqref="M23">
    <cfRule type="cellIs" dxfId="3" priority="1" operator="notEqual">
      <formula>"FOR PROCESSING"</formula>
    </cfRule>
  </conditionalFormatting>
  <pageMargins left="0.7" right="0.7" top="0.75" bottom="0.75" header="0.3" footer="0.3"/>
  <pageSetup paperSize="9" scale="6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L77"/>
  <sheetViews>
    <sheetView showGridLines="0" zoomScale="85" zoomScaleNormal="8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A23" sqref="A23:XFD23"/>
    </sheetView>
  </sheetViews>
  <sheetFormatPr defaultRowHeight="15" x14ac:dyDescent="0.25"/>
  <cols>
    <col min="1" max="1" width="10.42578125" bestFit="1" customWidth="1"/>
    <col min="2" max="2" width="17.7109375" customWidth="1"/>
    <col min="3" max="3" width="14.140625" customWidth="1"/>
    <col min="4" max="4" width="16.140625" customWidth="1"/>
    <col min="5" max="5" width="16.5703125" customWidth="1"/>
    <col min="6" max="6" width="11.7109375" customWidth="1"/>
    <col min="7" max="7" width="19" customWidth="1"/>
    <col min="8" max="8" width="14.28515625" customWidth="1"/>
    <col min="9" max="9" width="16.5703125" customWidth="1"/>
    <col min="10" max="10" width="15.42578125" customWidth="1"/>
    <col min="11" max="11" width="13.140625" customWidth="1"/>
    <col min="12" max="12" width="12.5703125" customWidth="1"/>
    <col min="13" max="13" width="14.5703125" customWidth="1"/>
    <col min="14" max="14" width="17.85546875" customWidth="1"/>
    <col min="15" max="15" width="12.140625" customWidth="1"/>
    <col min="16" max="16" width="15.140625" customWidth="1"/>
    <col min="17" max="17" width="17" customWidth="1"/>
    <col min="18" max="18" width="10.7109375" customWidth="1"/>
    <col min="19" max="19" width="16.5703125" customWidth="1"/>
    <col min="20" max="20" width="24.28515625" customWidth="1"/>
    <col min="21" max="21" width="16.5703125" customWidth="1"/>
    <col min="22" max="25" width="16.5703125" hidden="1" customWidth="1"/>
    <col min="26" max="31" width="14.7109375" hidden="1" customWidth="1"/>
    <col min="32" max="33" width="9.140625" hidden="1" customWidth="1"/>
    <col min="34" max="34" width="12.7109375" hidden="1" customWidth="1"/>
    <col min="35" max="35" width="13.85546875" hidden="1" customWidth="1"/>
    <col min="36" max="36" width="10.140625" hidden="1" customWidth="1"/>
    <col min="37" max="37" width="12.5703125" hidden="1" customWidth="1"/>
    <col min="38" max="38" width="42.7109375" customWidth="1"/>
  </cols>
  <sheetData>
    <row r="1" spans="1:38" x14ac:dyDescent="0.25">
      <c r="A1" s="1"/>
    </row>
    <row r="2" spans="1:38" x14ac:dyDescent="0.25">
      <c r="A2" s="1"/>
    </row>
    <row r="3" spans="1:38" x14ac:dyDescent="0.25">
      <c r="A3" s="1"/>
    </row>
    <row r="4" spans="1:38" x14ac:dyDescent="0.25">
      <c r="A4" s="1"/>
    </row>
    <row r="5" spans="1:38" ht="18" customHeight="1" x14ac:dyDescent="0.3">
      <c r="A5" s="1"/>
      <c r="B5" s="43" t="s">
        <v>1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5"/>
      <c r="Q5" s="46" t="s">
        <v>23</v>
      </c>
      <c r="R5" s="47"/>
      <c r="S5" s="47"/>
      <c r="T5" s="47"/>
      <c r="U5" s="48"/>
      <c r="V5" s="49" t="s">
        <v>2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15" t="s">
        <v>24</v>
      </c>
      <c r="AI5" s="16"/>
      <c r="AJ5" s="16"/>
      <c r="AK5" s="17"/>
    </row>
    <row r="6" spans="1:38" ht="32.25" customHeight="1" x14ac:dyDescent="0.25">
      <c r="A6" s="1"/>
      <c r="B6" s="38" t="s">
        <v>21</v>
      </c>
      <c r="C6" s="38" t="s">
        <v>0</v>
      </c>
      <c r="D6" s="38" t="s">
        <v>43</v>
      </c>
      <c r="E6" s="38" t="s">
        <v>44</v>
      </c>
      <c r="F6" s="39" t="s">
        <v>45</v>
      </c>
      <c r="G6" s="39" t="s">
        <v>47</v>
      </c>
      <c r="H6" s="39" t="s">
        <v>50</v>
      </c>
      <c r="I6" s="38" t="s">
        <v>51</v>
      </c>
      <c r="J6" s="39" t="s">
        <v>52</v>
      </c>
      <c r="K6" s="39" t="s">
        <v>53</v>
      </c>
      <c r="L6" s="38" t="s">
        <v>54</v>
      </c>
      <c r="M6" s="38" t="s">
        <v>55</v>
      </c>
      <c r="N6" s="38" t="s">
        <v>56</v>
      </c>
      <c r="O6" s="39" t="s">
        <v>48</v>
      </c>
      <c r="P6" s="39" t="s">
        <v>49</v>
      </c>
      <c r="Q6" s="38" t="s">
        <v>29</v>
      </c>
      <c r="R6" s="38" t="s">
        <v>57</v>
      </c>
      <c r="S6" s="39" t="s">
        <v>58</v>
      </c>
      <c r="T6" s="39" t="s">
        <v>59</v>
      </c>
      <c r="U6" s="38" t="s">
        <v>60</v>
      </c>
      <c r="V6" s="38" t="s">
        <v>3</v>
      </c>
      <c r="W6" s="38" t="s">
        <v>4</v>
      </c>
      <c r="X6" s="38" t="s">
        <v>5</v>
      </c>
      <c r="Y6" s="38" t="s">
        <v>15</v>
      </c>
      <c r="Z6" s="38" t="s">
        <v>16</v>
      </c>
      <c r="AA6" s="38" t="s">
        <v>17</v>
      </c>
      <c r="AB6" s="38" t="s">
        <v>6</v>
      </c>
      <c r="AC6" s="38" t="s">
        <v>7</v>
      </c>
      <c r="AD6" s="38" t="s">
        <v>8</v>
      </c>
      <c r="AE6" s="38" t="s">
        <v>18</v>
      </c>
      <c r="AF6" s="38" t="s">
        <v>19</v>
      </c>
      <c r="AG6" s="38" t="s">
        <v>20</v>
      </c>
      <c r="AH6" s="40" t="s">
        <v>25</v>
      </c>
      <c r="AI6" s="40" t="s">
        <v>27</v>
      </c>
      <c r="AJ6" s="40" t="s">
        <v>26</v>
      </c>
      <c r="AK6" s="40" t="s">
        <v>28</v>
      </c>
      <c r="AL6" s="40" t="s">
        <v>99</v>
      </c>
    </row>
    <row r="7" spans="1:38" x14ac:dyDescent="0.25">
      <c r="A7" s="1"/>
      <c r="B7" s="10" t="s">
        <v>103</v>
      </c>
      <c r="C7" s="37">
        <v>42342</v>
      </c>
      <c r="D7" s="11">
        <v>0.3447453703703704</v>
      </c>
      <c r="E7" s="11" t="s">
        <v>11</v>
      </c>
      <c r="F7" s="10">
        <v>29</v>
      </c>
      <c r="G7" s="10">
        <v>32.6</v>
      </c>
      <c r="H7" s="10">
        <v>0.3</v>
      </c>
      <c r="I7" s="10" t="s">
        <v>22</v>
      </c>
      <c r="J7" s="10">
        <v>50</v>
      </c>
      <c r="K7" s="10">
        <v>70</v>
      </c>
      <c r="L7" s="10" t="s">
        <v>22</v>
      </c>
      <c r="M7" s="10" t="s">
        <v>13</v>
      </c>
      <c r="N7" s="10" t="s">
        <v>14</v>
      </c>
      <c r="O7" s="14">
        <v>0.79900000000000004</v>
      </c>
      <c r="P7" s="14">
        <v>3.1589999999999998</v>
      </c>
      <c r="Q7" s="18">
        <f>AVERAGE(Tabell1[[#This Row],[µ1]:[µ5]])</f>
        <v>580.04193999999995</v>
      </c>
      <c r="R7" s="18">
        <f>Tabell1[[#This Row],[µ3]]/Tabell1[[#This Row],[stdev3]]</f>
        <v>63.789240867579906</v>
      </c>
      <c r="S7" s="12">
        <f>(MAX(Tabell1[[#This Row],[µ1]:[µ5]])-MIN(Tabell1[[#This Row],[µ1]:[µ5]]))/Tabell1[[#This Row],[Medelsignal]]*100</f>
        <v>0.55409786402685679</v>
      </c>
      <c r="T7" s="12">
        <f>Tabell1[[#This Row],[stdev6]]/Tabell1[[#This Row],[µ6]]*100</f>
        <v>2.0579495560622978</v>
      </c>
      <c r="U7" s="18">
        <f>Tabell1[[#This Row],[Medelsignal]]/Tabell1[[#This Row],[Rörladdning
(mAs)]]</f>
        <v>17.792697546012267</v>
      </c>
      <c r="V7" s="12">
        <v>580.08460000000002</v>
      </c>
      <c r="W7" s="12">
        <v>580.49580000000003</v>
      </c>
      <c r="X7" s="12">
        <v>581.14549999999997</v>
      </c>
      <c r="Y7" s="12">
        <v>577.93150000000003</v>
      </c>
      <c r="Z7" s="12">
        <v>580.55229999999995</v>
      </c>
      <c r="AA7" s="12">
        <v>575.83529999999996</v>
      </c>
      <c r="AB7" s="12">
        <v>9.3366000000000007</v>
      </c>
      <c r="AC7" s="12">
        <v>10.0093</v>
      </c>
      <c r="AD7" s="12">
        <v>9.1104000000000003</v>
      </c>
      <c r="AE7" s="12">
        <v>10.0716</v>
      </c>
      <c r="AF7" s="12">
        <v>10.2555</v>
      </c>
      <c r="AG7" s="12">
        <v>11.8504</v>
      </c>
      <c r="AH7" s="13">
        <f>AVERAGE(Tabell1[Homogenitet
(%)])-3*_xlfn.STDEV.S(Tabell1[Homogenitet
(%)])</f>
        <v>-0.65261270700042018</v>
      </c>
      <c r="AI7" s="13">
        <f>AVERAGE(Tabell1[Homogenitet
(%)])+3*_xlfn.STDEV.S(Tabell1[Homogenitet
(%)])</f>
        <v>3.6149123488800541</v>
      </c>
      <c r="AJ7" s="13">
        <f>AVERAGE(Tabell1[Var.koeff
(%)])-3*_xlfn.STDEV.S(Tabell1[Var.koeff
(%)])</f>
        <v>1.8272977374516799</v>
      </c>
      <c r="AK7" s="13">
        <f>AVERAGE(Tabell1[Var.koeff
(%)])+3*_xlfn.STDEV.S(Tabell1[Var.koeff
(%)])</f>
        <v>2.6200234540521148</v>
      </c>
      <c r="AL7" s="13"/>
    </row>
    <row r="8" spans="1:38" x14ac:dyDescent="0.25">
      <c r="A8" s="1"/>
      <c r="B8" s="10" t="s">
        <v>103</v>
      </c>
      <c r="C8" s="37">
        <v>42353</v>
      </c>
      <c r="D8" s="11">
        <v>0.35660879629629627</v>
      </c>
      <c r="E8" s="11" t="s">
        <v>11</v>
      </c>
      <c r="F8" s="10">
        <v>29</v>
      </c>
      <c r="G8" s="10">
        <v>32.6</v>
      </c>
      <c r="H8" s="10">
        <v>0.3</v>
      </c>
      <c r="I8" s="10" t="s">
        <v>22</v>
      </c>
      <c r="J8" s="10">
        <v>49</v>
      </c>
      <c r="K8" s="10">
        <v>70</v>
      </c>
      <c r="L8" s="10" t="s">
        <v>22</v>
      </c>
      <c r="M8" s="10" t="s">
        <v>13</v>
      </c>
      <c r="N8" s="10" t="s">
        <v>14</v>
      </c>
      <c r="O8" s="14">
        <v>0.79600000000000004</v>
      </c>
      <c r="P8" s="14">
        <v>3.1589999999999998</v>
      </c>
      <c r="Q8" s="18">
        <f>AVERAGE(Tabell1[[#This Row],[µ1]:[µ5]])</f>
        <v>577.40883999999994</v>
      </c>
      <c r="R8" s="18">
        <f>Tabell1[[#This Row],[µ3]]/Tabell1[[#This Row],[stdev3]]</f>
        <v>63.281891431566073</v>
      </c>
      <c r="S8" s="12">
        <f>(MAX(Tabell1[[#This Row],[µ1]:[µ5]])-MIN(Tabell1[[#This Row],[µ1]:[µ5]]))/Tabell1[[#This Row],[Medelsignal]]*100</f>
        <v>0.65956731802027946</v>
      </c>
      <c r="T8" s="12">
        <f>Tabell1[[#This Row],[stdev6]]/Tabell1[[#This Row],[µ6]]*100</f>
        <v>2.1402030164762342</v>
      </c>
      <c r="U8" s="18">
        <f>Tabell1[[#This Row],[Medelsignal]]/Tabell1[[#This Row],[Rörladdning
(mAs)]]</f>
        <v>17.711927607361961</v>
      </c>
      <c r="V8" s="12">
        <v>577.84460000000001</v>
      </c>
      <c r="W8" s="12">
        <v>575.80309999999997</v>
      </c>
      <c r="X8" s="12">
        <v>579.61149999999998</v>
      </c>
      <c r="Y8" s="12">
        <v>576.78520000000003</v>
      </c>
      <c r="Z8" s="12">
        <v>576.99980000000005</v>
      </c>
      <c r="AA8" s="12">
        <v>572.80079999999998</v>
      </c>
      <c r="AB8" s="12">
        <v>9.2556999999999992</v>
      </c>
      <c r="AC8" s="12">
        <v>10.0321</v>
      </c>
      <c r="AD8" s="12">
        <v>9.1592000000000002</v>
      </c>
      <c r="AE8" s="12">
        <v>9.9617000000000004</v>
      </c>
      <c r="AF8" s="12">
        <v>10.202</v>
      </c>
      <c r="AG8" s="12">
        <v>12.2591</v>
      </c>
      <c r="AH8" s="13">
        <f>AVERAGE(Tabell1[Homogenitet
(%)])-3*_xlfn.STDEV.S(Tabell1[Homogenitet
(%)])</f>
        <v>-0.65261270700042018</v>
      </c>
      <c r="AI8" s="13">
        <f>AVERAGE(Tabell1[Homogenitet
(%)])+3*_xlfn.STDEV.S(Tabell1[Homogenitet
(%)])</f>
        <v>3.6149123488800541</v>
      </c>
      <c r="AJ8" s="13">
        <f>AVERAGE(Tabell1[Var.koeff
(%)])-3*_xlfn.STDEV.S(Tabell1[Var.koeff
(%)])</f>
        <v>1.8272977374516799</v>
      </c>
      <c r="AK8" s="13">
        <f>AVERAGE(Tabell1[Var.koeff
(%)])+3*_xlfn.STDEV.S(Tabell1[Var.koeff
(%)])</f>
        <v>2.6200234540521148</v>
      </c>
      <c r="AL8" s="13"/>
    </row>
    <row r="9" spans="1:38" x14ac:dyDescent="0.25">
      <c r="A9" s="1"/>
      <c r="B9" s="10" t="s">
        <v>103</v>
      </c>
      <c r="C9" s="37">
        <v>42354</v>
      </c>
      <c r="D9" s="11">
        <v>0.33318287037037037</v>
      </c>
      <c r="E9" s="11" t="s">
        <v>11</v>
      </c>
      <c r="F9" s="10">
        <v>29</v>
      </c>
      <c r="G9" s="10">
        <v>33.700000000000003</v>
      </c>
      <c r="H9" s="10">
        <v>0.3</v>
      </c>
      <c r="I9" s="10" t="s">
        <v>22</v>
      </c>
      <c r="J9" s="10">
        <v>49</v>
      </c>
      <c r="K9" s="10">
        <v>60</v>
      </c>
      <c r="L9" s="10" t="s">
        <v>22</v>
      </c>
      <c r="M9" s="10" t="s">
        <v>13</v>
      </c>
      <c r="N9" s="10" t="s">
        <v>14</v>
      </c>
      <c r="O9" s="14">
        <v>0.81899999999999995</v>
      </c>
      <c r="P9" s="14">
        <v>3.2440000000000002</v>
      </c>
      <c r="Q9" s="18">
        <f>AVERAGE(Tabell1[[#This Row],[µ1]:[µ5]])</f>
        <v>596.95745999999997</v>
      </c>
      <c r="R9" s="18">
        <f>Tabell1[[#This Row],[µ3]]/Tabell1[[#This Row],[stdev3]]</f>
        <v>63.943989479986314</v>
      </c>
      <c r="S9" s="12">
        <f>(MAX(Tabell1[[#This Row],[µ1]:[µ5]])-MIN(Tabell1[[#This Row],[µ1]:[µ5]]))/Tabell1[[#This Row],[Medelsignal]]*100</f>
        <v>0.32978899367469378</v>
      </c>
      <c r="T9" s="12">
        <f>Tabell1[[#This Row],[stdev6]]/Tabell1[[#This Row],[µ6]]*100</f>
        <v>2.0932106047540553</v>
      </c>
      <c r="U9" s="18">
        <f>Tabell1[[#This Row],[Medelsignal]]/Tabell1[[#This Row],[Rörladdning
(mAs)]]</f>
        <v>17.713871216617207</v>
      </c>
      <c r="V9" s="12">
        <v>596.58050000000003</v>
      </c>
      <c r="W9" s="12">
        <v>596.20619999999997</v>
      </c>
      <c r="X9" s="12">
        <v>598.10649999999998</v>
      </c>
      <c r="Y9" s="12">
        <v>596.13779999999997</v>
      </c>
      <c r="Z9" s="12">
        <v>597.75630000000001</v>
      </c>
      <c r="AA9" s="12">
        <v>592.35320000000002</v>
      </c>
      <c r="AB9" s="12">
        <v>9.5325000000000006</v>
      </c>
      <c r="AC9" s="12">
        <v>10.3451</v>
      </c>
      <c r="AD9" s="12">
        <v>9.3536000000000001</v>
      </c>
      <c r="AE9" s="12">
        <v>10.2219</v>
      </c>
      <c r="AF9" s="12">
        <v>10.439</v>
      </c>
      <c r="AG9" s="12">
        <v>12.3992</v>
      </c>
      <c r="AH9" s="13">
        <f>AVERAGE(Tabell1[Homogenitet
(%)])-3*_xlfn.STDEV.S(Tabell1[Homogenitet
(%)])</f>
        <v>-0.65261270700042018</v>
      </c>
      <c r="AI9" s="13">
        <f>AVERAGE(Tabell1[Homogenitet
(%)])+3*_xlfn.STDEV.S(Tabell1[Homogenitet
(%)])</f>
        <v>3.6149123488800541</v>
      </c>
      <c r="AJ9" s="13">
        <f>AVERAGE(Tabell1[Var.koeff
(%)])-3*_xlfn.STDEV.S(Tabell1[Var.koeff
(%)])</f>
        <v>1.8272977374516799</v>
      </c>
      <c r="AK9" s="13">
        <f>AVERAGE(Tabell1[Var.koeff
(%)])+3*_xlfn.STDEV.S(Tabell1[Var.koeff
(%)])</f>
        <v>2.6200234540521148</v>
      </c>
      <c r="AL9" s="13"/>
    </row>
    <row r="10" spans="1:38" x14ac:dyDescent="0.25">
      <c r="A10" s="1"/>
      <c r="B10" s="10" t="s">
        <v>103</v>
      </c>
      <c r="C10" s="37">
        <v>42359</v>
      </c>
      <c r="D10" s="11">
        <v>0.34556712962962965</v>
      </c>
      <c r="E10" s="11" t="s">
        <v>11</v>
      </c>
      <c r="F10" s="10">
        <v>29</v>
      </c>
      <c r="G10" s="10">
        <v>32.6</v>
      </c>
      <c r="H10" s="10">
        <v>0.3</v>
      </c>
      <c r="I10" s="10" t="s">
        <v>22</v>
      </c>
      <c r="J10" s="10">
        <v>50</v>
      </c>
      <c r="K10" s="10">
        <v>70</v>
      </c>
      <c r="L10" s="10" t="s">
        <v>22</v>
      </c>
      <c r="M10" s="10" t="s">
        <v>13</v>
      </c>
      <c r="N10" s="10" t="s">
        <v>14</v>
      </c>
      <c r="O10" s="14">
        <v>0.79900000000000004</v>
      </c>
      <c r="P10" s="14">
        <v>3.1589999999999998</v>
      </c>
      <c r="Q10" s="18">
        <f>AVERAGE(Tabell1[[#This Row],[µ1]:[µ5]])</f>
        <v>576.3882799999999</v>
      </c>
      <c r="R10" s="18">
        <f>Tabell1[[#This Row],[µ3]]/Tabell1[[#This Row],[stdev3]]</f>
        <v>63.418830991306244</v>
      </c>
      <c r="S10" s="12">
        <f>(MAX(Tabell1[[#This Row],[µ1]:[µ5]])-MIN(Tabell1[[#This Row],[µ1]:[µ5]]))/Tabell1[[#This Row],[Medelsignal]]*100</f>
        <v>1.0292194005054964</v>
      </c>
      <c r="T10" s="12">
        <f>Tabell1[[#This Row],[stdev6]]/Tabell1[[#This Row],[µ6]]*100</f>
        <v>2.16735418387209</v>
      </c>
      <c r="U10" s="18">
        <f>Tabell1[[#This Row],[Medelsignal]]/Tabell1[[#This Row],[Rörladdning
(mAs)]]</f>
        <v>17.680622085889567</v>
      </c>
      <c r="V10" s="12">
        <v>576.83550000000002</v>
      </c>
      <c r="W10" s="12">
        <v>574.00120000000004</v>
      </c>
      <c r="X10" s="12">
        <v>579.93349999999998</v>
      </c>
      <c r="Y10" s="12">
        <v>575.75810000000001</v>
      </c>
      <c r="Z10" s="12">
        <v>575.41309999999999</v>
      </c>
      <c r="AA10" s="12">
        <v>571.6463</v>
      </c>
      <c r="AB10" s="12">
        <v>9.2601999999999993</v>
      </c>
      <c r="AC10" s="12">
        <v>10.036899999999999</v>
      </c>
      <c r="AD10" s="12">
        <v>9.1445000000000007</v>
      </c>
      <c r="AE10" s="12">
        <v>9.9412000000000003</v>
      </c>
      <c r="AF10" s="12">
        <v>10.171099999999999</v>
      </c>
      <c r="AG10" s="12">
        <v>12.3896</v>
      </c>
      <c r="AH10" s="13">
        <f>AVERAGE(Tabell1[Homogenitet
(%)])-3*_xlfn.STDEV.S(Tabell1[Homogenitet
(%)])</f>
        <v>-0.65261270700042018</v>
      </c>
      <c r="AI10" s="13">
        <f>AVERAGE(Tabell1[Homogenitet
(%)])+3*_xlfn.STDEV.S(Tabell1[Homogenitet
(%)])</f>
        <v>3.6149123488800541</v>
      </c>
      <c r="AJ10" s="13">
        <f>AVERAGE(Tabell1[Var.koeff
(%)])-3*_xlfn.STDEV.S(Tabell1[Var.koeff
(%)])</f>
        <v>1.8272977374516799</v>
      </c>
      <c r="AK10" s="13">
        <f>AVERAGE(Tabell1[Var.koeff
(%)])+3*_xlfn.STDEV.S(Tabell1[Var.koeff
(%)])</f>
        <v>2.6200234540521148</v>
      </c>
      <c r="AL10" s="13"/>
    </row>
    <row r="11" spans="1:38" x14ac:dyDescent="0.25">
      <c r="A11" s="1"/>
      <c r="B11" s="10" t="s">
        <v>103</v>
      </c>
      <c r="C11" s="37">
        <v>42675</v>
      </c>
      <c r="D11" s="11">
        <v>0.65702546296296294</v>
      </c>
      <c r="E11" s="11" t="s">
        <v>11</v>
      </c>
      <c r="F11" s="10">
        <v>29</v>
      </c>
      <c r="G11" s="10">
        <v>34.9</v>
      </c>
      <c r="H11" s="10">
        <v>0.3</v>
      </c>
      <c r="I11" s="10" t="s">
        <v>22</v>
      </c>
      <c r="J11" s="10">
        <v>50</v>
      </c>
      <c r="K11" s="10">
        <v>70</v>
      </c>
      <c r="L11" s="10" t="s">
        <v>22</v>
      </c>
      <c r="M11" s="10" t="s">
        <v>13</v>
      </c>
      <c r="N11" s="10" t="s">
        <v>14</v>
      </c>
      <c r="O11" s="14">
        <v>0.88100000000000001</v>
      </c>
      <c r="P11" s="14">
        <v>3.3650000000000002</v>
      </c>
      <c r="Q11" s="18">
        <f>AVERAGE(Tabell1[[#This Row],[µ1]:[µ5]])</f>
        <v>622.87005999999997</v>
      </c>
      <c r="R11" s="18">
        <f>Tabell1[[#This Row],[µ3]]/Tabell1[[#This Row],[stdev3]]</f>
        <v>66.131371823992396</v>
      </c>
      <c r="S11" s="12">
        <f>(MAX(Tabell1[[#This Row],[µ1]:[µ5]])-MIN(Tabell1[[#This Row],[µ1]:[µ5]]))/Tabell1[[#This Row],[Medelsignal]]*100</f>
        <v>0.79982974298042131</v>
      </c>
      <c r="T11" s="12">
        <f>Tabell1[[#This Row],[stdev6]]/Tabell1[[#This Row],[µ6]]*100</f>
        <v>2.0553728000082856</v>
      </c>
      <c r="U11" s="18">
        <f>Tabell1[[#This Row],[Medelsignal]]/Tabell1[[#This Row],[Rörladdning
(mAs)]]</f>
        <v>17.84727965616046</v>
      </c>
      <c r="V11" s="12">
        <v>621.52110000000005</v>
      </c>
      <c r="W11" s="12">
        <v>622.83579999999995</v>
      </c>
      <c r="X11" s="12">
        <v>625.9665</v>
      </c>
      <c r="Y11" s="12">
        <v>620.9846</v>
      </c>
      <c r="Z11" s="12">
        <v>623.04229999999995</v>
      </c>
      <c r="AA11" s="12">
        <v>617.9171</v>
      </c>
      <c r="AB11" s="12">
        <v>9.4833999999999996</v>
      </c>
      <c r="AC11" s="12">
        <v>10.3728</v>
      </c>
      <c r="AD11" s="12">
        <v>9.4655000000000005</v>
      </c>
      <c r="AE11" s="12">
        <v>10.406599999999999</v>
      </c>
      <c r="AF11" s="12">
        <v>10.5107</v>
      </c>
      <c r="AG11" s="12">
        <v>12.7005</v>
      </c>
      <c r="AH11" s="13">
        <f>AVERAGE(Tabell1[Homogenitet
(%)])-3*_xlfn.STDEV.S(Tabell1[Homogenitet
(%)])</f>
        <v>-0.65261270700042018</v>
      </c>
      <c r="AI11" s="13">
        <f>AVERAGE(Tabell1[Homogenitet
(%)])+3*_xlfn.STDEV.S(Tabell1[Homogenitet
(%)])</f>
        <v>3.6149123488800541</v>
      </c>
      <c r="AJ11" s="13">
        <f>AVERAGE(Tabell1[Var.koeff
(%)])-3*_xlfn.STDEV.S(Tabell1[Var.koeff
(%)])</f>
        <v>1.8272977374516799</v>
      </c>
      <c r="AK11" s="13">
        <f>AVERAGE(Tabell1[Var.koeff
(%)])+3*_xlfn.STDEV.S(Tabell1[Var.koeff
(%)])</f>
        <v>2.6200234540521148</v>
      </c>
      <c r="AL11" s="13"/>
    </row>
    <row r="12" spans="1:38" x14ac:dyDescent="0.25">
      <c r="A12" s="1"/>
      <c r="B12" s="10" t="s">
        <v>103</v>
      </c>
      <c r="C12" s="37">
        <v>42676</v>
      </c>
      <c r="D12" s="11">
        <v>0.3661342592592593</v>
      </c>
      <c r="E12" s="11" t="s">
        <v>11</v>
      </c>
      <c r="F12" s="10">
        <v>29</v>
      </c>
      <c r="G12" s="10">
        <v>35.4</v>
      </c>
      <c r="H12" s="10">
        <v>0.3</v>
      </c>
      <c r="I12" s="10" t="s">
        <v>22</v>
      </c>
      <c r="J12" s="10">
        <v>50</v>
      </c>
      <c r="K12" s="10">
        <v>70</v>
      </c>
      <c r="L12" s="10" t="s">
        <v>22</v>
      </c>
      <c r="M12" s="10" t="s">
        <v>13</v>
      </c>
      <c r="N12" s="10" t="s">
        <v>14</v>
      </c>
      <c r="O12" s="14">
        <v>0.88700000000000001</v>
      </c>
      <c r="P12" s="14">
        <v>3.4089999999999998</v>
      </c>
      <c r="Q12" s="18">
        <f>AVERAGE(Tabell1[[#This Row],[µ1]:[µ5]])</f>
        <v>628.6709800000001</v>
      </c>
      <c r="R12" s="18">
        <f>Tabell1[[#This Row],[µ3]]/Tabell1[[#This Row],[stdev3]]</f>
        <v>66.755673979210329</v>
      </c>
      <c r="S12" s="12">
        <f>(MAX(Tabell1[[#This Row],[µ1]:[µ5]])-MIN(Tabell1[[#This Row],[µ1]:[µ5]]))/Tabell1[[#This Row],[Medelsignal]]*100</f>
        <v>1.2667039283410182</v>
      </c>
      <c r="T12" s="12">
        <f>Tabell1[[#This Row],[stdev6]]/Tabell1[[#This Row],[µ6]]*100</f>
        <v>2.1230502599653378</v>
      </c>
      <c r="U12" s="18">
        <f>Tabell1[[#This Row],[Medelsignal]]/Tabell1[[#This Row],[Rörladdning
(mAs)]]</f>
        <v>17.759067231638422</v>
      </c>
      <c r="V12" s="12">
        <v>629.10310000000004</v>
      </c>
      <c r="W12" s="12">
        <v>627.69410000000005</v>
      </c>
      <c r="X12" s="12">
        <v>633.85180000000003</v>
      </c>
      <c r="Y12" s="12">
        <v>626.8175</v>
      </c>
      <c r="Z12" s="12">
        <v>625.88840000000005</v>
      </c>
      <c r="AA12" s="12">
        <v>623.39080000000001</v>
      </c>
      <c r="AB12" s="12">
        <v>9.5107999999999997</v>
      </c>
      <c r="AC12" s="12">
        <v>10.452999999999999</v>
      </c>
      <c r="AD12" s="12">
        <v>9.4951000000000008</v>
      </c>
      <c r="AE12" s="12">
        <v>10.3148</v>
      </c>
      <c r="AF12" s="12">
        <v>10.479900000000001</v>
      </c>
      <c r="AG12" s="12">
        <v>13.2349</v>
      </c>
      <c r="AH12" s="13">
        <f>AVERAGE(Tabell1[Homogenitet
(%)])-3*_xlfn.STDEV.S(Tabell1[Homogenitet
(%)])</f>
        <v>-0.65261270700042018</v>
      </c>
      <c r="AI12" s="13">
        <f>AVERAGE(Tabell1[Homogenitet
(%)])+3*_xlfn.STDEV.S(Tabell1[Homogenitet
(%)])</f>
        <v>3.6149123488800541</v>
      </c>
      <c r="AJ12" s="13">
        <f>AVERAGE(Tabell1[Var.koeff
(%)])-3*_xlfn.STDEV.S(Tabell1[Var.koeff
(%)])</f>
        <v>1.8272977374516799</v>
      </c>
      <c r="AK12" s="13">
        <f>AVERAGE(Tabell1[Var.koeff
(%)])+3*_xlfn.STDEV.S(Tabell1[Var.koeff
(%)])</f>
        <v>2.6200234540521148</v>
      </c>
      <c r="AL12" s="13"/>
    </row>
    <row r="13" spans="1:38" x14ac:dyDescent="0.25">
      <c r="A13" s="1"/>
      <c r="B13" s="10" t="s">
        <v>103</v>
      </c>
      <c r="C13" s="37">
        <v>42677</v>
      </c>
      <c r="D13" s="11">
        <v>0.59425925925925926</v>
      </c>
      <c r="E13" s="11" t="s">
        <v>11</v>
      </c>
      <c r="F13" s="10">
        <v>29</v>
      </c>
      <c r="G13" s="10">
        <v>34.9</v>
      </c>
      <c r="H13" s="10">
        <v>0.3</v>
      </c>
      <c r="I13" s="10" t="s">
        <v>22</v>
      </c>
      <c r="J13" s="10">
        <v>49</v>
      </c>
      <c r="K13" s="10">
        <v>70</v>
      </c>
      <c r="L13" s="10" t="s">
        <v>22</v>
      </c>
      <c r="M13" s="10" t="s">
        <v>13</v>
      </c>
      <c r="N13" s="10" t="s">
        <v>14</v>
      </c>
      <c r="O13" s="14">
        <v>0.878</v>
      </c>
      <c r="P13" s="14">
        <v>3.3650000000000002</v>
      </c>
      <c r="Q13" s="18">
        <f>AVERAGE(Tabell1[[#This Row],[µ1]:[µ5]])</f>
        <v>622.51972000000001</v>
      </c>
      <c r="R13" s="18">
        <f>Tabell1[[#This Row],[µ3]]/Tabell1[[#This Row],[stdev3]]</f>
        <v>66.084938944521909</v>
      </c>
      <c r="S13" s="12">
        <f>(MAX(Tabell1[[#This Row],[µ1]:[µ5]])-MIN(Tabell1[[#This Row],[µ1]:[µ5]]))/Tabell1[[#This Row],[Medelsignal]]*100</f>
        <v>0.77750147417016868</v>
      </c>
      <c r="T13" s="12">
        <f>Tabell1[[#This Row],[stdev6]]/Tabell1[[#This Row],[µ6]]*100</f>
        <v>2.050600753400869</v>
      </c>
      <c r="U13" s="18">
        <f>Tabell1[[#This Row],[Medelsignal]]/Tabell1[[#This Row],[Rörladdning
(mAs)]]</f>
        <v>17.837241260744985</v>
      </c>
      <c r="V13" s="12">
        <v>621.41470000000004</v>
      </c>
      <c r="W13" s="12">
        <v>622.47029999999995</v>
      </c>
      <c r="X13" s="12">
        <v>625.61289999999997</v>
      </c>
      <c r="Y13" s="12">
        <v>620.77279999999996</v>
      </c>
      <c r="Z13" s="12">
        <v>622.3279</v>
      </c>
      <c r="AA13" s="12">
        <v>617.59950000000003</v>
      </c>
      <c r="AB13" s="12">
        <v>9.4430999999999994</v>
      </c>
      <c r="AC13" s="12">
        <v>10.4056</v>
      </c>
      <c r="AD13" s="12">
        <v>9.4667999999999992</v>
      </c>
      <c r="AE13" s="12">
        <v>10.3475</v>
      </c>
      <c r="AF13" s="12">
        <v>10.521100000000001</v>
      </c>
      <c r="AG13" s="12">
        <v>12.6645</v>
      </c>
      <c r="AH13" s="13">
        <f>AVERAGE(Tabell1[Homogenitet
(%)])-3*_xlfn.STDEV.S(Tabell1[Homogenitet
(%)])</f>
        <v>-0.65261270700042018</v>
      </c>
      <c r="AI13" s="13">
        <f>AVERAGE(Tabell1[Homogenitet
(%)])+3*_xlfn.STDEV.S(Tabell1[Homogenitet
(%)])</f>
        <v>3.6149123488800541</v>
      </c>
      <c r="AJ13" s="13">
        <f>AVERAGE(Tabell1[Var.koeff
(%)])-3*_xlfn.STDEV.S(Tabell1[Var.koeff
(%)])</f>
        <v>1.8272977374516799</v>
      </c>
      <c r="AK13" s="13">
        <f>AVERAGE(Tabell1[Var.koeff
(%)])+3*_xlfn.STDEV.S(Tabell1[Var.koeff
(%)])</f>
        <v>2.6200234540521148</v>
      </c>
      <c r="AL13" s="13"/>
    </row>
    <row r="14" spans="1:38" x14ac:dyDescent="0.25">
      <c r="A14" s="1"/>
      <c r="B14" s="10" t="s">
        <v>103</v>
      </c>
      <c r="C14" s="37">
        <v>42681</v>
      </c>
      <c r="D14" s="11">
        <v>0.4229282407407407</v>
      </c>
      <c r="E14" s="11" t="s">
        <v>11</v>
      </c>
      <c r="F14" s="10">
        <v>29</v>
      </c>
      <c r="G14" s="10">
        <v>34.9</v>
      </c>
      <c r="H14" s="10">
        <v>0.3</v>
      </c>
      <c r="I14" s="10" t="s">
        <v>22</v>
      </c>
      <c r="J14" s="10">
        <v>50</v>
      </c>
      <c r="K14" s="10">
        <v>70</v>
      </c>
      <c r="L14" s="10" t="s">
        <v>22</v>
      </c>
      <c r="M14" s="10" t="s">
        <v>13</v>
      </c>
      <c r="N14" s="10" t="s">
        <v>14</v>
      </c>
      <c r="O14" s="14">
        <v>0.876</v>
      </c>
      <c r="P14" s="14">
        <v>3.3650000000000002</v>
      </c>
      <c r="Q14" s="18">
        <f>AVERAGE(Tabell1[[#This Row],[µ1]:[µ5]])</f>
        <v>623.67154000000005</v>
      </c>
      <c r="R14" s="18">
        <f>Tabell1[[#This Row],[µ3]]/Tabell1[[#This Row],[stdev3]]</f>
        <v>65.910804786238515</v>
      </c>
      <c r="S14" s="12">
        <f>(MAX(Tabell1[[#This Row],[µ1]:[µ5]])-MIN(Tabell1[[#This Row],[µ1]:[µ5]]))/Tabell1[[#This Row],[Medelsignal]]*100</f>
        <v>0.81337686180133029</v>
      </c>
      <c r="T14" s="12">
        <f>Tabell1[[#This Row],[stdev6]]/Tabell1[[#This Row],[µ6]]*100</f>
        <v>2.1020646727201862</v>
      </c>
      <c r="U14" s="18">
        <f>Tabell1[[#This Row],[Medelsignal]]/Tabell1[[#This Row],[Rörladdning
(mAs)]]</f>
        <v>17.870244699140404</v>
      </c>
      <c r="V14" s="12">
        <v>623.90940000000001</v>
      </c>
      <c r="W14" s="12">
        <v>623.57510000000002</v>
      </c>
      <c r="X14" s="12">
        <v>626.85130000000004</v>
      </c>
      <c r="Y14" s="12">
        <v>621.77850000000001</v>
      </c>
      <c r="Z14" s="12">
        <v>622.24339999999995</v>
      </c>
      <c r="AA14" s="12">
        <v>618.58230000000003</v>
      </c>
      <c r="AB14" s="12">
        <v>9.5533000000000001</v>
      </c>
      <c r="AC14" s="12">
        <v>10.439299999999999</v>
      </c>
      <c r="AD14" s="12">
        <v>9.5106000000000002</v>
      </c>
      <c r="AE14" s="12">
        <v>10.5985</v>
      </c>
      <c r="AF14" s="12">
        <v>10.528700000000001</v>
      </c>
      <c r="AG14" s="12">
        <v>13.003</v>
      </c>
      <c r="AH14" s="13">
        <f>AVERAGE(Tabell1[Homogenitet
(%)])-3*_xlfn.STDEV.S(Tabell1[Homogenitet
(%)])</f>
        <v>-0.65261270700042018</v>
      </c>
      <c r="AI14" s="13">
        <f>AVERAGE(Tabell1[Homogenitet
(%)])+3*_xlfn.STDEV.S(Tabell1[Homogenitet
(%)])</f>
        <v>3.6149123488800541</v>
      </c>
      <c r="AJ14" s="13">
        <f>AVERAGE(Tabell1[Var.koeff
(%)])-3*_xlfn.STDEV.S(Tabell1[Var.koeff
(%)])</f>
        <v>1.8272977374516799</v>
      </c>
      <c r="AK14" s="13">
        <f>AVERAGE(Tabell1[Var.koeff
(%)])+3*_xlfn.STDEV.S(Tabell1[Var.koeff
(%)])</f>
        <v>2.6200234540521148</v>
      </c>
      <c r="AL14" s="13"/>
    </row>
    <row r="15" spans="1:38" x14ac:dyDescent="0.25">
      <c r="A15" s="1"/>
      <c r="B15" s="10" t="s">
        <v>103</v>
      </c>
      <c r="C15" s="37">
        <v>42682</v>
      </c>
      <c r="D15" s="11">
        <v>0.64369212962962963</v>
      </c>
      <c r="E15" s="11" t="s">
        <v>11</v>
      </c>
      <c r="F15" s="10">
        <v>29</v>
      </c>
      <c r="G15" s="10">
        <v>34.9</v>
      </c>
      <c r="H15" s="10">
        <v>0.3</v>
      </c>
      <c r="I15" s="10" t="s">
        <v>22</v>
      </c>
      <c r="J15" s="10">
        <v>50</v>
      </c>
      <c r="K15" s="10">
        <v>80</v>
      </c>
      <c r="L15" s="10" t="s">
        <v>22</v>
      </c>
      <c r="M15" s="10" t="s">
        <v>13</v>
      </c>
      <c r="N15" s="10" t="s">
        <v>14</v>
      </c>
      <c r="O15" s="14">
        <v>0.88100000000000001</v>
      </c>
      <c r="P15" s="14">
        <v>3.3650000000000002</v>
      </c>
      <c r="Q15" s="18">
        <f>AVERAGE(Tabell1[[#This Row],[µ1]:[µ5]])</f>
        <v>624.18848000000003</v>
      </c>
      <c r="R15" s="18">
        <f>Tabell1[[#This Row],[µ3]]/Tabell1[[#This Row],[stdev3]]</f>
        <v>65.91243050876011</v>
      </c>
      <c r="S15" s="12">
        <f>(MAX(Tabell1[[#This Row],[µ1]:[µ5]])-MIN(Tabell1[[#This Row],[µ1]:[µ5]]))/Tabell1[[#This Row],[Medelsignal]]*100</f>
        <v>0.6023821522627254</v>
      </c>
      <c r="T15" s="12">
        <f>Tabell1[[#This Row],[stdev6]]/Tabell1[[#This Row],[µ6]]*100</f>
        <v>2.0328949205551368</v>
      </c>
      <c r="U15" s="18">
        <f>Tabell1[[#This Row],[Medelsignal]]/Tabell1[[#This Row],[Rörladdning
(mAs)]]</f>
        <v>17.885056733524358</v>
      </c>
      <c r="V15" s="12">
        <v>623.12310000000002</v>
      </c>
      <c r="W15" s="12">
        <v>624.77300000000002</v>
      </c>
      <c r="X15" s="12">
        <v>626.00990000000002</v>
      </c>
      <c r="Y15" s="12">
        <v>622.24990000000003</v>
      </c>
      <c r="Z15" s="12">
        <v>624.78650000000005</v>
      </c>
      <c r="AA15" s="12">
        <v>619.53030000000001</v>
      </c>
      <c r="AB15" s="12">
        <v>9.5762999999999998</v>
      </c>
      <c r="AC15" s="12">
        <v>10.397600000000001</v>
      </c>
      <c r="AD15" s="12">
        <v>9.4976000000000003</v>
      </c>
      <c r="AE15" s="12">
        <v>10.684900000000001</v>
      </c>
      <c r="AF15" s="12">
        <v>10.496499999999999</v>
      </c>
      <c r="AG15" s="12">
        <v>12.5944</v>
      </c>
      <c r="AH15" s="13">
        <f>AVERAGE(Tabell1[Homogenitet
(%)])-3*_xlfn.STDEV.S(Tabell1[Homogenitet
(%)])</f>
        <v>-0.65261270700042018</v>
      </c>
      <c r="AI15" s="13">
        <f>AVERAGE(Tabell1[Homogenitet
(%)])+3*_xlfn.STDEV.S(Tabell1[Homogenitet
(%)])</f>
        <v>3.6149123488800541</v>
      </c>
      <c r="AJ15" s="13">
        <f>AVERAGE(Tabell1[Var.koeff
(%)])-3*_xlfn.STDEV.S(Tabell1[Var.koeff
(%)])</f>
        <v>1.8272977374516799</v>
      </c>
      <c r="AK15" s="13">
        <f>AVERAGE(Tabell1[Var.koeff
(%)])+3*_xlfn.STDEV.S(Tabell1[Var.koeff
(%)])</f>
        <v>2.6200234540521148</v>
      </c>
      <c r="AL15" s="13"/>
    </row>
    <row r="16" spans="1:38" x14ac:dyDescent="0.25">
      <c r="A16" s="1"/>
      <c r="B16" s="10" t="s">
        <v>103</v>
      </c>
      <c r="C16" s="37">
        <v>42683</v>
      </c>
      <c r="D16" s="11">
        <v>0.40378472222222223</v>
      </c>
      <c r="E16" s="11" t="s">
        <v>11</v>
      </c>
      <c r="F16" s="10">
        <v>29</v>
      </c>
      <c r="G16" s="10">
        <v>34.9</v>
      </c>
      <c r="H16" s="10">
        <v>0.3</v>
      </c>
      <c r="I16" s="10" t="s">
        <v>22</v>
      </c>
      <c r="J16" s="10">
        <v>50</v>
      </c>
      <c r="K16" s="10">
        <v>70</v>
      </c>
      <c r="L16" s="10" t="s">
        <v>22</v>
      </c>
      <c r="M16" s="10" t="s">
        <v>13</v>
      </c>
      <c r="N16" s="10" t="s">
        <v>14</v>
      </c>
      <c r="O16" s="14">
        <v>0.876</v>
      </c>
      <c r="P16" s="14">
        <v>3.3650000000000002</v>
      </c>
      <c r="Q16" s="18">
        <f>AVERAGE(Tabell1[[#This Row],[µ1]:[µ5]])</f>
        <v>623.14722000000006</v>
      </c>
      <c r="R16" s="18">
        <f>Tabell1[[#This Row],[µ3]]/Tabell1[[#This Row],[stdev3]]</f>
        <v>65.929206616794858</v>
      </c>
      <c r="S16" s="12">
        <f>(MAX(Tabell1[[#This Row],[µ1]:[µ5]])-MIN(Tabell1[[#This Row],[µ1]:[µ5]]))/Tabell1[[#This Row],[Medelsignal]]*100</f>
        <v>0.73698475297698862</v>
      </c>
      <c r="T16" s="12">
        <f>Tabell1[[#This Row],[stdev6]]/Tabell1[[#This Row],[µ6]]*100</f>
        <v>2.0668453777867137</v>
      </c>
      <c r="U16" s="18">
        <f>Tabell1[[#This Row],[Medelsignal]]/Tabell1[[#This Row],[Rörladdning
(mAs)]]</f>
        <v>17.855221203438397</v>
      </c>
      <c r="V16" s="12">
        <v>623.08569999999997</v>
      </c>
      <c r="W16" s="12">
        <v>623.33259999999996</v>
      </c>
      <c r="X16" s="12">
        <v>625.73410000000001</v>
      </c>
      <c r="Y16" s="12">
        <v>621.14160000000004</v>
      </c>
      <c r="Z16" s="12">
        <v>622.44209999999998</v>
      </c>
      <c r="AA16" s="12">
        <v>618.24170000000004</v>
      </c>
      <c r="AB16" s="12">
        <v>9.5305999999999997</v>
      </c>
      <c r="AC16" s="12">
        <v>10.516500000000001</v>
      </c>
      <c r="AD16" s="12">
        <v>9.4909999999999997</v>
      </c>
      <c r="AE16" s="12">
        <v>10.5349</v>
      </c>
      <c r="AF16" s="12">
        <v>10.473000000000001</v>
      </c>
      <c r="AG16" s="12">
        <v>12.7781</v>
      </c>
      <c r="AH16" s="13">
        <f>AVERAGE(Tabell1[Homogenitet
(%)])-3*_xlfn.STDEV.S(Tabell1[Homogenitet
(%)])</f>
        <v>-0.65261270700042018</v>
      </c>
      <c r="AI16" s="13">
        <f>AVERAGE(Tabell1[Homogenitet
(%)])+3*_xlfn.STDEV.S(Tabell1[Homogenitet
(%)])</f>
        <v>3.6149123488800541</v>
      </c>
      <c r="AJ16" s="13">
        <f>AVERAGE(Tabell1[Var.koeff
(%)])-3*_xlfn.STDEV.S(Tabell1[Var.koeff
(%)])</f>
        <v>1.8272977374516799</v>
      </c>
      <c r="AK16" s="13">
        <f>AVERAGE(Tabell1[Var.koeff
(%)])+3*_xlfn.STDEV.S(Tabell1[Var.koeff
(%)])</f>
        <v>2.6200234540521148</v>
      </c>
      <c r="AL16" s="13"/>
    </row>
    <row r="17" spans="1:38" x14ac:dyDescent="0.25">
      <c r="A17" s="1"/>
      <c r="B17" s="10" t="s">
        <v>103</v>
      </c>
      <c r="C17" s="37">
        <v>42684</v>
      </c>
      <c r="D17" s="11">
        <v>0.32306712962962963</v>
      </c>
      <c r="E17" s="11" t="s">
        <v>11</v>
      </c>
      <c r="F17" s="10">
        <v>29</v>
      </c>
      <c r="G17" s="10">
        <v>41.8</v>
      </c>
      <c r="H17" s="10">
        <v>0.3</v>
      </c>
      <c r="I17" s="10" t="s">
        <v>22</v>
      </c>
      <c r="J17" s="10">
        <v>50</v>
      </c>
      <c r="K17" s="10">
        <v>70</v>
      </c>
      <c r="L17" s="10" t="s">
        <v>22</v>
      </c>
      <c r="M17" s="10" t="s">
        <v>13</v>
      </c>
      <c r="N17" s="10" t="s">
        <v>14</v>
      </c>
      <c r="O17" s="14">
        <v>1.0049999999999999</v>
      </c>
      <c r="P17" s="14">
        <v>4.1390000000000002</v>
      </c>
      <c r="Q17" s="18">
        <f>AVERAGE(Tabell1[[#This Row],[µ1]:[µ5]])</f>
        <v>753.97721999999999</v>
      </c>
      <c r="R17" s="18">
        <f>Tabell1[[#This Row],[µ3]]/Tabell1[[#This Row],[stdev3]]</f>
        <v>72.996840216125392</v>
      </c>
      <c r="S17" s="12">
        <f>(MAX(Tabell1[[#This Row],[µ1]:[µ5]])-MIN(Tabell1[[#This Row],[µ1]:[µ5]]))/Tabell1[[#This Row],[Medelsignal]]*100</f>
        <v>2.4066774855611697</v>
      </c>
      <c r="T17" s="12">
        <f>Tabell1[[#This Row],[stdev6]]/Tabell1[[#This Row],[µ6]]*100</f>
        <v>2.3328159925942349</v>
      </c>
      <c r="U17" s="18">
        <f>Tabell1[[#This Row],[Medelsignal]]/Tabell1[[#This Row],[Rörladdning
(mAs)]]</f>
        <v>18.037732535885169</v>
      </c>
      <c r="V17" s="12">
        <v>757.99490000000003</v>
      </c>
      <c r="W17" s="12">
        <v>746.52530000000002</v>
      </c>
      <c r="X17" s="12">
        <v>764.67110000000002</v>
      </c>
      <c r="Y17" s="12">
        <v>754.00869999999998</v>
      </c>
      <c r="Z17" s="12">
        <v>746.68610000000001</v>
      </c>
      <c r="AA17" s="12">
        <v>746.44550000000004</v>
      </c>
      <c r="AB17" s="12">
        <v>10.5328</v>
      </c>
      <c r="AC17" s="12">
        <v>11.5139</v>
      </c>
      <c r="AD17" s="12">
        <v>10.4754</v>
      </c>
      <c r="AE17" s="12">
        <v>10.987299999999999</v>
      </c>
      <c r="AF17" s="12">
        <v>11.3246</v>
      </c>
      <c r="AG17" s="12">
        <v>17.4132</v>
      </c>
      <c r="AH17" s="13">
        <f>AVERAGE(Tabell1[Homogenitet
(%)])-3*_xlfn.STDEV.S(Tabell1[Homogenitet
(%)])</f>
        <v>-0.65261270700042018</v>
      </c>
      <c r="AI17" s="13">
        <f>AVERAGE(Tabell1[Homogenitet
(%)])+3*_xlfn.STDEV.S(Tabell1[Homogenitet
(%)])</f>
        <v>3.6149123488800541</v>
      </c>
      <c r="AJ17" s="13">
        <f>AVERAGE(Tabell1[Var.koeff
(%)])-3*_xlfn.STDEV.S(Tabell1[Var.koeff
(%)])</f>
        <v>1.8272977374516799</v>
      </c>
      <c r="AK17" s="13">
        <f>AVERAGE(Tabell1[Var.koeff
(%)])+3*_xlfn.STDEV.S(Tabell1[Var.koeff
(%)])</f>
        <v>2.6200234540521148</v>
      </c>
      <c r="AL17" s="13"/>
    </row>
    <row r="18" spans="1:38" x14ac:dyDescent="0.25">
      <c r="A18" s="1"/>
      <c r="B18" s="10" t="s">
        <v>103</v>
      </c>
      <c r="C18" s="37">
        <v>42684</v>
      </c>
      <c r="D18" s="11">
        <v>0.65778935185185183</v>
      </c>
      <c r="E18" s="11" t="s">
        <v>11</v>
      </c>
      <c r="F18" s="10">
        <v>29</v>
      </c>
      <c r="G18" s="10">
        <v>37.9</v>
      </c>
      <c r="H18" s="10">
        <v>0.3</v>
      </c>
      <c r="I18" s="10" t="s">
        <v>22</v>
      </c>
      <c r="J18" s="10">
        <v>49</v>
      </c>
      <c r="K18" s="10">
        <v>70</v>
      </c>
      <c r="L18" s="10" t="s">
        <v>22</v>
      </c>
      <c r="M18" s="10" t="s">
        <v>13</v>
      </c>
      <c r="N18" s="10" t="s">
        <v>14</v>
      </c>
      <c r="O18" s="14">
        <v>0.94799999999999995</v>
      </c>
      <c r="P18" s="14">
        <v>3.774</v>
      </c>
      <c r="Q18" s="18">
        <f>AVERAGE(Tabell1[[#This Row],[µ1]:[µ5]])</f>
        <v>686.55955999999992</v>
      </c>
      <c r="R18" s="18">
        <f>Tabell1[[#This Row],[µ3]]/Tabell1[[#This Row],[stdev3]]</f>
        <v>69.323438670061407</v>
      </c>
      <c r="S18" s="12">
        <f>(MAX(Tabell1[[#This Row],[µ1]:[µ5]])-MIN(Tabell1[[#This Row],[µ1]:[µ5]]))/Tabell1[[#This Row],[Medelsignal]]*100</f>
        <v>2.055874074493981</v>
      </c>
      <c r="T18" s="12">
        <f>Tabell1[[#This Row],[stdev6]]/Tabell1[[#This Row],[µ6]]*100</f>
        <v>2.2238163980011603</v>
      </c>
      <c r="U18" s="18">
        <f>Tabell1[[#This Row],[Medelsignal]]/Tabell1[[#This Row],[Rörladdning
(mAs)]]</f>
        <v>18.115027968337728</v>
      </c>
      <c r="V18" s="12">
        <v>688.12580000000003</v>
      </c>
      <c r="W18" s="12">
        <v>680.19410000000005</v>
      </c>
      <c r="X18" s="12">
        <v>694.30889999999999</v>
      </c>
      <c r="Y18" s="12">
        <v>687.56579999999997</v>
      </c>
      <c r="Z18" s="12">
        <v>682.60320000000002</v>
      </c>
      <c r="AA18" s="12">
        <v>680.1146</v>
      </c>
      <c r="AB18" s="12">
        <v>10.012600000000001</v>
      </c>
      <c r="AC18" s="12">
        <v>10.9398</v>
      </c>
      <c r="AD18" s="12">
        <v>10.015499999999999</v>
      </c>
      <c r="AE18" s="12">
        <v>10.4451</v>
      </c>
      <c r="AF18" s="12">
        <v>10.884399999999999</v>
      </c>
      <c r="AG18" s="12">
        <v>15.124499999999999</v>
      </c>
      <c r="AH18" s="13">
        <f>AVERAGE(Tabell1[Homogenitet
(%)])-3*_xlfn.STDEV.S(Tabell1[Homogenitet
(%)])</f>
        <v>-0.65261270700042018</v>
      </c>
      <c r="AI18" s="13">
        <f>AVERAGE(Tabell1[Homogenitet
(%)])+3*_xlfn.STDEV.S(Tabell1[Homogenitet
(%)])</f>
        <v>3.6149123488800541</v>
      </c>
      <c r="AJ18" s="13">
        <f>AVERAGE(Tabell1[Var.koeff
(%)])-3*_xlfn.STDEV.S(Tabell1[Var.koeff
(%)])</f>
        <v>1.8272977374516799</v>
      </c>
      <c r="AK18" s="13">
        <f>AVERAGE(Tabell1[Var.koeff
(%)])+3*_xlfn.STDEV.S(Tabell1[Var.koeff
(%)])</f>
        <v>2.6200234540521148</v>
      </c>
      <c r="AL18" s="13"/>
    </row>
    <row r="19" spans="1:38" x14ac:dyDescent="0.25">
      <c r="A19" s="1"/>
      <c r="B19" s="10" t="s">
        <v>103</v>
      </c>
      <c r="C19" s="37">
        <v>42684</v>
      </c>
      <c r="D19" s="11">
        <v>0.6697685185185186</v>
      </c>
      <c r="E19" s="11" t="s">
        <v>11</v>
      </c>
      <c r="F19" s="10">
        <v>29</v>
      </c>
      <c r="G19" s="10">
        <v>34.299999999999997</v>
      </c>
      <c r="H19" s="10">
        <v>0.3</v>
      </c>
      <c r="I19" s="10" t="s">
        <v>22</v>
      </c>
      <c r="J19" s="10">
        <v>49</v>
      </c>
      <c r="K19" s="10">
        <v>70</v>
      </c>
      <c r="L19" s="10" t="s">
        <v>22</v>
      </c>
      <c r="M19" s="10" t="s">
        <v>13</v>
      </c>
      <c r="N19" s="10" t="s">
        <v>14</v>
      </c>
      <c r="O19" s="14">
        <v>0.89900000000000002</v>
      </c>
      <c r="P19" s="14">
        <v>3.4449999999999998</v>
      </c>
      <c r="Q19" s="18">
        <f>AVERAGE(Tabell1[[#This Row],[µ1]:[µ5]])</f>
        <v>620.80179999999996</v>
      </c>
      <c r="R19" s="18">
        <f>Tabell1[[#This Row],[µ3]]/Tabell1[[#This Row],[stdev3]]</f>
        <v>66.030109585007253</v>
      </c>
      <c r="S19" s="12">
        <f>(MAX(Tabell1[[#This Row],[µ1]:[µ5]])-MIN(Tabell1[[#This Row],[µ1]:[µ5]]))/Tabell1[[#This Row],[Medelsignal]]*100</f>
        <v>2.0625906690347766</v>
      </c>
      <c r="T19" s="12">
        <f>Tabell1[[#This Row],[stdev6]]/Tabell1[[#This Row],[µ6]]*100</f>
        <v>2.2864817360637439</v>
      </c>
      <c r="U19" s="18">
        <f>Tabell1[[#This Row],[Medelsignal]]/Tabell1[[#This Row],[Rörladdning
(mAs)]]</f>
        <v>18.099177842565599</v>
      </c>
      <c r="V19" s="12">
        <v>622.35889999999995</v>
      </c>
      <c r="W19" s="12">
        <v>615.04930000000002</v>
      </c>
      <c r="X19" s="12">
        <v>627.85389999999995</v>
      </c>
      <c r="Y19" s="12">
        <v>621.4085</v>
      </c>
      <c r="Z19" s="12">
        <v>617.33839999999998</v>
      </c>
      <c r="AA19" s="12">
        <v>615.02350000000001</v>
      </c>
      <c r="AB19" s="12">
        <v>9.5521999999999991</v>
      </c>
      <c r="AC19" s="12">
        <v>10.4459</v>
      </c>
      <c r="AD19" s="12">
        <v>9.5085999999999995</v>
      </c>
      <c r="AE19" s="12">
        <v>10.061</v>
      </c>
      <c r="AF19" s="12">
        <v>10.232200000000001</v>
      </c>
      <c r="AG19" s="12">
        <v>14.0624</v>
      </c>
      <c r="AH19" s="13">
        <f>AVERAGE(Tabell1[Homogenitet
(%)])-3*_xlfn.STDEV.S(Tabell1[Homogenitet
(%)])</f>
        <v>-0.65261270700042018</v>
      </c>
      <c r="AI19" s="13">
        <f>AVERAGE(Tabell1[Homogenitet
(%)])+3*_xlfn.STDEV.S(Tabell1[Homogenitet
(%)])</f>
        <v>3.6149123488800541</v>
      </c>
      <c r="AJ19" s="13">
        <f>AVERAGE(Tabell1[Var.koeff
(%)])-3*_xlfn.STDEV.S(Tabell1[Var.koeff
(%)])</f>
        <v>1.8272977374516799</v>
      </c>
      <c r="AK19" s="13">
        <f>AVERAGE(Tabell1[Var.koeff
(%)])+3*_xlfn.STDEV.S(Tabell1[Var.koeff
(%)])</f>
        <v>2.6200234540521148</v>
      </c>
      <c r="AL19" s="13"/>
    </row>
    <row r="20" spans="1:38" x14ac:dyDescent="0.25">
      <c r="A20" s="1"/>
      <c r="B20" s="10" t="s">
        <v>103</v>
      </c>
      <c r="C20" s="37">
        <v>42689</v>
      </c>
      <c r="D20" s="11">
        <v>0.33539351851851856</v>
      </c>
      <c r="E20" s="11" t="s">
        <v>11</v>
      </c>
      <c r="F20" s="10">
        <v>29</v>
      </c>
      <c r="G20" s="10">
        <v>34.299999999999997</v>
      </c>
      <c r="H20" s="10">
        <v>0.3</v>
      </c>
      <c r="I20" s="10" t="s">
        <v>22</v>
      </c>
      <c r="J20" s="10">
        <v>50</v>
      </c>
      <c r="K20" s="10">
        <v>70</v>
      </c>
      <c r="L20" s="10" t="s">
        <v>22</v>
      </c>
      <c r="M20" s="10" t="s">
        <v>13</v>
      </c>
      <c r="N20" s="10" t="s">
        <v>14</v>
      </c>
      <c r="O20" s="14">
        <v>0.90500000000000003</v>
      </c>
      <c r="P20" s="14">
        <v>3.456</v>
      </c>
      <c r="Q20" s="18">
        <f>AVERAGE(Tabell1[[#This Row],[µ1]:[µ5]])</f>
        <v>617.4835599999999</v>
      </c>
      <c r="R20" s="18">
        <f>Tabell1[[#This Row],[µ3]]/Tabell1[[#This Row],[stdev3]]</f>
        <v>65.992696724079707</v>
      </c>
      <c r="S20" s="12">
        <f>(MAX(Tabell1[[#This Row],[µ1]:[µ5]])-MIN(Tabell1[[#This Row],[µ1]:[µ5]]))/Tabell1[[#This Row],[Medelsignal]]*100</f>
        <v>2.1139024332890743</v>
      </c>
      <c r="T20" s="12">
        <f>Tabell1[[#This Row],[stdev6]]/Tabell1[[#This Row],[µ6]]*100</f>
        <v>2.3449091483230711</v>
      </c>
      <c r="U20" s="18">
        <f>Tabell1[[#This Row],[Medelsignal]]/Tabell1[[#This Row],[Rörladdning
(mAs)]]</f>
        <v>18.002436151603497</v>
      </c>
      <c r="V20" s="12">
        <v>620.45640000000003</v>
      </c>
      <c r="W20" s="12">
        <v>612.49339999999995</v>
      </c>
      <c r="X20" s="12">
        <v>625.29399999999998</v>
      </c>
      <c r="Y20" s="12">
        <v>616.93299999999999</v>
      </c>
      <c r="Z20" s="12">
        <v>612.24099999999999</v>
      </c>
      <c r="AA20" s="12">
        <v>611.5077</v>
      </c>
      <c r="AB20" s="12">
        <v>9.5452999999999992</v>
      </c>
      <c r="AC20" s="12">
        <v>10.4145</v>
      </c>
      <c r="AD20" s="12">
        <v>9.4751999999999992</v>
      </c>
      <c r="AE20" s="12">
        <v>10.0059</v>
      </c>
      <c r="AF20" s="12">
        <v>10.1799</v>
      </c>
      <c r="AG20" s="12">
        <v>14.3393</v>
      </c>
      <c r="AH20" s="13">
        <f>AVERAGE(Tabell1[Homogenitet
(%)])-3*_xlfn.STDEV.S(Tabell1[Homogenitet
(%)])</f>
        <v>-0.65261270700042018</v>
      </c>
      <c r="AI20" s="13">
        <f>AVERAGE(Tabell1[Homogenitet
(%)])+3*_xlfn.STDEV.S(Tabell1[Homogenitet
(%)])</f>
        <v>3.6149123488800541</v>
      </c>
      <c r="AJ20" s="13">
        <f>AVERAGE(Tabell1[Var.koeff
(%)])-3*_xlfn.STDEV.S(Tabell1[Var.koeff
(%)])</f>
        <v>1.8272977374516799</v>
      </c>
      <c r="AK20" s="13">
        <f>AVERAGE(Tabell1[Var.koeff
(%)])+3*_xlfn.STDEV.S(Tabell1[Var.koeff
(%)])</f>
        <v>2.6200234540521148</v>
      </c>
      <c r="AL20" s="13"/>
    </row>
    <row r="21" spans="1:38" x14ac:dyDescent="0.25">
      <c r="A21" s="1"/>
      <c r="B21" s="10" t="s">
        <v>103</v>
      </c>
      <c r="C21" s="37">
        <v>42690</v>
      </c>
      <c r="D21" s="11">
        <v>0.37405092592592593</v>
      </c>
      <c r="E21" s="11" t="s">
        <v>11</v>
      </c>
      <c r="F21" s="10">
        <v>29</v>
      </c>
      <c r="G21" s="10">
        <v>34.299999999999997</v>
      </c>
      <c r="H21" s="10">
        <v>0.3</v>
      </c>
      <c r="I21" s="10" t="s">
        <v>22</v>
      </c>
      <c r="J21" s="10">
        <v>49</v>
      </c>
      <c r="K21" s="10">
        <v>70</v>
      </c>
      <c r="L21" s="10" t="s">
        <v>22</v>
      </c>
      <c r="M21" s="10" t="s">
        <v>13</v>
      </c>
      <c r="N21" s="10" t="s">
        <v>14</v>
      </c>
      <c r="O21" s="14">
        <v>0.89900000000000002</v>
      </c>
      <c r="P21" s="14">
        <v>3.4449999999999998</v>
      </c>
      <c r="Q21" s="18">
        <f>AVERAGE(Tabell1[[#This Row],[µ1]:[µ5]])</f>
        <v>619.26461999999992</v>
      </c>
      <c r="R21" s="18">
        <f>Tabell1[[#This Row],[µ3]]/Tabell1[[#This Row],[stdev3]]</f>
        <v>66.101052364650698</v>
      </c>
      <c r="S21" s="12">
        <f>(MAX(Tabell1[[#This Row],[µ1]:[µ5]])-MIN(Tabell1[[#This Row],[µ1]:[µ5]]))/Tabell1[[#This Row],[Medelsignal]]*100</f>
        <v>1.7391272893969034</v>
      </c>
      <c r="T21" s="12">
        <f>Tabell1[[#This Row],[stdev6]]/Tabell1[[#This Row],[µ6]]*100</f>
        <v>2.2617284240406224</v>
      </c>
      <c r="U21" s="18">
        <f>Tabell1[[#This Row],[Medelsignal]]/Tabell1[[#This Row],[Rörladdning
(mAs)]]</f>
        <v>18.054362099125363</v>
      </c>
      <c r="V21" s="12">
        <v>620.32370000000003</v>
      </c>
      <c r="W21" s="12">
        <v>614.83699999999999</v>
      </c>
      <c r="X21" s="12">
        <v>625.60680000000002</v>
      </c>
      <c r="Y21" s="12">
        <v>619.5489</v>
      </c>
      <c r="Z21" s="12">
        <v>616.00670000000002</v>
      </c>
      <c r="AA21" s="12">
        <v>613.47329999999999</v>
      </c>
      <c r="AB21" s="12">
        <v>9.5335000000000001</v>
      </c>
      <c r="AC21" s="12">
        <v>10.444100000000001</v>
      </c>
      <c r="AD21" s="12">
        <v>9.4643999999999995</v>
      </c>
      <c r="AE21" s="12">
        <v>10.0886</v>
      </c>
      <c r="AF21" s="12">
        <v>10.2052</v>
      </c>
      <c r="AG21" s="12">
        <v>13.8751</v>
      </c>
      <c r="AH21" s="13">
        <f>AVERAGE(Tabell1[Homogenitet
(%)])-3*_xlfn.STDEV.S(Tabell1[Homogenitet
(%)])</f>
        <v>-0.65261270700042018</v>
      </c>
      <c r="AI21" s="13">
        <f>AVERAGE(Tabell1[Homogenitet
(%)])+3*_xlfn.STDEV.S(Tabell1[Homogenitet
(%)])</f>
        <v>3.6149123488800541</v>
      </c>
      <c r="AJ21" s="13">
        <f>AVERAGE(Tabell1[Var.koeff
(%)])-3*_xlfn.STDEV.S(Tabell1[Var.koeff
(%)])</f>
        <v>1.8272977374516799</v>
      </c>
      <c r="AK21" s="13">
        <f>AVERAGE(Tabell1[Var.koeff
(%)])+3*_xlfn.STDEV.S(Tabell1[Var.koeff
(%)])</f>
        <v>2.6200234540521148</v>
      </c>
      <c r="AL21" s="13"/>
    </row>
    <row r="22" spans="1:38" x14ac:dyDescent="0.25">
      <c r="A22" s="1"/>
      <c r="B22" s="10" t="s">
        <v>103</v>
      </c>
      <c r="C22" s="37">
        <v>42699</v>
      </c>
      <c r="D22" s="11">
        <v>0.45249999999999996</v>
      </c>
      <c r="E22" s="11" t="s">
        <v>11</v>
      </c>
      <c r="F22" s="10">
        <v>29</v>
      </c>
      <c r="G22" s="10">
        <v>34.299999999999997</v>
      </c>
      <c r="H22" s="10">
        <v>0.3</v>
      </c>
      <c r="I22" s="10" t="s">
        <v>22</v>
      </c>
      <c r="J22" s="10">
        <v>49</v>
      </c>
      <c r="K22" s="10">
        <v>70</v>
      </c>
      <c r="L22" s="10" t="s">
        <v>22</v>
      </c>
      <c r="M22" s="10" t="s">
        <v>13</v>
      </c>
      <c r="N22" s="10" t="s">
        <v>14</v>
      </c>
      <c r="O22" s="14">
        <v>0.89900000000000002</v>
      </c>
      <c r="P22" s="14">
        <v>3.4449999999999998</v>
      </c>
      <c r="Q22" s="18">
        <f>AVERAGE(Tabell1[[#This Row],[µ1]:[µ5]])</f>
        <v>618.75416000000007</v>
      </c>
      <c r="R22" s="18">
        <f>Tabell1[[#This Row],[µ3]]/Tabell1[[#This Row],[stdev3]]</f>
        <v>66.42189058950899</v>
      </c>
      <c r="S22" s="12">
        <f>(MAX(Tabell1[[#This Row],[µ1]:[µ5]])-MIN(Tabell1[[#This Row],[µ1]:[µ5]]))/Tabell1[[#This Row],[Medelsignal]]*100</f>
        <v>1.9880270380727507</v>
      </c>
      <c r="T22" s="12">
        <f>Tabell1[[#This Row],[stdev6]]/Tabell1[[#This Row],[µ6]]*100</f>
        <v>2.338792206887244</v>
      </c>
      <c r="U22" s="18">
        <f>Tabell1[[#This Row],[Medelsignal]]/Tabell1[[#This Row],[Rörladdning
(mAs)]]</f>
        <v>18.039479883381929</v>
      </c>
      <c r="V22" s="12">
        <v>620.90970000000004</v>
      </c>
      <c r="W22" s="12">
        <v>613.48620000000005</v>
      </c>
      <c r="X22" s="12">
        <v>625.78719999999998</v>
      </c>
      <c r="Y22" s="12">
        <v>618.97119999999995</v>
      </c>
      <c r="Z22" s="12">
        <v>614.61649999999997</v>
      </c>
      <c r="AA22" s="12">
        <v>612.78210000000001</v>
      </c>
      <c r="AB22" s="12">
        <v>9.5534999999999997</v>
      </c>
      <c r="AC22" s="12">
        <v>10.5017</v>
      </c>
      <c r="AD22" s="12">
        <v>9.4214000000000002</v>
      </c>
      <c r="AE22" s="12">
        <v>10.089</v>
      </c>
      <c r="AF22" s="12">
        <v>10.2499</v>
      </c>
      <c r="AG22" s="12">
        <v>14.3317</v>
      </c>
      <c r="AH22" s="13">
        <f>AVERAGE(Tabell1[Homogenitet
(%)])-3*_xlfn.STDEV.S(Tabell1[Homogenitet
(%)])</f>
        <v>-0.65261270700042018</v>
      </c>
      <c r="AI22" s="13">
        <f>AVERAGE(Tabell1[Homogenitet
(%)])+3*_xlfn.STDEV.S(Tabell1[Homogenitet
(%)])</f>
        <v>3.6149123488800541</v>
      </c>
      <c r="AJ22" s="13">
        <f>AVERAGE(Tabell1[Var.koeff
(%)])-3*_xlfn.STDEV.S(Tabell1[Var.koeff
(%)])</f>
        <v>1.8272977374516799</v>
      </c>
      <c r="AK22" s="13">
        <f>AVERAGE(Tabell1[Var.koeff
(%)])+3*_xlfn.STDEV.S(Tabell1[Var.koeff
(%)])</f>
        <v>2.6200234540521148</v>
      </c>
      <c r="AL22" s="13"/>
    </row>
    <row r="23" spans="1:38" x14ac:dyDescent="0.25">
      <c r="A23" s="1"/>
      <c r="B23" s="10" t="s">
        <v>103</v>
      </c>
      <c r="C23" s="37">
        <v>42702</v>
      </c>
      <c r="D23" s="11">
        <v>0.4649537037037037</v>
      </c>
      <c r="E23" s="11" t="s">
        <v>11</v>
      </c>
      <c r="F23" s="10">
        <v>29</v>
      </c>
      <c r="G23" s="10">
        <v>34.299999999999997</v>
      </c>
      <c r="H23" s="10">
        <v>0.3</v>
      </c>
      <c r="I23" s="10" t="s">
        <v>22</v>
      </c>
      <c r="J23" s="10">
        <v>50</v>
      </c>
      <c r="K23" s="10">
        <v>70</v>
      </c>
      <c r="L23" s="10" t="s">
        <v>22</v>
      </c>
      <c r="M23" s="10" t="s">
        <v>13</v>
      </c>
      <c r="N23" s="10" t="s">
        <v>14</v>
      </c>
      <c r="O23" s="14">
        <v>0.90500000000000003</v>
      </c>
      <c r="P23" s="14">
        <v>3.456</v>
      </c>
      <c r="Q23" s="18">
        <f>AVERAGE(Tabell1[[#This Row],[µ1]:[µ5]])</f>
        <v>616.99288000000001</v>
      </c>
      <c r="R23" s="18">
        <f>Tabell1[[#This Row],[µ3]]/Tabell1[[#This Row],[stdev3]]</f>
        <v>66.115050053969398</v>
      </c>
      <c r="S23" s="12">
        <f>(MAX(Tabell1[[#This Row],[µ1]:[µ5]])-MIN(Tabell1[[#This Row],[µ1]:[µ5]]))/Tabell1[[#This Row],[Medelsignal]]*100</f>
        <v>2.1400895258305108</v>
      </c>
      <c r="T23" s="12">
        <f>Tabell1[[#This Row],[stdev6]]/Tabell1[[#This Row],[µ6]]*100</f>
        <v>2.3701814686301486</v>
      </c>
      <c r="U23" s="18">
        <f>Tabell1[[#This Row],[Medelsignal]]/Tabell1[[#This Row],[Rörladdning
(mAs)]]</f>
        <v>17.988130612244898</v>
      </c>
      <c r="V23" s="12">
        <v>619.66809999999998</v>
      </c>
      <c r="W23" s="12">
        <v>611.56979999999999</v>
      </c>
      <c r="X23" s="12">
        <v>624.774</v>
      </c>
      <c r="Y23" s="12">
        <v>616.97839999999997</v>
      </c>
      <c r="Z23" s="12">
        <v>611.97410000000002</v>
      </c>
      <c r="AA23" s="12">
        <v>610.86040000000003</v>
      </c>
      <c r="AB23" s="12">
        <v>9.5409000000000006</v>
      </c>
      <c r="AC23" s="12">
        <v>10.412800000000001</v>
      </c>
      <c r="AD23" s="12">
        <v>9.4497999999999998</v>
      </c>
      <c r="AE23" s="12">
        <v>10.025499999999999</v>
      </c>
      <c r="AF23" s="12">
        <v>10.161099999999999</v>
      </c>
      <c r="AG23" s="12">
        <v>14.4785</v>
      </c>
      <c r="AH23" s="13">
        <f>AVERAGE(Tabell1[Homogenitet
(%)])-3*_xlfn.STDEV.S(Tabell1[Homogenitet
(%)])</f>
        <v>-0.65261270700042018</v>
      </c>
      <c r="AI23" s="13">
        <f>AVERAGE(Tabell1[Homogenitet
(%)])+3*_xlfn.STDEV.S(Tabell1[Homogenitet
(%)])</f>
        <v>3.6149123488800541</v>
      </c>
      <c r="AJ23" s="13">
        <f>AVERAGE(Tabell1[Var.koeff
(%)])-3*_xlfn.STDEV.S(Tabell1[Var.koeff
(%)])</f>
        <v>1.8272977374516799</v>
      </c>
      <c r="AK23" s="13">
        <f>AVERAGE(Tabell1[Var.koeff
(%)])+3*_xlfn.STDEV.S(Tabell1[Var.koeff
(%)])</f>
        <v>2.6200234540521148</v>
      </c>
      <c r="AL23" s="13"/>
    </row>
    <row r="24" spans="1:38" x14ac:dyDescent="0.25">
      <c r="A24" s="1"/>
      <c r="B24" s="10" t="s">
        <v>103</v>
      </c>
      <c r="C24" s="37">
        <v>42703</v>
      </c>
      <c r="D24" s="11">
        <v>0.36947916666666664</v>
      </c>
      <c r="E24" s="11" t="s">
        <v>11</v>
      </c>
      <c r="F24" s="10">
        <v>29</v>
      </c>
      <c r="G24" s="10">
        <v>34.299999999999997</v>
      </c>
      <c r="H24" s="10">
        <v>0.3</v>
      </c>
      <c r="I24" s="10" t="s">
        <v>22</v>
      </c>
      <c r="J24" s="10">
        <v>49</v>
      </c>
      <c r="K24" s="10">
        <v>70</v>
      </c>
      <c r="L24" s="10" t="s">
        <v>22</v>
      </c>
      <c r="M24" s="10" t="s">
        <v>13</v>
      </c>
      <c r="N24" s="10" t="s">
        <v>14</v>
      </c>
      <c r="O24" s="14">
        <v>0.89900000000000002</v>
      </c>
      <c r="P24" s="14">
        <v>3.4449999999999998</v>
      </c>
      <c r="Q24" s="18">
        <f>AVERAGE(Tabell1[[#This Row],[µ1]:[µ5]])</f>
        <v>615.77690000000007</v>
      </c>
      <c r="R24" s="18">
        <f>Tabell1[[#This Row],[µ3]]/Tabell1[[#This Row],[stdev3]]</f>
        <v>65.985910576587443</v>
      </c>
      <c r="S24" s="12">
        <f>(MAX(Tabell1[[#This Row],[µ1]:[µ5]])-MIN(Tabell1[[#This Row],[µ1]:[µ5]]))/Tabell1[[#This Row],[Medelsignal]]*100</f>
        <v>2.2805499849052437</v>
      </c>
      <c r="T24" s="12">
        <f>Tabell1[[#This Row],[stdev6]]/Tabell1[[#This Row],[µ6]]*100</f>
        <v>2.3899932624501981</v>
      </c>
      <c r="U24" s="18">
        <f>Tabell1[[#This Row],[Medelsignal]]/Tabell1[[#This Row],[Rörladdning
(mAs)]]</f>
        <v>17.95267930029155</v>
      </c>
      <c r="V24" s="12">
        <v>618.37969999999996</v>
      </c>
      <c r="W24" s="12">
        <v>609.78110000000004</v>
      </c>
      <c r="X24" s="12">
        <v>623.82420000000002</v>
      </c>
      <c r="Y24" s="12">
        <v>616.21190000000001</v>
      </c>
      <c r="Z24" s="12">
        <v>610.68759999999997</v>
      </c>
      <c r="AA24" s="12">
        <v>609.71720000000005</v>
      </c>
      <c r="AB24" s="12">
        <v>9.5508000000000006</v>
      </c>
      <c r="AC24" s="12">
        <v>10.3706</v>
      </c>
      <c r="AD24" s="12">
        <v>9.4539000000000009</v>
      </c>
      <c r="AE24" s="12">
        <v>9.9781999999999993</v>
      </c>
      <c r="AF24" s="12">
        <v>10.168699999999999</v>
      </c>
      <c r="AG24" s="12">
        <v>14.5722</v>
      </c>
      <c r="AH24" s="13">
        <f>AVERAGE(Tabell1[Homogenitet
(%)])-3*_xlfn.STDEV.S(Tabell1[Homogenitet
(%)])</f>
        <v>-0.65261270700042018</v>
      </c>
      <c r="AI24" s="13">
        <f>AVERAGE(Tabell1[Homogenitet
(%)])+3*_xlfn.STDEV.S(Tabell1[Homogenitet
(%)])</f>
        <v>3.6149123488800541</v>
      </c>
      <c r="AJ24" s="13">
        <f>AVERAGE(Tabell1[Var.koeff
(%)])-3*_xlfn.STDEV.S(Tabell1[Var.koeff
(%)])</f>
        <v>1.8272977374516799</v>
      </c>
      <c r="AK24" s="13">
        <f>AVERAGE(Tabell1[Var.koeff
(%)])+3*_xlfn.STDEV.S(Tabell1[Var.koeff
(%)])</f>
        <v>2.6200234540521148</v>
      </c>
      <c r="AL24" s="13"/>
    </row>
    <row r="25" spans="1:38" x14ac:dyDescent="0.25">
      <c r="A25" s="1"/>
      <c r="B25" s="10" t="s">
        <v>103</v>
      </c>
      <c r="C25" s="37">
        <v>42704</v>
      </c>
      <c r="D25" s="11">
        <v>0.54011574074074076</v>
      </c>
      <c r="E25" s="11" t="s">
        <v>11</v>
      </c>
      <c r="F25" s="10">
        <v>29</v>
      </c>
      <c r="G25" s="10">
        <v>34.299999999999997</v>
      </c>
      <c r="H25" s="10">
        <v>0.3</v>
      </c>
      <c r="I25" s="10" t="s">
        <v>22</v>
      </c>
      <c r="J25" s="10">
        <v>49</v>
      </c>
      <c r="K25" s="10">
        <v>70</v>
      </c>
      <c r="L25" s="10" t="s">
        <v>22</v>
      </c>
      <c r="M25" s="10" t="s">
        <v>13</v>
      </c>
      <c r="N25" s="10" t="s">
        <v>14</v>
      </c>
      <c r="O25" s="14">
        <v>0.89900000000000002</v>
      </c>
      <c r="P25" s="14">
        <v>3.4449999999999998</v>
      </c>
      <c r="Q25" s="18">
        <f>AVERAGE(Tabell1[[#This Row],[µ1]:[µ5]])</f>
        <v>621.93251999999995</v>
      </c>
      <c r="R25" s="18">
        <f>Tabell1[[#This Row],[µ3]]/Tabell1[[#This Row],[stdev3]]</f>
        <v>66.274884271491686</v>
      </c>
      <c r="S25" s="12">
        <f>(MAX(Tabell1[[#This Row],[µ1]:[µ5]])-MIN(Tabell1[[#This Row],[µ1]:[µ5]]))/Tabell1[[#This Row],[Medelsignal]]*100</f>
        <v>1.3933505197637865</v>
      </c>
      <c r="T25" s="12">
        <f>Tabell1[[#This Row],[stdev6]]/Tabell1[[#This Row],[µ6]]*100</f>
        <v>2.2608589284703235</v>
      </c>
      <c r="U25" s="18">
        <f>Tabell1[[#This Row],[Medelsignal]]/Tabell1[[#This Row],[Rörladdning
(mAs)]]</f>
        <v>18.132143440233236</v>
      </c>
      <c r="V25" s="12">
        <v>623.01649999999995</v>
      </c>
      <c r="W25" s="12">
        <v>618.41399999999999</v>
      </c>
      <c r="X25" s="12">
        <v>627.0797</v>
      </c>
      <c r="Y25" s="12">
        <v>621.8252</v>
      </c>
      <c r="Z25" s="12">
        <v>619.32719999999995</v>
      </c>
      <c r="AA25" s="12">
        <v>616.40290000000005</v>
      </c>
      <c r="AB25" s="12">
        <v>9.5504999999999995</v>
      </c>
      <c r="AC25" s="12">
        <v>10.5037</v>
      </c>
      <c r="AD25" s="12">
        <v>9.4618000000000002</v>
      </c>
      <c r="AE25" s="12">
        <v>10.234299999999999</v>
      </c>
      <c r="AF25" s="12">
        <v>10.2555</v>
      </c>
      <c r="AG25" s="12">
        <v>13.936</v>
      </c>
      <c r="AH25" s="13">
        <f>AVERAGE(Tabell1[Homogenitet
(%)])-3*_xlfn.STDEV.S(Tabell1[Homogenitet
(%)])</f>
        <v>-0.65261270700042018</v>
      </c>
      <c r="AI25" s="13">
        <f>AVERAGE(Tabell1[Homogenitet
(%)])+3*_xlfn.STDEV.S(Tabell1[Homogenitet
(%)])</f>
        <v>3.6149123488800541</v>
      </c>
      <c r="AJ25" s="13">
        <f>AVERAGE(Tabell1[Var.koeff
(%)])-3*_xlfn.STDEV.S(Tabell1[Var.koeff
(%)])</f>
        <v>1.8272977374516799</v>
      </c>
      <c r="AK25" s="13">
        <f>AVERAGE(Tabell1[Var.koeff
(%)])+3*_xlfn.STDEV.S(Tabell1[Var.koeff
(%)])</f>
        <v>2.6200234540521148</v>
      </c>
      <c r="AL25" s="13"/>
    </row>
    <row r="26" spans="1:38" x14ac:dyDescent="0.25">
      <c r="A26" s="1"/>
      <c r="B26" s="10" t="s">
        <v>103</v>
      </c>
      <c r="C26" s="37">
        <v>42709</v>
      </c>
      <c r="D26" s="11">
        <v>0.35368055555555555</v>
      </c>
      <c r="E26" s="11" t="s">
        <v>11</v>
      </c>
      <c r="F26" s="10">
        <v>29</v>
      </c>
      <c r="G26" s="10">
        <v>34.299999999999997</v>
      </c>
      <c r="H26" s="10">
        <v>0.3</v>
      </c>
      <c r="I26" s="10" t="s">
        <v>22</v>
      </c>
      <c r="J26" s="10">
        <v>50</v>
      </c>
      <c r="K26" s="10">
        <v>70</v>
      </c>
      <c r="L26" s="10" t="s">
        <v>22</v>
      </c>
      <c r="M26" s="10" t="s">
        <v>13</v>
      </c>
      <c r="N26" s="10" t="s">
        <v>14</v>
      </c>
      <c r="O26" s="14">
        <v>0.9</v>
      </c>
      <c r="P26" s="14">
        <v>3.456</v>
      </c>
      <c r="Q26" s="18">
        <f>AVERAGE(Tabell1[[#This Row],[µ1]:[µ5]])</f>
        <v>614.29320000000007</v>
      </c>
      <c r="R26" s="18">
        <f>Tabell1[[#This Row],[µ3]]/Tabell1[[#This Row],[stdev3]]</f>
        <v>65.465166580917483</v>
      </c>
      <c r="S26" s="12">
        <f>(MAX(Tabell1[[#This Row],[µ1]:[µ5]])-MIN(Tabell1[[#This Row],[µ1]:[µ5]]))/Tabell1[[#This Row],[Medelsignal]]*100</f>
        <v>2.6013636484987979</v>
      </c>
      <c r="T26" s="12">
        <f>Tabell1[[#This Row],[stdev6]]/Tabell1[[#This Row],[µ6]]*100</f>
        <v>2.4553085714746246</v>
      </c>
      <c r="U26" s="18">
        <f>Tabell1[[#This Row],[Medelsignal]]/Tabell1[[#This Row],[Rörladdning
(mAs)]]</f>
        <v>17.909422740524786</v>
      </c>
      <c r="V26" s="12">
        <v>617.74710000000005</v>
      </c>
      <c r="W26" s="12">
        <v>608.21929999999998</v>
      </c>
      <c r="X26" s="12">
        <v>623.4837</v>
      </c>
      <c r="Y26" s="12">
        <v>614.51220000000001</v>
      </c>
      <c r="Z26" s="12">
        <v>607.50369999999998</v>
      </c>
      <c r="AA26" s="12">
        <v>607.99689999999998</v>
      </c>
      <c r="AB26" s="12">
        <v>9.5924999999999994</v>
      </c>
      <c r="AC26" s="12">
        <v>10.4407</v>
      </c>
      <c r="AD26" s="12">
        <v>9.5238999999999994</v>
      </c>
      <c r="AE26" s="12">
        <v>10.057</v>
      </c>
      <c r="AF26" s="12">
        <v>10.176</v>
      </c>
      <c r="AG26" s="12">
        <v>14.9282</v>
      </c>
      <c r="AH26" s="13">
        <f>AVERAGE(Tabell1[Homogenitet
(%)])-3*_xlfn.STDEV.S(Tabell1[Homogenitet
(%)])</f>
        <v>-0.65261270700042018</v>
      </c>
      <c r="AI26" s="13">
        <f>AVERAGE(Tabell1[Homogenitet
(%)])+3*_xlfn.STDEV.S(Tabell1[Homogenitet
(%)])</f>
        <v>3.6149123488800541</v>
      </c>
      <c r="AJ26" s="13">
        <f>AVERAGE(Tabell1[Var.koeff
(%)])-3*_xlfn.STDEV.S(Tabell1[Var.koeff
(%)])</f>
        <v>1.8272977374516799</v>
      </c>
      <c r="AK26" s="13">
        <f>AVERAGE(Tabell1[Var.koeff
(%)])+3*_xlfn.STDEV.S(Tabell1[Var.koeff
(%)])</f>
        <v>2.6200234540521148</v>
      </c>
      <c r="AL26" s="13"/>
    </row>
    <row r="27" spans="1:38" x14ac:dyDescent="0.25">
      <c r="A27" s="1"/>
      <c r="B27" s="10" t="s">
        <v>103</v>
      </c>
      <c r="C27" s="37">
        <v>42711</v>
      </c>
      <c r="D27" s="11">
        <v>0.40914351851851855</v>
      </c>
      <c r="E27" s="11" t="s">
        <v>11</v>
      </c>
      <c r="F27" s="10">
        <v>29</v>
      </c>
      <c r="G27" s="10">
        <v>34.299999999999997</v>
      </c>
      <c r="H27" s="10">
        <v>0.3</v>
      </c>
      <c r="I27" s="10" t="s">
        <v>22</v>
      </c>
      <c r="J27" s="10">
        <v>49</v>
      </c>
      <c r="K27" s="10">
        <v>70</v>
      </c>
      <c r="L27" s="10" t="s">
        <v>22</v>
      </c>
      <c r="M27" s="10" t="s">
        <v>13</v>
      </c>
      <c r="N27" s="10" t="s">
        <v>14</v>
      </c>
      <c r="O27" s="14">
        <v>0.89900000000000002</v>
      </c>
      <c r="P27" s="14">
        <v>3.4449999999999998</v>
      </c>
      <c r="Q27" s="18">
        <f>AVERAGE(Tabell1[[#This Row],[µ1]:[µ5]])</f>
        <v>616.95615999999995</v>
      </c>
      <c r="R27" s="18">
        <f>Tabell1[[#This Row],[µ3]]/Tabell1[[#This Row],[stdev3]]</f>
        <v>65.95659652603365</v>
      </c>
      <c r="S27" s="12">
        <f>(MAX(Tabell1[[#This Row],[µ1]:[µ5]])-MIN(Tabell1[[#This Row],[µ1]:[µ5]]))/Tabell1[[#This Row],[Medelsignal]]*100</f>
        <v>2.1803980367097862</v>
      </c>
      <c r="T27" s="12">
        <f>Tabell1[[#This Row],[stdev6]]/Tabell1[[#This Row],[µ6]]*100</f>
        <v>2.3574433623057849</v>
      </c>
      <c r="U27" s="18">
        <f>Tabell1[[#This Row],[Medelsignal]]/Tabell1[[#This Row],[Rörladdning
(mAs)]]</f>
        <v>17.987060058309037</v>
      </c>
      <c r="V27" s="12">
        <v>619.34569999999997</v>
      </c>
      <c r="W27" s="12">
        <v>611.56579999999997</v>
      </c>
      <c r="X27" s="12">
        <v>625.01790000000005</v>
      </c>
      <c r="Y27" s="12">
        <v>616.92700000000002</v>
      </c>
      <c r="Z27" s="12">
        <v>611.92439999999999</v>
      </c>
      <c r="AA27" s="12">
        <v>610.97119999999995</v>
      </c>
      <c r="AB27" s="12">
        <v>9.5541</v>
      </c>
      <c r="AC27" s="12">
        <v>10.386799999999999</v>
      </c>
      <c r="AD27" s="12">
        <v>9.4762000000000004</v>
      </c>
      <c r="AE27" s="12">
        <v>9.9301999999999992</v>
      </c>
      <c r="AF27" s="12">
        <v>10.148899999999999</v>
      </c>
      <c r="AG27" s="12">
        <v>14.4033</v>
      </c>
      <c r="AH27" s="13">
        <f>AVERAGE(Tabell1[Homogenitet
(%)])-3*_xlfn.STDEV.S(Tabell1[Homogenitet
(%)])</f>
        <v>-0.65261270700042018</v>
      </c>
      <c r="AI27" s="13">
        <f>AVERAGE(Tabell1[Homogenitet
(%)])+3*_xlfn.STDEV.S(Tabell1[Homogenitet
(%)])</f>
        <v>3.6149123488800541</v>
      </c>
      <c r="AJ27" s="13">
        <f>AVERAGE(Tabell1[Var.koeff
(%)])-3*_xlfn.STDEV.S(Tabell1[Var.koeff
(%)])</f>
        <v>1.8272977374516799</v>
      </c>
      <c r="AK27" s="13">
        <f>AVERAGE(Tabell1[Var.koeff
(%)])+3*_xlfn.STDEV.S(Tabell1[Var.koeff
(%)])</f>
        <v>2.6200234540521148</v>
      </c>
      <c r="AL27" s="13"/>
    </row>
    <row r="28" spans="1:38" x14ac:dyDescent="0.25">
      <c r="A28" s="1"/>
      <c r="B28" s="10" t="s">
        <v>103</v>
      </c>
      <c r="C28" s="37">
        <v>42713</v>
      </c>
      <c r="D28" s="11">
        <v>0.44947916666666665</v>
      </c>
      <c r="E28" s="11" t="s">
        <v>11</v>
      </c>
      <c r="F28" s="10">
        <v>29</v>
      </c>
      <c r="G28" s="10">
        <v>34.299999999999997</v>
      </c>
      <c r="H28" s="10">
        <v>0.3</v>
      </c>
      <c r="I28" s="10" t="s">
        <v>22</v>
      </c>
      <c r="J28" s="10">
        <v>50</v>
      </c>
      <c r="K28" s="10">
        <v>60</v>
      </c>
      <c r="L28" s="10" t="s">
        <v>22</v>
      </c>
      <c r="M28" s="10" t="s">
        <v>13</v>
      </c>
      <c r="N28" s="10" t="s">
        <v>14</v>
      </c>
      <c r="O28" s="14">
        <v>0.90500000000000003</v>
      </c>
      <c r="P28" s="14">
        <v>3.456</v>
      </c>
      <c r="Q28" s="18">
        <f>AVERAGE(Tabell1[[#This Row],[µ1]:[µ5]])</f>
        <v>620.55952000000002</v>
      </c>
      <c r="R28" s="18">
        <f>Tabell1[[#This Row],[µ3]]/Tabell1[[#This Row],[stdev3]]</f>
        <v>66.214358931005691</v>
      </c>
      <c r="S28" s="12">
        <f>(MAX(Tabell1[[#This Row],[µ1]:[µ5]])-MIN(Tabell1[[#This Row],[µ1]:[µ5]]))/Tabell1[[#This Row],[Medelsignal]]*100</f>
        <v>1.6090156831370563</v>
      </c>
      <c r="T28" s="12">
        <f>Tabell1[[#This Row],[stdev6]]/Tabell1[[#This Row],[µ6]]*100</f>
        <v>2.2961517658189949</v>
      </c>
      <c r="U28" s="18">
        <f>Tabell1[[#This Row],[Medelsignal]]/Tabell1[[#This Row],[Rörladdning
(mAs)]]</f>
        <v>18.092114285714288</v>
      </c>
      <c r="V28" s="12">
        <v>621.6789</v>
      </c>
      <c r="W28" s="12">
        <v>616.60820000000001</v>
      </c>
      <c r="X28" s="12">
        <v>626.59310000000005</v>
      </c>
      <c r="Y28" s="12">
        <v>620.74130000000002</v>
      </c>
      <c r="Z28" s="12">
        <v>617.17610000000002</v>
      </c>
      <c r="AA28" s="12">
        <v>614.91579999999999</v>
      </c>
      <c r="AB28" s="12">
        <v>9.5587999999999997</v>
      </c>
      <c r="AC28" s="12">
        <v>10.5136</v>
      </c>
      <c r="AD28" s="12">
        <v>9.4631000000000007</v>
      </c>
      <c r="AE28" s="12">
        <v>10.2156</v>
      </c>
      <c r="AF28" s="12">
        <v>10.214700000000001</v>
      </c>
      <c r="AG28" s="12">
        <v>14.119400000000001</v>
      </c>
      <c r="AH28" s="13">
        <f>AVERAGE(Tabell1[Homogenitet
(%)])-3*_xlfn.STDEV.S(Tabell1[Homogenitet
(%)])</f>
        <v>-0.65261270700042018</v>
      </c>
      <c r="AI28" s="13">
        <f>AVERAGE(Tabell1[Homogenitet
(%)])+3*_xlfn.STDEV.S(Tabell1[Homogenitet
(%)])</f>
        <v>3.6149123488800541</v>
      </c>
      <c r="AJ28" s="13">
        <f>AVERAGE(Tabell1[Var.koeff
(%)])-3*_xlfn.STDEV.S(Tabell1[Var.koeff
(%)])</f>
        <v>1.8272977374516799</v>
      </c>
      <c r="AK28" s="13">
        <f>AVERAGE(Tabell1[Var.koeff
(%)])+3*_xlfn.STDEV.S(Tabell1[Var.koeff
(%)])</f>
        <v>2.6200234540521148</v>
      </c>
      <c r="AL28" s="13"/>
    </row>
    <row r="29" spans="1:38" x14ac:dyDescent="0.25">
      <c r="A29" s="1"/>
      <c r="B29" s="10" t="s">
        <v>103</v>
      </c>
      <c r="C29" s="37">
        <v>42717</v>
      </c>
      <c r="D29" s="11">
        <v>0.39921296296296299</v>
      </c>
      <c r="E29" s="11" t="s">
        <v>11</v>
      </c>
      <c r="F29" s="10">
        <v>29</v>
      </c>
      <c r="G29" s="10">
        <v>34.299999999999997</v>
      </c>
      <c r="H29" s="10">
        <v>0.3</v>
      </c>
      <c r="I29" s="10" t="s">
        <v>22</v>
      </c>
      <c r="J29" s="10">
        <v>49</v>
      </c>
      <c r="K29" s="10">
        <v>70</v>
      </c>
      <c r="L29" s="10" t="s">
        <v>22</v>
      </c>
      <c r="M29" s="10" t="s">
        <v>13</v>
      </c>
      <c r="N29" s="10" t="s">
        <v>14</v>
      </c>
      <c r="O29" s="14">
        <v>0.89900000000000002</v>
      </c>
      <c r="P29" s="14">
        <v>3.4449999999999998</v>
      </c>
      <c r="Q29" s="18">
        <f>AVERAGE(Tabell1[[#This Row],[µ1]:[µ5]])</f>
        <v>618.34023999999999</v>
      </c>
      <c r="R29" s="18">
        <f>Tabell1[[#This Row],[µ3]]/Tabell1[[#This Row],[stdev3]]</f>
        <v>66.1223603272243</v>
      </c>
      <c r="S29" s="12">
        <f>(MAX(Tabell1[[#This Row],[µ1]:[µ5]])-MIN(Tabell1[[#This Row],[µ1]:[µ5]]))/Tabell1[[#This Row],[Medelsignal]]*100</f>
        <v>1.9260270041619814</v>
      </c>
      <c r="T29" s="12">
        <f>Tabell1[[#This Row],[stdev6]]/Tabell1[[#This Row],[µ6]]*100</f>
        <v>2.3361662916322854</v>
      </c>
      <c r="U29" s="18">
        <f>Tabell1[[#This Row],[Medelsignal]]/Tabell1[[#This Row],[Rörladdning
(mAs)]]</f>
        <v>18.02741224489796</v>
      </c>
      <c r="V29" s="12">
        <v>621.14469999999994</v>
      </c>
      <c r="W29" s="12">
        <v>613.72900000000004</v>
      </c>
      <c r="X29" s="12">
        <v>625.61009999999999</v>
      </c>
      <c r="Y29" s="12">
        <v>617.51670000000001</v>
      </c>
      <c r="Z29" s="12">
        <v>613.70069999999998</v>
      </c>
      <c r="AA29" s="12">
        <v>612.6105</v>
      </c>
      <c r="AB29" s="12">
        <v>9.5182000000000002</v>
      </c>
      <c r="AC29" s="12">
        <v>10.4383</v>
      </c>
      <c r="AD29" s="12">
        <v>9.4613999999999994</v>
      </c>
      <c r="AE29" s="12">
        <v>10.091200000000001</v>
      </c>
      <c r="AF29" s="12">
        <v>10.141</v>
      </c>
      <c r="AG29" s="12">
        <v>14.3116</v>
      </c>
      <c r="AH29" s="13">
        <f>AVERAGE(Tabell1[Homogenitet
(%)])-3*_xlfn.STDEV.S(Tabell1[Homogenitet
(%)])</f>
        <v>-0.65261270700042018</v>
      </c>
      <c r="AI29" s="13">
        <f>AVERAGE(Tabell1[Homogenitet
(%)])+3*_xlfn.STDEV.S(Tabell1[Homogenitet
(%)])</f>
        <v>3.6149123488800541</v>
      </c>
      <c r="AJ29" s="13">
        <f>AVERAGE(Tabell1[Var.koeff
(%)])-3*_xlfn.STDEV.S(Tabell1[Var.koeff
(%)])</f>
        <v>1.8272977374516799</v>
      </c>
      <c r="AK29" s="13">
        <f>AVERAGE(Tabell1[Var.koeff
(%)])+3*_xlfn.STDEV.S(Tabell1[Var.koeff
(%)])</f>
        <v>2.6200234540521148</v>
      </c>
      <c r="AL29" s="13"/>
    </row>
    <row r="30" spans="1:38" x14ac:dyDescent="0.25">
      <c r="A30" s="1"/>
      <c r="B30" s="10"/>
      <c r="C30" s="10"/>
      <c r="D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</row>
    <row r="31" spans="1:38" x14ac:dyDescent="0.25">
      <c r="A31" s="1"/>
    </row>
    <row r="32" spans="1:38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</sheetData>
  <mergeCells count="3">
    <mergeCell ref="B5:P5"/>
    <mergeCell ref="Q5:U5"/>
    <mergeCell ref="V5:AG5"/>
  </mergeCells>
  <conditionalFormatting sqref="E7:E29">
    <cfRule type="cellIs" dxfId="2" priority="4" operator="notEqual">
      <formula>"FOR PROCESSING"</formula>
    </cfRule>
  </conditionalFormatting>
  <conditionalFormatting sqref="M7:M29">
    <cfRule type="cellIs" dxfId="1" priority="2" operator="notEqual">
      <formula>"AUTOMATIC"</formula>
    </cfRule>
  </conditionalFormatting>
  <conditionalFormatting sqref="N7:N29">
    <cfRule type="cellIs" dxfId="0" priority="1" operator="notEqual">
      <formula>"AOP dose"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howHideRoiData">
          <controlPr defaultSize="0" autoLine="0" r:id="rId5">
            <anchor moveWithCells="1">
              <from>
                <xdr:col>19</xdr:col>
                <xdr:colOff>171450</xdr:colOff>
                <xdr:row>1</xdr:row>
                <xdr:rowOff>9525</xdr:rowOff>
              </from>
              <to>
                <xdr:col>21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30" r:id="rId4" name="ShowHideRoiData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B2:D17"/>
  <sheetViews>
    <sheetView showGridLines="0" workbookViewId="0">
      <selection activeCell="F21" sqref="F21"/>
    </sheetView>
  </sheetViews>
  <sheetFormatPr defaultRowHeight="15" x14ac:dyDescent="0.25"/>
  <cols>
    <col min="1" max="1" width="5.28515625" customWidth="1"/>
    <col min="2" max="2" width="19.5703125" customWidth="1"/>
    <col min="3" max="4" width="37.5703125" customWidth="1"/>
    <col min="5" max="5" width="16.42578125" customWidth="1"/>
  </cols>
  <sheetData>
    <row r="2" spans="2:4" x14ac:dyDescent="0.25">
      <c r="B2" t="s">
        <v>61</v>
      </c>
      <c r="C2" t="s">
        <v>62</v>
      </c>
      <c r="D2" t="s">
        <v>63</v>
      </c>
    </row>
    <row r="3" spans="2:4" x14ac:dyDescent="0.25">
      <c r="B3" t="s">
        <v>65</v>
      </c>
      <c r="C3" t="s">
        <v>64</v>
      </c>
      <c r="D3" t="s">
        <v>64</v>
      </c>
    </row>
    <row r="4" spans="2:4" x14ac:dyDescent="0.25">
      <c r="B4" t="s">
        <v>66</v>
      </c>
      <c r="C4" t="s">
        <v>67</v>
      </c>
      <c r="D4" t="s">
        <v>0</v>
      </c>
    </row>
    <row r="5" spans="2:4" x14ac:dyDescent="0.25">
      <c r="B5" t="s">
        <v>68</v>
      </c>
      <c r="C5" t="s">
        <v>30</v>
      </c>
      <c r="D5" t="s">
        <v>43</v>
      </c>
    </row>
    <row r="6" spans="2:4" x14ac:dyDescent="0.25">
      <c r="B6" t="s">
        <v>69</v>
      </c>
      <c r="C6" t="s">
        <v>70</v>
      </c>
      <c r="D6" t="s">
        <v>44</v>
      </c>
    </row>
    <row r="7" spans="2:4" x14ac:dyDescent="0.25">
      <c r="B7" t="s">
        <v>71</v>
      </c>
      <c r="C7" t="s">
        <v>72</v>
      </c>
      <c r="D7" t="s">
        <v>73</v>
      </c>
    </row>
    <row r="8" spans="2:4" x14ac:dyDescent="0.25">
      <c r="B8" t="s">
        <v>74</v>
      </c>
      <c r="C8" t="s">
        <v>75</v>
      </c>
      <c r="D8" t="s">
        <v>46</v>
      </c>
    </row>
    <row r="9" spans="2:4" x14ac:dyDescent="0.25">
      <c r="B9" t="s">
        <v>76</v>
      </c>
      <c r="C9" t="s">
        <v>77</v>
      </c>
      <c r="D9" t="s">
        <v>78</v>
      </c>
    </row>
    <row r="10" spans="2:4" x14ac:dyDescent="0.25">
      <c r="B10" t="s">
        <v>79</v>
      </c>
      <c r="C10" t="s">
        <v>80</v>
      </c>
      <c r="D10" t="s">
        <v>51</v>
      </c>
    </row>
    <row r="11" spans="2:4" x14ac:dyDescent="0.25">
      <c r="B11" t="s">
        <v>81</v>
      </c>
      <c r="C11" t="s">
        <v>82</v>
      </c>
      <c r="D11" t="s">
        <v>83</v>
      </c>
    </row>
    <row r="12" spans="2:4" x14ac:dyDescent="0.25">
      <c r="B12" t="s">
        <v>84</v>
      </c>
      <c r="C12" t="s">
        <v>85</v>
      </c>
      <c r="D12" t="s">
        <v>86</v>
      </c>
    </row>
    <row r="13" spans="2:4" x14ac:dyDescent="0.25">
      <c r="B13" t="s">
        <v>87</v>
      </c>
      <c r="C13" t="s">
        <v>88</v>
      </c>
      <c r="D13" t="s">
        <v>54</v>
      </c>
    </row>
    <row r="14" spans="2:4" x14ac:dyDescent="0.25">
      <c r="B14" t="s">
        <v>89</v>
      </c>
      <c r="C14" t="s">
        <v>90</v>
      </c>
      <c r="D14" t="s">
        <v>55</v>
      </c>
    </row>
    <row r="15" spans="2:4" x14ac:dyDescent="0.25">
      <c r="B15" t="s">
        <v>91</v>
      </c>
      <c r="C15" t="s">
        <v>92</v>
      </c>
      <c r="D15" t="s">
        <v>56</v>
      </c>
    </row>
    <row r="16" spans="2:4" x14ac:dyDescent="0.25">
      <c r="B16" t="s">
        <v>93</v>
      </c>
      <c r="C16" t="s">
        <v>94</v>
      </c>
      <c r="D16" t="s">
        <v>95</v>
      </c>
    </row>
    <row r="17" spans="2:4" x14ac:dyDescent="0.25">
      <c r="B17" t="s">
        <v>96</v>
      </c>
      <c r="C17" t="s">
        <v>97</v>
      </c>
      <c r="D17" t="s">
        <v>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Kalkylblad</vt:lpstr>
      </vt:variant>
      <vt:variant>
        <vt:i4>3</vt:i4>
      </vt:variant>
      <vt:variant>
        <vt:lpstr>Namngivna områden</vt:lpstr>
      </vt:variant>
      <vt:variant>
        <vt:i4>1</vt:i4>
      </vt:variant>
    </vt:vector>
  </HeadingPairs>
  <TitlesOfParts>
    <vt:vector size="4" baseType="lpstr">
      <vt:lpstr>Senaste kontroll</vt:lpstr>
      <vt:lpstr>Data</vt:lpstr>
      <vt:lpstr>DICOM-taggar</vt:lpstr>
      <vt:lpstr>Datatabell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Medicinsk fysik</dc:creator>
  <cp:lastModifiedBy>Medicinsk Fysik</cp:lastModifiedBy>
  <cp:lastPrinted>2015-12-14T10:28:42Z</cp:lastPrinted>
  <dcterms:created xsi:type="dcterms:W3CDTF">2006-09-16T00:00:00Z</dcterms:created>
  <dcterms:modified xsi:type="dcterms:W3CDTF">2016-12-13T08:38:40Z</dcterms:modified>
</cp:coreProperties>
</file>