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fileSharing readOnlyRecommended="1"/>
  <workbookPr codeName="ThisWorkbook" defaultThemeVersion="124226"/>
  <bookViews>
    <workbookView xWindow="240" yWindow="225" windowWidth="14805" windowHeight="7890"/>
  </bookViews>
  <sheets>
    <sheet name="Senaste kontroll" sheetId="2" r:id="rId1"/>
    <sheet name="Data" sheetId="1" r:id="rId2"/>
    <sheet name="DICOM-taggar" sheetId="3" r:id="rId3"/>
  </sheets>
  <definedNames>
    <definedName name="Datatabell">Tabell1[]</definedName>
  </definedNames>
  <calcPr calcId="145621"/>
</workbook>
</file>

<file path=xl/calcChain.xml><?xml version="1.0" encoding="utf-8"?>
<calcChain xmlns="http://schemas.openxmlformats.org/spreadsheetml/2006/main">
  <c r="Q22" i="1" l="1"/>
  <c r="R22" i="1"/>
  <c r="S22" i="1"/>
  <c r="T22" i="1"/>
  <c r="U22" i="1"/>
  <c r="Q21" i="1" l="1"/>
  <c r="S21" i="1" s="1"/>
  <c r="R21" i="1"/>
  <c r="T21" i="1"/>
  <c r="U21" i="1" l="1"/>
  <c r="Q20" i="1"/>
  <c r="U20" i="1" s="1"/>
  <c r="R20" i="1"/>
  <c r="S20" i="1"/>
  <c r="T20" i="1"/>
  <c r="Q19" i="1" l="1"/>
  <c r="S19" i="1" s="1"/>
  <c r="R19" i="1"/>
  <c r="T19" i="1"/>
  <c r="U19" i="1" l="1"/>
  <c r="Q18" i="1"/>
  <c r="U18" i="1" s="1"/>
  <c r="R18" i="1"/>
  <c r="T18" i="1"/>
  <c r="S18" i="1" l="1"/>
  <c r="Q17" i="1"/>
  <c r="S17" i="1" s="1"/>
  <c r="R17" i="1"/>
  <c r="T17" i="1"/>
  <c r="U17" i="1" l="1"/>
  <c r="Q16" i="1"/>
  <c r="S16" i="1" s="1"/>
  <c r="R16" i="1"/>
  <c r="T16" i="1"/>
  <c r="U16" i="1" l="1"/>
  <c r="Q15" i="1"/>
  <c r="S15" i="1" s="1"/>
  <c r="R15" i="1"/>
  <c r="T15" i="1"/>
  <c r="U15" i="1" l="1"/>
  <c r="Q14" i="1"/>
  <c r="S14" i="1" s="1"/>
  <c r="R14" i="1"/>
  <c r="T14" i="1"/>
  <c r="U14" i="1" l="1"/>
  <c r="Q13" i="1"/>
  <c r="U13" i="1" s="1"/>
  <c r="R13" i="1"/>
  <c r="T13" i="1"/>
  <c r="S13" i="1" l="1"/>
  <c r="Q12" i="1"/>
  <c r="S12" i="1" s="1"/>
  <c r="R12" i="1"/>
  <c r="T12" i="1"/>
  <c r="U12" i="1" l="1"/>
  <c r="Q11" i="1"/>
  <c r="S11" i="1" s="1"/>
  <c r="R11" i="1"/>
  <c r="T11" i="1"/>
  <c r="U11" i="1" l="1"/>
  <c r="Q10" i="1"/>
  <c r="S10" i="1" s="1"/>
  <c r="R10" i="1"/>
  <c r="T10" i="1"/>
  <c r="U10" i="1" l="1"/>
  <c r="Q9" i="1"/>
  <c r="U9" i="1" s="1"/>
  <c r="R9" i="1"/>
  <c r="T9" i="1"/>
  <c r="S9" i="1" l="1"/>
  <c r="Q8" i="1"/>
  <c r="S8" i="1" s="1"/>
  <c r="Q7" i="1"/>
  <c r="U7" i="1" s="1"/>
  <c r="R8" i="1"/>
  <c r="R7" i="1"/>
  <c r="T8" i="1"/>
  <c r="T7" i="1"/>
  <c r="AK22" i="1" l="1"/>
  <c r="AJ22" i="1"/>
  <c r="AK21" i="1"/>
  <c r="AJ21" i="1"/>
  <c r="AJ20" i="1"/>
  <c r="AK20" i="1"/>
  <c r="AK19" i="1"/>
  <c r="AJ19" i="1"/>
  <c r="AK18" i="1"/>
  <c r="AJ18" i="1"/>
  <c r="AJ17" i="1"/>
  <c r="AK17" i="1"/>
  <c r="AK16" i="1"/>
  <c r="AJ16" i="1"/>
  <c r="AK15" i="1"/>
  <c r="AJ15" i="1"/>
  <c r="AJ14" i="1"/>
  <c r="AK14" i="1"/>
  <c r="AJ13" i="1"/>
  <c r="AK13" i="1"/>
  <c r="AJ12" i="1"/>
  <c r="AK12" i="1"/>
  <c r="AJ11" i="1"/>
  <c r="AK11" i="1"/>
  <c r="AJ10" i="1"/>
  <c r="AK10" i="1"/>
  <c r="AJ9" i="1"/>
  <c r="AK9" i="1"/>
  <c r="S7" i="1"/>
  <c r="U8" i="1"/>
  <c r="AI22" i="1" l="1"/>
  <c r="AH22" i="1"/>
  <c r="AI21" i="1"/>
  <c r="AH21" i="1"/>
  <c r="AH20" i="1"/>
  <c r="AI20" i="1"/>
  <c r="AH19" i="1"/>
  <c r="AI19" i="1"/>
  <c r="AI18" i="1"/>
  <c r="AH18" i="1"/>
  <c r="AH17" i="1"/>
  <c r="AI17" i="1"/>
  <c r="AH16" i="1"/>
  <c r="AI16" i="1"/>
  <c r="AI15" i="1"/>
  <c r="AH15" i="1"/>
  <c r="AI14" i="1"/>
  <c r="AH14" i="1"/>
  <c r="AI13" i="1"/>
  <c r="AH13" i="1"/>
  <c r="AH12" i="1"/>
  <c r="AI12" i="1"/>
  <c r="AH11" i="1"/>
  <c r="AI11" i="1"/>
  <c r="AH10" i="1"/>
  <c r="AI10" i="1"/>
  <c r="AH9" i="1"/>
  <c r="AI9" i="1"/>
  <c r="C3" i="2"/>
  <c r="AI8" i="1" l="1"/>
  <c r="AH8" i="1"/>
  <c r="AH7" i="1"/>
  <c r="AI7" i="1"/>
  <c r="AJ8" i="1"/>
  <c r="AJ7" i="1"/>
  <c r="AK8" i="1"/>
  <c r="AK7" i="1"/>
</calcChain>
</file>

<file path=xl/sharedStrings.xml><?xml version="1.0" encoding="utf-8"?>
<sst xmlns="http://schemas.openxmlformats.org/spreadsheetml/2006/main" count="209" uniqueCount="105">
  <si>
    <t>Datum</t>
  </si>
  <si>
    <t>DICOM-data</t>
  </si>
  <si>
    <t>ROI-data</t>
  </si>
  <si>
    <t>µ1</t>
  </si>
  <si>
    <t>µ2</t>
  </si>
  <si>
    <t>µ3</t>
  </si>
  <si>
    <t>stdev1</t>
  </si>
  <si>
    <t>stdev2</t>
  </si>
  <si>
    <t>stdev3</t>
  </si>
  <si>
    <t>Parameter</t>
  </si>
  <si>
    <t>Värde</t>
  </si>
  <si>
    <t>FOR PROCESSING</t>
  </si>
  <si>
    <t xml:space="preserve">Variationskoefficient (%): </t>
  </si>
  <si>
    <t>AUTOMATIC</t>
  </si>
  <si>
    <t>AOP dose</t>
  </si>
  <si>
    <t>µ4</t>
  </si>
  <si>
    <t>µ5</t>
  </si>
  <si>
    <t>µ6</t>
  </si>
  <si>
    <t>stdev4</t>
  </si>
  <si>
    <t>stdev5</t>
  </si>
  <si>
    <t>stdev6</t>
  </si>
  <si>
    <t>Station name</t>
  </si>
  <si>
    <t>RHODIUM</t>
  </si>
  <si>
    <t>Beräknade parametrar</t>
  </si>
  <si>
    <t>Gränsvärden</t>
  </si>
  <si>
    <t>HI_low</t>
  </si>
  <si>
    <t>VK_low</t>
  </si>
  <si>
    <t>HI_high</t>
  </si>
  <si>
    <t>VK_high</t>
  </si>
  <si>
    <t>Medelsignal</t>
  </si>
  <si>
    <t>Image Time</t>
  </si>
  <si>
    <t>Rörladdning (mAs):</t>
  </si>
  <si>
    <t>Station Name:</t>
  </si>
  <si>
    <t>Datum:</t>
  </si>
  <si>
    <t>Tid:</t>
  </si>
  <si>
    <t>AGD (mGy):</t>
  </si>
  <si>
    <t>Rörspänning (kV):</t>
  </si>
  <si>
    <t>Fokusstorlek (mm):</t>
  </si>
  <si>
    <t>Tjocklek (mm):</t>
  </si>
  <si>
    <t>Kompressionskraft (N):</t>
  </si>
  <si>
    <t>AEC:</t>
  </si>
  <si>
    <t>AEC-typ:</t>
  </si>
  <si>
    <t>Bildtyp:</t>
  </si>
  <si>
    <t>Tid</t>
  </si>
  <si>
    <t>Bildtyp</t>
  </si>
  <si>
    <t>Rörspänning
(kV)</t>
  </si>
  <si>
    <t>Rörladdning</t>
  </si>
  <si>
    <t>Rörladdning
(mAs)</t>
  </si>
  <si>
    <t>AGD
(mGy)</t>
  </si>
  <si>
    <t>Huddos
(mGy)</t>
  </si>
  <si>
    <t>Fokus
(mm)</t>
  </si>
  <si>
    <t>Anod</t>
  </si>
  <si>
    <t>Tjocklek
(mm)</t>
  </si>
  <si>
    <t>Kraft
(N)</t>
  </si>
  <si>
    <t>Filter</t>
  </si>
  <si>
    <t>AEC</t>
  </si>
  <si>
    <t>AEC-typ</t>
  </si>
  <si>
    <t>SNR</t>
  </si>
  <si>
    <t>Homogenitet
(%)</t>
  </si>
  <si>
    <t>Var.koeff
(%)</t>
  </si>
  <si>
    <t>Signal/mAs</t>
  </si>
  <si>
    <t>Tag nr</t>
  </si>
  <si>
    <t>DICOM-benämning</t>
  </si>
  <si>
    <t>MFT-benämning</t>
  </si>
  <si>
    <t>Station Name</t>
  </si>
  <si>
    <t>(0008,1010)</t>
  </si>
  <si>
    <t>(0008,0023)</t>
  </si>
  <si>
    <t>Image Date</t>
  </si>
  <si>
    <t>(0008,0033)</t>
  </si>
  <si>
    <t>(0008,0068)</t>
  </si>
  <si>
    <t>Presentation Intent Type</t>
  </si>
  <si>
    <t>(0018,0060)</t>
  </si>
  <si>
    <t>kVp</t>
  </si>
  <si>
    <t>Rörspänning</t>
  </si>
  <si>
    <t>(0018,1153)</t>
  </si>
  <si>
    <t>Exposure in uAs</t>
  </si>
  <si>
    <t>(0018,1190)</t>
  </si>
  <si>
    <t>Focal Spot(s)</t>
  </si>
  <si>
    <t>Fokus</t>
  </si>
  <si>
    <t>(0018,1191)</t>
  </si>
  <si>
    <t>Anode Target Material</t>
  </si>
  <si>
    <t>(0018,11A0)</t>
  </si>
  <si>
    <t>Body Part Thickness</t>
  </si>
  <si>
    <t>Tjocklek</t>
  </si>
  <si>
    <t>(0018,11A2)</t>
  </si>
  <si>
    <t>Compression Force</t>
  </si>
  <si>
    <t>Kraft</t>
  </si>
  <si>
    <t>(0018,7050)</t>
  </si>
  <si>
    <t>Filter Material LT</t>
  </si>
  <si>
    <t>(0018,7060)</t>
  </si>
  <si>
    <t>Exposure Control Mode</t>
  </si>
  <si>
    <t>(0018,7062)</t>
  </si>
  <si>
    <t>Exposure Control Mode Description</t>
  </si>
  <si>
    <t>(0040,0316)</t>
  </si>
  <si>
    <t>Organ Dose</t>
  </si>
  <si>
    <t>AGD</t>
  </si>
  <si>
    <t>(0040,8302)</t>
  </si>
  <si>
    <t>Entrance Dose in mGy</t>
  </si>
  <si>
    <t>Huddos</t>
  </si>
  <si>
    <t>Kommentarer</t>
  </si>
  <si>
    <t>Huddos (mGy):</t>
  </si>
  <si>
    <t>Anod:</t>
  </si>
  <si>
    <t>Filter:</t>
  </si>
  <si>
    <t>MG003L19</t>
  </si>
  <si>
    <t>FOR PRESENTATION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</si>
</sst>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F400]h:mm:ss\ AM/PM"/>
    <numFmt numFmtId="165" formatCode="0.0"/>
    <numFmt numFmtId="166" formatCode="0.000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4"/>
      <color theme="0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/>
      </patternFill>
    </fill>
    <fill>
      <patternFill patternType="solid">
        <fgColor theme="4"/>
        <bgColor indexed="64"/>
      </patternFill>
    </fill>
    <fill>
      <patternFill patternType="solid">
        <fgColor rgb="FFFFC7CE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3" borderId="0" applyNumberFormat="0" applyBorder="0" applyAlignment="0" applyProtection="0"/>
    <xf numFmtId="0" fontId="5" fillId="5" borderId="0" applyNumberFormat="0" applyBorder="0" applyAlignment="0" applyProtection="0"/>
  </cellStyleXfs>
  <cellXfs count="51">
    <xf numFmtId="0" fontId="0" fillId="0" borderId="0" xfId="0"/>
    <xf numFmtId="14" fontId="0" fillId="0" borderId="0" xfId="0" applyNumberFormat="1"/>
    <xf numFmtId="0" fontId="0" fillId="0" borderId="2" xfId="0" applyBorder="1"/>
    <xf numFmtId="0" fontId="0" fillId="0" borderId="4" xfId="0" applyBorder="1"/>
    <xf numFmtId="0" fontId="0" fillId="0" borderId="6" xfId="0" applyBorder="1"/>
    <xf numFmtId="0" fontId="0" fillId="0" borderId="5" xfId="0" applyBorder="1"/>
    <xf numFmtId="0" fontId="0" fillId="0" borderId="3" xfId="0" applyBorder="1"/>
    <xf numFmtId="0" fontId="2" fillId="0" borderId="5" xfId="0" applyFont="1" applyBorder="1"/>
    <xf numFmtId="0" fontId="2" fillId="0" borderId="6" xfId="0" applyFont="1" applyBorder="1"/>
    <xf numFmtId="0" fontId="3" fillId="0" borderId="0" xfId="0" applyFont="1" applyBorder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Alignment="1"/>
    <xf numFmtId="166" fontId="0" fillId="0" borderId="0" xfId="0" applyNumberFormat="1" applyAlignment="1">
      <alignment horizontal="center"/>
    </xf>
    <xf numFmtId="0" fontId="4" fillId="2" borderId="10" xfId="0" applyFont="1" applyFill="1" applyBorder="1" applyAlignment="1"/>
    <xf numFmtId="0" fontId="4" fillId="2" borderId="11" xfId="0" applyFont="1" applyFill="1" applyBorder="1" applyAlignment="1"/>
    <xf numFmtId="0" fontId="4" fillId="2" borderId="12" xfId="0" applyFont="1" applyFill="1" applyBorder="1" applyAlignment="1"/>
    <xf numFmtId="165" fontId="0" fillId="0" borderId="0" xfId="0" applyNumberForma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19" fontId="0" fillId="0" borderId="0" xfId="0" applyNumberFormat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14" fontId="7" fillId="0" borderId="0" xfId="0" applyNumberFormat="1" applyFont="1" applyBorder="1"/>
    <xf numFmtId="14" fontId="7" fillId="0" borderId="0" xfId="0" applyNumberFormat="1" applyFont="1" applyBorder="1" applyAlignment="1">
      <alignment horizontal="left"/>
    </xf>
    <xf numFmtId="19" fontId="7" fillId="0" borderId="0" xfId="0" applyNumberFormat="1" applyFont="1" applyBorder="1"/>
    <xf numFmtId="164" fontId="7" fillId="0" borderId="0" xfId="0" quotePrefix="1" applyNumberFormat="1" applyFont="1" applyBorder="1" applyAlignment="1">
      <alignment horizontal="left"/>
    </xf>
    <xf numFmtId="0" fontId="7" fillId="0" borderId="1" xfId="0" applyFont="1" applyBorder="1"/>
    <xf numFmtId="0" fontId="7" fillId="0" borderId="1" xfId="0" applyFont="1" applyBorder="1" applyAlignment="1">
      <alignment horizontal="left"/>
    </xf>
    <xf numFmtId="2" fontId="7" fillId="0" borderId="0" xfId="0" applyNumberFormat="1" applyFont="1" applyBorder="1" applyAlignment="1">
      <alignment horizontal="left"/>
    </xf>
    <xf numFmtId="165" fontId="7" fillId="0" borderId="0" xfId="0" applyNumberFormat="1" applyFont="1" applyBorder="1" applyAlignment="1">
      <alignment horizontal="left"/>
    </xf>
    <xf numFmtId="1" fontId="7" fillId="0" borderId="0" xfId="0" applyNumberFormat="1" applyFont="1" applyBorder="1" applyAlignment="1">
      <alignment horizontal="left"/>
    </xf>
    <xf numFmtId="0" fontId="7" fillId="0" borderId="0" xfId="0" applyFont="1"/>
    <xf numFmtId="0" fontId="7" fillId="0" borderId="0" xfId="0" applyFont="1" applyFill="1" applyBorder="1"/>
    <xf numFmtId="0" fontId="0" fillId="0" borderId="0" xfId="0" applyFont="1"/>
    <xf numFmtId="165" fontId="8" fillId="0" borderId="0" xfId="2" applyNumberFormat="1" applyFont="1" applyFill="1" applyAlignment="1">
      <alignment horizontal="left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0" fontId="6" fillId="4" borderId="0" xfId="1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</cellXfs>
  <cellStyles count="3">
    <cellStyle name="Dålig" xfId="2" builtinId="27"/>
    <cellStyle name="Färg3" xfId="1" builtinId="37"/>
    <cellStyle name="Normal" xfId="0" builtinId="0"/>
  </cellStyles>
  <dxfs count="8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[$-F400]h:mm:ss\ AM/P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[$-F400]h:mm:ss\ AM/PM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medium">
          <color indexed="64"/>
        </top>
      </border>
    </dxf>
    <dxf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Medium9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'Senaste kontroll'!$C$3</c:f>
          <c:strCache>
            <c:ptCount val="1"/>
            <c:pt idx="0">
              <c:v>MG003L19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sv-SE"/>
        </a:p>
      </c:txPr>
    </c:title>
    <c:autoTitleDeleted val="0"/>
    <c:plotArea>
      <c:layout>
        <c:manualLayout>
          <c:layoutTarget val="inner"/>
          <c:xMode val="edge"/>
          <c:yMode val="edge"/>
          <c:x val="6.7039389148336764E-2"/>
          <c:y val="0.13416144443532396"/>
          <c:w val="0.87606637676327104"/>
          <c:h val="0.75558275257455898"/>
        </c:manualLayout>
      </c:layout>
      <c:scatterChart>
        <c:scatterStyle val="lineMarker"/>
        <c:varyColors val="0"/>
        <c:ser>
          <c:idx val="1"/>
          <c:order val="0"/>
          <c:tx>
            <c:v>Variationskoefficient</c:v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Data!$C$7:$C$22</c:f>
              <c:numCache>
                <c:formatCode>m/d/yyyy</c:formatCode>
                <c:ptCount val="16"/>
                <c:pt idx="0">
                  <c:v>42327</c:v>
                </c:pt>
                <c:pt idx="1">
                  <c:v>42341</c:v>
                </c:pt>
                <c:pt idx="2">
                  <c:v>42352</c:v>
                </c:pt>
                <c:pt idx="3">
                  <c:v>42355</c:v>
                </c:pt>
                <c:pt idx="4">
                  <c:v>42678</c:v>
                </c:pt>
                <c:pt idx="5">
                  <c:v>42683</c:v>
                </c:pt>
                <c:pt idx="6">
                  <c:v>42690</c:v>
                </c:pt>
                <c:pt idx="7">
                  <c:v>42696</c:v>
                </c:pt>
                <c:pt idx="8">
                  <c:v>42697</c:v>
                </c:pt>
                <c:pt idx="9">
                  <c:v>42704</c:v>
                </c:pt>
                <c:pt idx="10">
                  <c:v>42705</c:v>
                </c:pt>
                <c:pt idx="11">
                  <c:v>42710</c:v>
                </c:pt>
                <c:pt idx="12">
                  <c:v>42711</c:v>
                </c:pt>
                <c:pt idx="13">
                  <c:v>42712</c:v>
                </c:pt>
                <c:pt idx="14">
                  <c:v>42717</c:v>
                </c:pt>
                <c:pt idx="15">
                  <c:v>42717</c:v>
                </c:pt>
              </c:numCache>
            </c:numRef>
          </c:xVal>
          <c:yVal>
            <c:numRef>
              <c:f>Data!$T$7:$T$22</c:f>
              <c:numCache>
                <c:formatCode>0.00</c:formatCode>
                <c:ptCount val="16"/>
                <c:pt idx="0">
                  <c:v>2.3174969489771198</c:v>
                </c:pt>
                <c:pt idx="1">
                  <c:v>2.2272547670723517</c:v>
                </c:pt>
                <c:pt idx="2">
                  <c:v>2.409782289776897</c:v>
                </c:pt>
                <c:pt idx="3">
                  <c:v>2.4709342553186961</c:v>
                </c:pt>
                <c:pt idx="4">
                  <c:v>2.5110916703118167</c:v>
                </c:pt>
                <c:pt idx="5">
                  <c:v>2.2031101788291929</c:v>
                </c:pt>
                <c:pt idx="6">
                  <c:v>2.1474294722532936</c:v>
                </c:pt>
                <c:pt idx="7">
                  <c:v>2.2377111689903844</c:v>
                </c:pt>
                <c:pt idx="8">
                  <c:v>2.172350123065844</c:v>
                </c:pt>
                <c:pt idx="9">
                  <c:v>2.2484571386160881</c:v>
                </c:pt>
                <c:pt idx="10">
                  <c:v>2.1589727443182283</c:v>
                </c:pt>
                <c:pt idx="11">
                  <c:v>2.2696093805023136</c:v>
                </c:pt>
                <c:pt idx="12">
                  <c:v>2.2207420062739458</c:v>
                </c:pt>
                <c:pt idx="13">
                  <c:v>2.1497724204241635</c:v>
                </c:pt>
                <c:pt idx="14">
                  <c:v>1.2206338057622732</c:v>
                </c:pt>
                <c:pt idx="15">
                  <c:v>2.1584170292160412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57728"/>
        <c:axId val="93259264"/>
      </c:scatterChart>
      <c:valAx>
        <c:axId val="93257728"/>
        <c:scaling>
          <c:orientation val="minMax"/>
          <c:min val="42300"/>
        </c:scaling>
        <c:delete val="0"/>
        <c:axPos val="b"/>
        <c:numFmt formatCode="[$-41D]mmm/yy;@" sourceLinked="0"/>
        <c:majorTickMark val="out"/>
        <c:minorTickMark val="none"/>
        <c:tickLblPos val="nextTo"/>
        <c:txPr>
          <a:bodyPr rot="-2100000"/>
          <a:lstStyle/>
          <a:p>
            <a:pPr>
              <a:defRPr/>
            </a:pPr>
            <a:endParaRPr lang="sv-SE"/>
          </a:p>
        </c:txPr>
        <c:crossAx val="93259264"/>
        <c:crosses val="autoZero"/>
        <c:crossBetween val="midCat"/>
      </c:valAx>
      <c:valAx>
        <c:axId val="93259264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crossAx val="932577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9.4921975879916076E-2"/>
          <c:y val="0.12618141912756473"/>
          <c:w val="0.28952061487917391"/>
          <c:h val="0.12238299712345548"/>
        </c:manualLayout>
      </c:layout>
      <c:overlay val="0"/>
      <c:txPr>
        <a:bodyPr/>
        <a:lstStyle/>
        <a:p>
          <a:pPr>
            <a:defRPr sz="1100">
              <a:latin typeface="Arial" panose="020B0604020202020204" pitchFamily="34" charset="0"/>
              <a:cs typeface="Arial" panose="020B0604020202020204" pitchFamily="34" charset="0"/>
            </a:defRPr>
          </a:pPr>
          <a:endParaRPr lang="sv-SE"/>
        </a:p>
      </c:txPr>
    </c:legend>
    <c:plotVisOnly val="1"/>
    <c:dispBlanksAs val="gap"/>
    <c:showDLblsOverMax val="0"/>
  </c:chart>
  <c:spPr>
    <a:ln w="19050"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72277</xdr:colOff>
      <xdr:row>26</xdr:row>
      <xdr:rowOff>37540</xdr:rowOff>
    </xdr:from>
    <xdr:to>
      <xdr:col>12</xdr:col>
      <xdr:colOff>1504950</xdr:colOff>
      <xdr:row>42</xdr:row>
      <xdr:rowOff>0</xdr:rowOff>
    </xdr:to>
    <xdr:graphicFrame macro="">
      <xdr:nvGraphicFramePr>
        <xdr:cNvPr id="3" name="Diagra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28576</xdr:colOff>
      <xdr:row>5</xdr:row>
      <xdr:rowOff>47626</xdr:rowOff>
    </xdr:from>
    <xdr:to>
      <xdr:col>9</xdr:col>
      <xdr:colOff>204884</xdr:colOff>
      <xdr:row>24</xdr:row>
      <xdr:rowOff>221076</xdr:rowOff>
    </xdr:to>
    <xdr:pic>
      <xdr:nvPicPr>
        <xdr:cNvPr id="2" name="screenShot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1" y="952501"/>
          <a:ext cx="3919633" cy="4697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171450</xdr:colOff>
          <xdr:row>1</xdr:row>
          <xdr:rowOff>9525</xdr:rowOff>
        </xdr:from>
        <xdr:to>
          <xdr:col>21</xdr:col>
          <xdr:colOff>0</xdr:colOff>
          <xdr:row>3</xdr:row>
          <xdr:rowOff>9525</xdr:rowOff>
        </xdr:to>
        <xdr:sp macro="" textlink="">
          <xdr:nvSpPr>
            <xdr:cNvPr id="1030" name="ShowHideRoiData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ell1" displayName="Tabell1" ref="B6:AL22" headerRowDxfId="82" dataDxfId="80" headerRowBorderDxfId="81" tableBorderDxfId="79">
  <autoFilter ref="B6:AL22"/>
  <sortState ref="B7:AL9">
    <sortCondition ref="C6:C9"/>
  </sortState>
  <tableColumns count="37">
    <tableColumn id="31" name="Station name" totalsRowLabel="Summa" dataDxfId="78" totalsRowDxfId="77"/>
    <tableColumn id="1" name="Datum" dataDxfId="76" totalsRowDxfId="75"/>
    <tableColumn id="2" name="Tid" dataDxfId="74" totalsRowDxfId="73"/>
    <tableColumn id="37" name="Bildtyp" dataDxfId="72" totalsRowDxfId="71"/>
    <tableColumn id="38" name="Rörspänning_x000a_(kV)" dataDxfId="70" totalsRowDxfId="69"/>
    <tableColumn id="39" name="Rörladdning_x000a_(mAs)" dataDxfId="68" totalsRowDxfId="67"/>
    <tableColumn id="7" name="Fokus_x000a_(mm)" dataDxfId="66" totalsRowDxfId="65"/>
    <tableColumn id="8" name="Anod" dataDxfId="64" totalsRowDxfId="63"/>
    <tableColumn id="40" name="Tjocklek_x000a_(mm)" dataDxfId="62" totalsRowDxfId="61"/>
    <tableColumn id="41" name="Kraft_x000a_(N)" dataDxfId="60" totalsRowDxfId="59"/>
    <tableColumn id="9" name="Filter" dataDxfId="58" totalsRowDxfId="57"/>
    <tableColumn id="12" name="AEC" dataDxfId="56" totalsRowDxfId="55"/>
    <tableColumn id="13" name="AEC-typ" dataDxfId="54" totalsRowDxfId="53"/>
    <tableColumn id="6" name="AGD_x000a_(mGy)" dataDxfId="52" totalsRowDxfId="51"/>
    <tableColumn id="5" name="Huddos_x000a_(mGy)" dataDxfId="50" totalsRowDxfId="49"/>
    <tableColumn id="15" name="Medelsignal" dataDxfId="48" totalsRowDxfId="47">
      <calculatedColumnFormula>AVERAGE(Tabell1[[#This Row],[µ1]:[µ5]])</calculatedColumnFormula>
    </tableColumn>
    <tableColumn id="16" name="SNR" dataDxfId="46" totalsRowDxfId="45">
      <calculatedColumnFormula>Tabell1[[#This Row],[µ3]]/Tabell1[[#This Row],[stdev3]]</calculatedColumnFormula>
    </tableColumn>
    <tableColumn id="17" name="Homogenitet_x000a_(%)" dataDxfId="44" totalsRowDxfId="43">
      <calculatedColumnFormula>(MAX(Tabell1[[#This Row],[µ1]:[µ5]])-MIN(Tabell1[[#This Row],[µ1]:[µ5]]))/Tabell1[[#This Row],[Medelsignal]]*100</calculatedColumnFormula>
    </tableColumn>
    <tableColumn id="18" name="Var.koeff_x000a_(%)" dataDxfId="42" totalsRowDxfId="41">
      <calculatedColumnFormula>Tabell1[[#This Row],[stdev6]]/Tabell1[[#This Row],[µ6]]*100</calculatedColumnFormula>
    </tableColumn>
    <tableColumn id="30" name="Signal/mAs" dataDxfId="40">
      <calculatedColumnFormula>Tabell1[[#This Row],[Medelsignal]]/Tabell1[[#This Row],[Rörladdning
(mAs)]]</calculatedColumnFormula>
    </tableColumn>
    <tableColumn id="14" name="µ1" dataDxfId="39" totalsRowDxfId="38"/>
    <tableColumn id="19" name="µ2" dataDxfId="37" totalsRowDxfId="36"/>
    <tableColumn id="20" name="µ3" dataDxfId="35" totalsRowDxfId="34"/>
    <tableColumn id="21" name="µ4" dataDxfId="33" totalsRowDxfId="32"/>
    <tableColumn id="22" name="µ5" dataDxfId="31" totalsRowDxfId="30"/>
    <tableColumn id="23" name="µ6" dataDxfId="29" totalsRowDxfId="28"/>
    <tableColumn id="24" name="stdev1" dataDxfId="27" totalsRowDxfId="26"/>
    <tableColumn id="25" name="stdev2" dataDxfId="25" totalsRowDxfId="24"/>
    <tableColumn id="26" name="stdev3" dataDxfId="23" totalsRowDxfId="22"/>
    <tableColumn id="27" name="stdev4" dataDxfId="21" totalsRowDxfId="20"/>
    <tableColumn id="28" name="stdev5" dataDxfId="19" totalsRowDxfId="18"/>
    <tableColumn id="29" name="stdev6" totalsRowFunction="sum" dataDxfId="17" totalsRowDxfId="16"/>
    <tableColumn id="32" name="HI_low" dataDxfId="15" totalsRowDxfId="14">
      <calculatedColumnFormula>AVERAGE(Tabell1[Homogenitet
(%)])-3*_xlfn.STDEV.S(Tabell1[Homogenitet
(%)])</calculatedColumnFormula>
    </tableColumn>
    <tableColumn id="34" name="HI_high" dataDxfId="13" totalsRowDxfId="12">
      <calculatedColumnFormula>AVERAGE(Tabell1[Homogenitet
(%)])+3*_xlfn.STDEV.S(Tabell1[Homogenitet
(%)])</calculatedColumnFormula>
    </tableColumn>
    <tableColumn id="35" name="VK_low" dataDxfId="11" totalsRowDxfId="10">
      <calculatedColumnFormula>AVERAGE(Tabell1[Var.koeff
(%)])-3*_xlfn.STDEV.S(Tabell1[Var.koeff
(%)])</calculatedColumnFormula>
    </tableColumn>
    <tableColumn id="36" name="VK_high" dataDxfId="9" totalsRowDxfId="8">
      <calculatedColumnFormula>AVERAGE(Tabell1[Var.koeff
(%)])+3*_xlfn.STDEV.S(Tabell1[Var.koeff
(%)])</calculatedColumnFormula>
    </tableColumn>
    <tableColumn id="10" name="Kommentarer" dataDxfId="7" totalsRow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l2" displayName="Tabell2" ref="B2:D17" totalsRowShown="0">
  <autoFilter ref="B2:D17"/>
  <tableColumns count="3">
    <tableColumn id="1" name="Tag nr"/>
    <tableColumn id="2" name="DICOM-benämning"/>
    <tableColumn id="3" name="MFT-benämnin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pageSetUpPr fitToPage="1"/>
  </sheetPr>
  <dimension ref="B1:R44"/>
  <sheetViews>
    <sheetView showGridLines="0" tabSelected="1" topLeftCell="A4" zoomScale="85" zoomScaleNormal="85" workbookViewId="0">
      <selection activeCell="X18" sqref="X18"/>
    </sheetView>
  </sheetViews>
  <sheetFormatPr defaultRowHeight="15" x14ac:dyDescent="0.25"/>
  <cols>
    <col min="1" max="1" width="2.7109375" customWidth="1"/>
    <col min="2" max="2" width="2" customWidth="1"/>
    <col min="3" max="3" width="1.28515625" customWidth="1"/>
    <col min="10" max="10" width="5.5703125" customWidth="1"/>
    <col min="11" max="11" width="1.85546875" customWidth="1"/>
    <col min="12" max="12" width="27.42578125" customWidth="1"/>
    <col min="13" max="13" width="24" customWidth="1"/>
    <col min="14" max="14" width="2.140625" customWidth="1"/>
    <col min="15" max="15" width="1.85546875" customWidth="1"/>
  </cols>
  <sheetData>
    <row r="1" spans="2:18" ht="15.75" thickBot="1" x14ac:dyDescent="0.3"/>
    <row r="2" spans="2:18" x14ac:dyDescent="0.25">
      <c r="B2" s="6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"/>
    </row>
    <row r="3" spans="2:18" ht="15" customHeight="1" x14ac:dyDescent="0.25">
      <c r="B3" s="5"/>
      <c r="C3" s="42" t="str">
        <f ca="1">REPLACE(LEFT(CELL("filnamn",A1),FIND(".xlsm",CELL("filnamn",A1))-1),1,FIND("[",CELL("filnamn",A1)),"")</f>
        <v>MG003L19</v>
      </c>
      <c r="D3" s="42"/>
      <c r="E3" s="42"/>
      <c r="F3" s="42"/>
      <c r="G3" s="42"/>
      <c r="H3" s="42"/>
      <c r="I3" s="42"/>
      <c r="J3" s="42"/>
      <c r="K3" s="42"/>
      <c r="L3" s="42"/>
      <c r="M3" s="42"/>
      <c r="N3" s="4"/>
    </row>
    <row r="4" spans="2:18" ht="15" customHeight="1" x14ac:dyDescent="0.25">
      <c r="B4" s="5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"/>
    </row>
    <row r="5" spans="2:18" ht="10.5" customHeight="1" x14ac:dyDescent="0.3">
      <c r="B5" s="7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8"/>
    </row>
    <row r="6" spans="2:18" ht="18.75" x14ac:dyDescent="0.3">
      <c r="B6" s="7"/>
      <c r="C6" s="9"/>
      <c r="D6" s="9"/>
      <c r="E6" s="9"/>
      <c r="F6" s="9"/>
      <c r="G6" s="9"/>
      <c r="H6" s="9"/>
      <c r="I6" s="9"/>
      <c r="J6" s="9"/>
      <c r="K6" s="9"/>
      <c r="L6" s="23" t="s">
        <v>32</v>
      </c>
      <c r="M6" s="24" t="s">
        <v>103</v>
      </c>
      <c r="N6" s="8"/>
    </row>
    <row r="7" spans="2:18" ht="18.75" x14ac:dyDescent="0.3">
      <c r="B7" s="7"/>
      <c r="C7" s="9"/>
      <c r="D7" s="9"/>
      <c r="E7" s="9"/>
      <c r="F7" s="9"/>
      <c r="G7" s="9"/>
      <c r="H7" s="9"/>
      <c r="I7" s="9"/>
      <c r="J7" s="9"/>
      <c r="K7" s="9"/>
      <c r="L7" s="25" t="s">
        <v>33</v>
      </c>
      <c r="M7" s="26">
        <v>42717</v>
      </c>
      <c r="N7" s="8"/>
    </row>
    <row r="8" spans="2:18" ht="18.75" x14ac:dyDescent="0.3">
      <c r="B8" s="7"/>
      <c r="C8" s="9"/>
      <c r="D8" s="9"/>
      <c r="E8" s="9"/>
      <c r="F8" s="9"/>
      <c r="G8" s="9"/>
      <c r="H8" s="9"/>
      <c r="I8" s="9"/>
      <c r="J8" s="9"/>
      <c r="K8" s="9"/>
      <c r="L8" s="27" t="s">
        <v>34</v>
      </c>
      <c r="M8" s="28">
        <v>0.71956018518518527</v>
      </c>
      <c r="N8" s="8"/>
      <c r="R8" s="1"/>
    </row>
    <row r="9" spans="2:18" ht="18.75" x14ac:dyDescent="0.3">
      <c r="B9" s="7"/>
      <c r="C9" s="9"/>
      <c r="D9" s="9"/>
      <c r="E9" s="9"/>
      <c r="F9" s="9"/>
      <c r="G9" s="9"/>
      <c r="H9" s="9"/>
      <c r="I9" s="9"/>
      <c r="J9" s="9"/>
      <c r="K9" s="9"/>
      <c r="L9" s="23"/>
      <c r="M9" s="23"/>
      <c r="N9" s="8"/>
      <c r="R9" s="22"/>
    </row>
    <row r="10" spans="2:18" ht="18.75" x14ac:dyDescent="0.3">
      <c r="B10" s="7"/>
      <c r="C10" s="9"/>
      <c r="D10" s="9"/>
      <c r="E10" s="9"/>
      <c r="F10" s="9"/>
      <c r="G10" s="9"/>
      <c r="H10" s="9"/>
      <c r="I10" s="9"/>
      <c r="J10" s="9"/>
      <c r="K10" s="9"/>
      <c r="L10" s="29" t="s">
        <v>9</v>
      </c>
      <c r="M10" s="30" t="s">
        <v>10</v>
      </c>
      <c r="N10" s="8"/>
    </row>
    <row r="11" spans="2:18" ht="18.75" x14ac:dyDescent="0.3">
      <c r="B11" s="7"/>
      <c r="C11" s="9"/>
      <c r="D11" s="9"/>
      <c r="E11" s="9"/>
      <c r="F11" s="9"/>
      <c r="G11" s="9"/>
      <c r="H11" s="9"/>
      <c r="I11" s="9"/>
      <c r="J11" s="9"/>
      <c r="K11" s="9"/>
      <c r="L11" s="23" t="s">
        <v>35</v>
      </c>
      <c r="M11" s="31">
        <v>0.98399999999999999</v>
      </c>
      <c r="N11" s="8"/>
    </row>
    <row r="12" spans="2:18" ht="18.75" x14ac:dyDescent="0.3">
      <c r="B12" s="7"/>
      <c r="C12" s="9"/>
      <c r="D12" s="9"/>
      <c r="E12" s="9"/>
      <c r="F12" s="9"/>
      <c r="G12" s="9"/>
      <c r="H12" s="9"/>
      <c r="I12" s="9"/>
      <c r="J12" s="9"/>
      <c r="K12" s="9"/>
      <c r="L12" s="23" t="s">
        <v>100</v>
      </c>
      <c r="M12" s="31">
        <v>4.1669999999999998</v>
      </c>
      <c r="N12" s="8"/>
    </row>
    <row r="13" spans="2:18" ht="18.75" x14ac:dyDescent="0.3">
      <c r="B13" s="7"/>
      <c r="C13" s="9"/>
      <c r="D13" s="9"/>
      <c r="E13" s="9"/>
      <c r="F13" s="9"/>
      <c r="G13" s="9"/>
      <c r="H13" s="9"/>
      <c r="I13" s="9"/>
      <c r="J13" s="9"/>
      <c r="K13" s="9"/>
      <c r="L13" s="23" t="s">
        <v>31</v>
      </c>
      <c r="M13" s="32">
        <v>41.6</v>
      </c>
      <c r="N13" s="8"/>
    </row>
    <row r="14" spans="2:18" ht="18.75" x14ac:dyDescent="0.3">
      <c r="B14" s="7"/>
      <c r="C14" s="9"/>
      <c r="D14" s="9"/>
      <c r="E14" s="9"/>
      <c r="F14" s="9"/>
      <c r="G14" s="9"/>
      <c r="H14" s="9"/>
      <c r="I14" s="9"/>
      <c r="J14" s="9"/>
      <c r="K14" s="9"/>
      <c r="L14" s="23" t="s">
        <v>36</v>
      </c>
      <c r="M14" s="33">
        <v>29</v>
      </c>
      <c r="N14" s="8"/>
    </row>
    <row r="15" spans="2:18" ht="18.75" x14ac:dyDescent="0.3">
      <c r="B15" s="7"/>
      <c r="C15" s="9"/>
      <c r="D15" s="9"/>
      <c r="E15" s="9"/>
      <c r="F15" s="9"/>
      <c r="G15" s="9"/>
      <c r="H15" s="9"/>
      <c r="I15" s="9"/>
      <c r="J15" s="9"/>
      <c r="K15" s="9"/>
      <c r="L15" s="23" t="s">
        <v>37</v>
      </c>
      <c r="M15" s="32">
        <v>0.3</v>
      </c>
      <c r="N15" s="8"/>
    </row>
    <row r="16" spans="2:18" ht="18.75" x14ac:dyDescent="0.3">
      <c r="B16" s="7"/>
      <c r="C16" s="9"/>
      <c r="D16" s="9"/>
      <c r="E16" s="9"/>
      <c r="F16" s="9"/>
      <c r="G16" s="9"/>
      <c r="H16" s="9"/>
      <c r="I16" s="9"/>
      <c r="J16" s="9"/>
      <c r="K16" s="9"/>
      <c r="L16" s="23" t="s">
        <v>101</v>
      </c>
      <c r="M16" s="31" t="s">
        <v>22</v>
      </c>
      <c r="N16" s="8"/>
    </row>
    <row r="17" spans="2:14" ht="18.75" x14ac:dyDescent="0.3">
      <c r="B17" s="7"/>
      <c r="C17" s="9"/>
      <c r="D17" s="9"/>
      <c r="E17" s="9"/>
      <c r="F17" s="9"/>
      <c r="G17" s="9"/>
      <c r="H17" s="9"/>
      <c r="I17" s="9"/>
      <c r="J17" s="9"/>
      <c r="K17" s="9"/>
      <c r="L17" s="23" t="s">
        <v>102</v>
      </c>
      <c r="M17" s="24" t="s">
        <v>22</v>
      </c>
      <c r="N17" s="8"/>
    </row>
    <row r="18" spans="2:14" ht="18.75" x14ac:dyDescent="0.3">
      <c r="B18" s="7"/>
      <c r="C18" s="9"/>
      <c r="D18" s="9"/>
      <c r="E18" s="9"/>
      <c r="F18" s="9"/>
      <c r="G18" s="9"/>
      <c r="H18" s="9"/>
      <c r="I18" s="9"/>
      <c r="J18" s="9"/>
      <c r="K18" s="9"/>
      <c r="L18" s="23" t="s">
        <v>38</v>
      </c>
      <c r="M18" s="24">
        <v>49</v>
      </c>
      <c r="N18" s="8"/>
    </row>
    <row r="19" spans="2:14" ht="18.75" x14ac:dyDescent="0.3">
      <c r="B19" s="7"/>
      <c r="C19" s="9"/>
      <c r="D19" s="9"/>
      <c r="E19" s="9"/>
      <c r="F19" s="9"/>
      <c r="G19" s="9"/>
      <c r="H19" s="9"/>
      <c r="I19" s="9"/>
      <c r="J19" s="9"/>
      <c r="K19" s="9"/>
      <c r="L19" s="23" t="s">
        <v>39</v>
      </c>
      <c r="M19" s="24">
        <v>70</v>
      </c>
      <c r="N19" s="8"/>
    </row>
    <row r="20" spans="2:14" ht="18.75" x14ac:dyDescent="0.3">
      <c r="B20" s="7"/>
      <c r="C20" s="9"/>
      <c r="D20" s="9"/>
      <c r="E20" s="9"/>
      <c r="F20" s="9"/>
      <c r="G20" s="9"/>
      <c r="H20" s="9"/>
      <c r="I20" s="9"/>
      <c r="J20" s="9"/>
      <c r="K20" s="9"/>
      <c r="L20" s="23"/>
      <c r="M20" s="23"/>
      <c r="N20" s="8"/>
    </row>
    <row r="21" spans="2:14" ht="18.75" x14ac:dyDescent="0.3">
      <c r="B21" s="7"/>
      <c r="C21" s="9"/>
      <c r="D21" s="9"/>
      <c r="E21" s="9"/>
      <c r="F21" s="9"/>
      <c r="G21" s="9"/>
      <c r="H21" s="9"/>
      <c r="I21" s="9"/>
      <c r="J21" s="9"/>
      <c r="K21" s="9"/>
      <c r="L21" s="23" t="s">
        <v>40</v>
      </c>
      <c r="M21" s="34" t="s">
        <v>13</v>
      </c>
      <c r="N21" s="8"/>
    </row>
    <row r="22" spans="2:14" ht="18.75" x14ac:dyDescent="0.3">
      <c r="B22" s="7"/>
      <c r="C22" s="9"/>
      <c r="D22" s="9"/>
      <c r="E22" s="9"/>
      <c r="F22" s="9"/>
      <c r="G22" s="9"/>
      <c r="H22" s="9"/>
      <c r="I22" s="9"/>
      <c r="J22" s="9"/>
      <c r="K22" s="9"/>
      <c r="L22" s="35" t="s">
        <v>41</v>
      </c>
      <c r="M22" s="34" t="s">
        <v>14</v>
      </c>
      <c r="N22" s="8"/>
    </row>
    <row r="23" spans="2:14" ht="18.75" x14ac:dyDescent="0.3">
      <c r="B23" s="7"/>
      <c r="C23" s="9"/>
      <c r="D23" s="9"/>
      <c r="E23" s="9"/>
      <c r="F23" s="9"/>
      <c r="G23" s="9"/>
      <c r="H23" s="9"/>
      <c r="I23" s="9"/>
      <c r="J23" s="9"/>
      <c r="K23" s="9"/>
      <c r="L23" s="23" t="s">
        <v>42</v>
      </c>
      <c r="M23" s="34" t="s">
        <v>11</v>
      </c>
      <c r="N23" s="8"/>
    </row>
    <row r="24" spans="2:14" ht="18.75" x14ac:dyDescent="0.3">
      <c r="B24" s="7"/>
      <c r="C24" s="9"/>
      <c r="D24" s="9"/>
      <c r="E24" s="9"/>
      <c r="F24" s="9"/>
      <c r="G24" s="9"/>
      <c r="H24" s="9"/>
      <c r="I24" s="9"/>
      <c r="J24" s="9"/>
      <c r="K24" s="9"/>
      <c r="L24" s="23"/>
      <c r="M24" s="36"/>
      <c r="N24" s="8"/>
    </row>
    <row r="25" spans="2:14" ht="18.75" x14ac:dyDescent="0.3">
      <c r="B25" s="7"/>
      <c r="C25" s="9"/>
      <c r="D25" s="9"/>
      <c r="E25" s="9"/>
      <c r="F25" s="9"/>
      <c r="G25" s="9"/>
      <c r="H25" s="9"/>
      <c r="I25" s="9"/>
      <c r="J25" s="9"/>
      <c r="K25" s="9"/>
      <c r="L25" s="23" t="s">
        <v>12</v>
      </c>
      <c r="M25" s="37">
        <v>2.1584170292160412</v>
      </c>
      <c r="N25" s="8"/>
    </row>
    <row r="26" spans="2:14" ht="18.75" x14ac:dyDescent="0.3">
      <c r="B26" s="7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8"/>
    </row>
    <row r="27" spans="2:14" ht="18.75" x14ac:dyDescent="0.3">
      <c r="B27" s="7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8"/>
    </row>
    <row r="28" spans="2:14" ht="18.75" x14ac:dyDescent="0.3">
      <c r="B28" s="7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8"/>
    </row>
    <row r="29" spans="2:14" ht="18.75" x14ac:dyDescent="0.3">
      <c r="B29" s="7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8"/>
    </row>
    <row r="30" spans="2:14" ht="18.75" x14ac:dyDescent="0.3">
      <c r="B30" s="7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8"/>
    </row>
    <row r="31" spans="2:14" ht="18.75" x14ac:dyDescent="0.3">
      <c r="B31" s="7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8"/>
    </row>
    <row r="32" spans="2:14" ht="18.75" x14ac:dyDescent="0.3">
      <c r="B32" s="7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8"/>
    </row>
    <row r="33" spans="2:14" ht="18.75" x14ac:dyDescent="0.3">
      <c r="B33" s="7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8"/>
    </row>
    <row r="34" spans="2:14" ht="18.75" x14ac:dyDescent="0.3">
      <c r="B34" s="7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8"/>
    </row>
    <row r="35" spans="2:14" ht="18.75" x14ac:dyDescent="0.3">
      <c r="B35" s="7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8"/>
    </row>
    <row r="36" spans="2:14" ht="18.75" x14ac:dyDescent="0.3">
      <c r="B36" s="7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8"/>
    </row>
    <row r="37" spans="2:14" ht="18.75" x14ac:dyDescent="0.3">
      <c r="B37" s="7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8"/>
    </row>
    <row r="38" spans="2:14" ht="18.75" x14ac:dyDescent="0.3">
      <c r="B38" s="7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8"/>
    </row>
    <row r="39" spans="2:14" ht="18.75" x14ac:dyDescent="0.3">
      <c r="B39" s="7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8"/>
    </row>
    <row r="40" spans="2:14" ht="18.75" x14ac:dyDescent="0.3">
      <c r="B40" s="7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8"/>
    </row>
    <row r="41" spans="2:14" ht="18.75" x14ac:dyDescent="0.3">
      <c r="B41" s="7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8"/>
    </row>
    <row r="42" spans="2:14" ht="18.75" x14ac:dyDescent="0.3">
      <c r="B42" s="7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8"/>
    </row>
    <row r="43" spans="2:14" ht="15.75" thickBot="1" x14ac:dyDescent="0.3">
      <c r="B43" s="19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1"/>
    </row>
    <row r="44" spans="2:14" ht="7.5" customHeight="1" x14ac:dyDescent="0.25"/>
  </sheetData>
  <mergeCells count="1">
    <mergeCell ref="C3:M4"/>
  </mergeCells>
  <conditionalFormatting sqref="M21">
    <cfRule type="cellIs" dxfId="5" priority="3" operator="notEqual">
      <formula>"AUTOMATIC"</formula>
    </cfRule>
  </conditionalFormatting>
  <conditionalFormatting sqref="M22">
    <cfRule type="cellIs" dxfId="4" priority="2" operator="notEqual">
      <formula>"AOP dose"</formula>
    </cfRule>
  </conditionalFormatting>
  <conditionalFormatting sqref="M23">
    <cfRule type="cellIs" dxfId="3" priority="1" operator="notEqual">
      <formula>"FOR PROCESSING"</formula>
    </cfRule>
  </conditionalFormatting>
  <pageMargins left="0.7" right="0.7" top="0.75" bottom="0.75" header="0.3" footer="0.3"/>
  <pageSetup paperSize="9" scale="6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AL81"/>
  <sheetViews>
    <sheetView showGridLines="0" zoomScale="85" zoomScaleNormal="85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G20" sqref="G20"/>
    </sheetView>
  </sheetViews>
  <sheetFormatPr defaultRowHeight="15" x14ac:dyDescent="0.25"/>
  <cols>
    <col min="1" max="1" width="10.42578125" bestFit="1" customWidth="1"/>
    <col min="2" max="2" width="17.7109375" customWidth="1"/>
    <col min="3" max="3" width="14.140625" customWidth="1"/>
    <col min="4" max="4" width="16.140625" customWidth="1"/>
    <col min="5" max="5" width="16.5703125" customWidth="1"/>
    <col min="6" max="6" width="11.7109375" customWidth="1"/>
    <col min="7" max="7" width="19" customWidth="1"/>
    <col min="8" max="8" width="14.28515625" customWidth="1"/>
    <col min="9" max="9" width="16.5703125" customWidth="1"/>
    <col min="10" max="10" width="15.42578125" customWidth="1"/>
    <col min="11" max="11" width="13.140625" customWidth="1"/>
    <col min="12" max="12" width="12.5703125" customWidth="1"/>
    <col min="13" max="13" width="14.5703125" customWidth="1"/>
    <col min="14" max="14" width="17.85546875" customWidth="1"/>
    <col min="15" max="15" width="12.140625" customWidth="1"/>
    <col min="16" max="16" width="15.140625" customWidth="1"/>
    <col min="17" max="17" width="17" customWidth="1"/>
    <col min="18" max="18" width="10.7109375" customWidth="1"/>
    <col min="19" max="19" width="16.5703125" customWidth="1"/>
    <col min="20" max="20" width="24.28515625" customWidth="1"/>
    <col min="21" max="21" width="16.5703125" customWidth="1"/>
    <col min="22" max="25" width="16.5703125" hidden="1" customWidth="1"/>
    <col min="26" max="31" width="14.7109375" hidden="1" customWidth="1"/>
    <col min="32" max="33" width="9.140625" hidden="1" customWidth="1"/>
    <col min="34" max="34" width="12.7109375" hidden="1" customWidth="1"/>
    <col min="35" max="35" width="13.85546875" hidden="1" customWidth="1"/>
    <col min="36" max="36" width="10.140625" hidden="1" customWidth="1"/>
    <col min="37" max="37" width="12.5703125" hidden="1" customWidth="1"/>
    <col min="38" max="38" width="42.7109375" customWidth="1"/>
  </cols>
  <sheetData>
    <row r="1" spans="1:38" x14ac:dyDescent="0.25">
      <c r="A1" s="1"/>
    </row>
    <row r="2" spans="1:38" x14ac:dyDescent="0.25">
      <c r="A2" s="1"/>
    </row>
    <row r="3" spans="1:38" x14ac:dyDescent="0.25">
      <c r="A3" s="1"/>
    </row>
    <row r="4" spans="1:38" x14ac:dyDescent="0.25">
      <c r="A4" s="1"/>
    </row>
    <row r="5" spans="1:38" ht="18" customHeight="1" x14ac:dyDescent="0.3">
      <c r="A5" s="1"/>
      <c r="B5" s="43" t="s">
        <v>1</v>
      </c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5"/>
      <c r="Q5" s="46" t="s">
        <v>23</v>
      </c>
      <c r="R5" s="47"/>
      <c r="S5" s="47"/>
      <c r="T5" s="47"/>
      <c r="U5" s="48"/>
      <c r="V5" s="49" t="s">
        <v>2</v>
      </c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15" t="s">
        <v>24</v>
      </c>
      <c r="AI5" s="16"/>
      <c r="AJ5" s="16"/>
      <c r="AK5" s="17"/>
    </row>
    <row r="6" spans="1:38" ht="32.25" customHeight="1" x14ac:dyDescent="0.25">
      <c r="A6" s="1"/>
      <c r="B6" s="39" t="s">
        <v>21</v>
      </c>
      <c r="C6" s="39" t="s">
        <v>0</v>
      </c>
      <c r="D6" s="39" t="s">
        <v>43</v>
      </c>
      <c r="E6" s="39" t="s">
        <v>44</v>
      </c>
      <c r="F6" s="40" t="s">
        <v>45</v>
      </c>
      <c r="G6" s="40" t="s">
        <v>47</v>
      </c>
      <c r="H6" s="40" t="s">
        <v>50</v>
      </c>
      <c r="I6" s="39" t="s">
        <v>51</v>
      </c>
      <c r="J6" s="40" t="s">
        <v>52</v>
      </c>
      <c r="K6" s="40" t="s">
        <v>53</v>
      </c>
      <c r="L6" s="39" t="s">
        <v>54</v>
      </c>
      <c r="M6" s="39" t="s">
        <v>55</v>
      </c>
      <c r="N6" s="39" t="s">
        <v>56</v>
      </c>
      <c r="O6" s="40" t="s">
        <v>48</v>
      </c>
      <c r="P6" s="40" t="s">
        <v>49</v>
      </c>
      <c r="Q6" s="39" t="s">
        <v>29</v>
      </c>
      <c r="R6" s="39" t="s">
        <v>57</v>
      </c>
      <c r="S6" s="40" t="s">
        <v>58</v>
      </c>
      <c r="T6" s="40" t="s">
        <v>59</v>
      </c>
      <c r="U6" s="39" t="s">
        <v>60</v>
      </c>
      <c r="V6" s="39" t="s">
        <v>3</v>
      </c>
      <c r="W6" s="39" t="s">
        <v>4</v>
      </c>
      <c r="X6" s="39" t="s">
        <v>5</v>
      </c>
      <c r="Y6" s="39" t="s">
        <v>15</v>
      </c>
      <c r="Z6" s="39" t="s">
        <v>16</v>
      </c>
      <c r="AA6" s="39" t="s">
        <v>17</v>
      </c>
      <c r="AB6" s="39" t="s">
        <v>6</v>
      </c>
      <c r="AC6" s="39" t="s">
        <v>7</v>
      </c>
      <c r="AD6" s="39" t="s">
        <v>8</v>
      </c>
      <c r="AE6" s="39" t="s">
        <v>18</v>
      </c>
      <c r="AF6" s="39" t="s">
        <v>19</v>
      </c>
      <c r="AG6" s="39" t="s">
        <v>20</v>
      </c>
      <c r="AH6" s="41" t="s">
        <v>25</v>
      </c>
      <c r="AI6" s="41" t="s">
        <v>27</v>
      </c>
      <c r="AJ6" s="41" t="s">
        <v>26</v>
      </c>
      <c r="AK6" s="41" t="s">
        <v>28</v>
      </c>
      <c r="AL6" s="41" t="s">
        <v>99</v>
      </c>
    </row>
    <row r="7" spans="1:38" x14ac:dyDescent="0.25">
      <c r="A7" s="1"/>
      <c r="B7" s="10" t="s">
        <v>103</v>
      </c>
      <c r="C7" s="38">
        <v>42327</v>
      </c>
      <c r="D7" s="11">
        <v>0.40939814814814812</v>
      </c>
      <c r="E7" s="11" t="s">
        <v>11</v>
      </c>
      <c r="F7" s="10">
        <v>29</v>
      </c>
      <c r="G7" s="10">
        <v>34.1</v>
      </c>
      <c r="H7" s="10">
        <v>0.3</v>
      </c>
      <c r="I7" s="10" t="s">
        <v>22</v>
      </c>
      <c r="J7" s="10">
        <v>50</v>
      </c>
      <c r="K7" s="10">
        <v>70</v>
      </c>
      <c r="L7" s="10" t="s">
        <v>22</v>
      </c>
      <c r="M7" s="10" t="s">
        <v>13</v>
      </c>
      <c r="N7" s="10" t="s">
        <v>14</v>
      </c>
      <c r="O7" s="14">
        <v>0.82799999999999996</v>
      </c>
      <c r="P7" s="14">
        <v>3.48</v>
      </c>
      <c r="Q7" s="18">
        <f>AVERAGE(Tabell1[[#This Row],[µ1]:[µ5]])</f>
        <v>605.68983999999989</v>
      </c>
      <c r="R7" s="18">
        <f>Tabell1[[#This Row],[µ3]]/Tabell1[[#This Row],[stdev3]]</f>
        <v>62.280581597133086</v>
      </c>
      <c r="S7" s="12">
        <f>(MAX(Tabell1[[#This Row],[µ1]:[µ5]])-MIN(Tabell1[[#This Row],[µ1]:[µ5]]))/Tabell1[[#This Row],[Medelsignal]]*100</f>
        <v>1.8129906223951331</v>
      </c>
      <c r="T7" s="12">
        <f>Tabell1[[#This Row],[stdev6]]/Tabell1[[#This Row],[µ6]]*100</f>
        <v>2.3174969489771198</v>
      </c>
      <c r="U7" s="18">
        <f>Tabell1[[#This Row],[Medelsignal]]/Tabell1[[#This Row],[Rörladdning
(mAs)]]</f>
        <v>17.762165395894424</v>
      </c>
      <c r="V7" s="12">
        <v>601.55309999999997</v>
      </c>
      <c r="W7" s="12">
        <v>599.78409999999997</v>
      </c>
      <c r="X7" s="12">
        <v>606.53189999999995</v>
      </c>
      <c r="Y7" s="12">
        <v>610.76520000000005</v>
      </c>
      <c r="Z7" s="12">
        <v>609.81489999999997</v>
      </c>
      <c r="AA7" s="12">
        <v>601.35569999999996</v>
      </c>
      <c r="AB7" s="12">
        <v>10.004</v>
      </c>
      <c r="AC7" s="12">
        <v>11.001899999999999</v>
      </c>
      <c r="AD7" s="12">
        <v>9.7386999999999997</v>
      </c>
      <c r="AE7" s="12">
        <v>10.0702</v>
      </c>
      <c r="AF7" s="12">
        <v>10.9908</v>
      </c>
      <c r="AG7" s="12">
        <v>13.936400000000001</v>
      </c>
      <c r="AH7" s="13">
        <f>AVERAGE(Tabell1[Homogenitet
(%)])-3*_xlfn.STDEV.S(Tabell1[Homogenitet
(%)])</f>
        <v>0.25464738521513341</v>
      </c>
      <c r="AI7" s="13">
        <f>AVERAGE(Tabell1[Homogenitet
(%)])+3*_xlfn.STDEV.S(Tabell1[Homogenitet
(%)])</f>
        <v>3.7293755484640694</v>
      </c>
      <c r="AJ7" s="13">
        <f>AVERAGE(Tabell1[Var.koeff
(%)])-3*_xlfn.STDEV.S(Tabell1[Var.koeff
(%)])</f>
        <v>1.3445693980413429</v>
      </c>
      <c r="AK7" s="13">
        <f>AVERAGE(Tabell1[Var.koeff
(%)])+3*_xlfn.STDEV.S(Tabell1[Var.koeff
(%)])</f>
        <v>3.0459012769222378</v>
      </c>
      <c r="AL7" s="13"/>
    </row>
    <row r="8" spans="1:38" x14ac:dyDescent="0.25">
      <c r="A8" s="1"/>
      <c r="B8" s="10" t="s">
        <v>103</v>
      </c>
      <c r="C8" s="38">
        <v>42341</v>
      </c>
      <c r="D8" s="11">
        <v>0.3988888888888889</v>
      </c>
      <c r="E8" s="11" t="s">
        <v>11</v>
      </c>
      <c r="F8" s="10">
        <v>29</v>
      </c>
      <c r="G8" s="10">
        <v>34.5</v>
      </c>
      <c r="H8" s="10">
        <v>0.3</v>
      </c>
      <c r="I8" s="10" t="s">
        <v>22</v>
      </c>
      <c r="J8" s="10">
        <v>50</v>
      </c>
      <c r="K8" s="10">
        <v>70</v>
      </c>
      <c r="L8" s="10" t="s">
        <v>22</v>
      </c>
      <c r="M8" s="10" t="s">
        <v>13</v>
      </c>
      <c r="N8" s="10" t="s">
        <v>14</v>
      </c>
      <c r="O8" s="14">
        <v>0.83899999999999997</v>
      </c>
      <c r="P8" s="14">
        <v>3.5209999999999999</v>
      </c>
      <c r="Q8" s="18">
        <f>AVERAGE(Tabell1[[#This Row],[µ1]:[µ5]])</f>
        <v>612.06834000000003</v>
      </c>
      <c r="R8" s="18">
        <f>Tabell1[[#This Row],[µ3]]/Tabell1[[#This Row],[stdev3]]</f>
        <v>62.293267177745697</v>
      </c>
      <c r="S8" s="12">
        <f>(MAX(Tabell1[[#This Row],[µ1]:[µ5]])-MIN(Tabell1[[#This Row],[µ1]:[µ5]]))/Tabell1[[#This Row],[Medelsignal]]*100</f>
        <v>1.5340770607413032</v>
      </c>
      <c r="T8" s="12">
        <f>Tabell1[[#This Row],[stdev6]]/Tabell1[[#This Row],[µ6]]*100</f>
        <v>2.2272547670723517</v>
      </c>
      <c r="U8" s="18">
        <f>Tabell1[[#This Row],[Medelsignal]]/Tabell1[[#This Row],[Rörladdning
(mAs)]]</f>
        <v>17.741111304347829</v>
      </c>
      <c r="V8" s="12">
        <v>607.26739999999995</v>
      </c>
      <c r="W8" s="12">
        <v>608.40930000000003</v>
      </c>
      <c r="X8" s="12">
        <v>612.67920000000004</v>
      </c>
      <c r="Y8" s="12">
        <v>615.3288</v>
      </c>
      <c r="Z8" s="12">
        <v>616.65700000000004</v>
      </c>
      <c r="AA8" s="12">
        <v>607.90980000000002</v>
      </c>
      <c r="AB8" s="12">
        <v>10.1403</v>
      </c>
      <c r="AC8" s="12">
        <v>11.1088</v>
      </c>
      <c r="AD8" s="12">
        <v>9.8353999999999999</v>
      </c>
      <c r="AE8" s="12">
        <v>10.070399999999999</v>
      </c>
      <c r="AF8" s="12">
        <v>10.979200000000001</v>
      </c>
      <c r="AG8" s="12">
        <v>13.5397</v>
      </c>
      <c r="AH8" s="13">
        <f>AVERAGE(Tabell1[Homogenitet
(%)])-3*_xlfn.STDEV.S(Tabell1[Homogenitet
(%)])</f>
        <v>0.25464738521513341</v>
      </c>
      <c r="AI8" s="13">
        <f>AVERAGE(Tabell1[Homogenitet
(%)])+3*_xlfn.STDEV.S(Tabell1[Homogenitet
(%)])</f>
        <v>3.7293755484640694</v>
      </c>
      <c r="AJ8" s="13">
        <f>AVERAGE(Tabell1[Var.koeff
(%)])-3*_xlfn.STDEV.S(Tabell1[Var.koeff
(%)])</f>
        <v>1.3445693980413429</v>
      </c>
      <c r="AK8" s="13">
        <f>AVERAGE(Tabell1[Var.koeff
(%)])+3*_xlfn.STDEV.S(Tabell1[Var.koeff
(%)])</f>
        <v>3.0459012769222378</v>
      </c>
      <c r="AL8" s="13"/>
    </row>
    <row r="9" spans="1:38" x14ac:dyDescent="0.25">
      <c r="A9" s="1"/>
      <c r="B9" s="10" t="s">
        <v>103</v>
      </c>
      <c r="C9" s="38">
        <v>42352</v>
      </c>
      <c r="D9" s="11">
        <v>0.55914351851851851</v>
      </c>
      <c r="E9" s="11" t="s">
        <v>11</v>
      </c>
      <c r="F9" s="10">
        <v>29</v>
      </c>
      <c r="G9" s="10">
        <v>35.5</v>
      </c>
      <c r="H9" s="10">
        <v>0.3</v>
      </c>
      <c r="I9" s="10" t="s">
        <v>22</v>
      </c>
      <c r="J9" s="10">
        <v>49</v>
      </c>
      <c r="K9" s="10">
        <v>70</v>
      </c>
      <c r="L9" s="10" t="s">
        <v>22</v>
      </c>
      <c r="M9" s="10" t="s">
        <v>13</v>
      </c>
      <c r="N9" s="10" t="s">
        <v>14</v>
      </c>
      <c r="O9" s="14">
        <v>0.84699999999999998</v>
      </c>
      <c r="P9" s="14">
        <v>3.601</v>
      </c>
      <c r="Q9" s="18">
        <f>AVERAGE(Tabell1[[#This Row],[µ1]:[µ5]])</f>
        <v>572.11195999999995</v>
      </c>
      <c r="R9" s="18">
        <f>Tabell1[[#This Row],[µ3]]/Tabell1[[#This Row],[stdev3]]</f>
        <v>61.186805489222145</v>
      </c>
      <c r="S9" s="12">
        <f>(MAX(Tabell1[[#This Row],[µ1]:[µ5]])-MIN(Tabell1[[#This Row],[µ1]:[µ5]]))/Tabell1[[#This Row],[Medelsignal]]*100</f>
        <v>2.2088508689802664</v>
      </c>
      <c r="T9" s="12">
        <f>Tabell1[[#This Row],[stdev6]]/Tabell1[[#This Row],[µ6]]*100</f>
        <v>2.409782289776897</v>
      </c>
      <c r="U9" s="18">
        <f>Tabell1[[#This Row],[Medelsignal]]/Tabell1[[#This Row],[Rörladdning
(mAs)]]</f>
        <v>16.115829859154928</v>
      </c>
      <c r="V9" s="12">
        <v>568.95050000000003</v>
      </c>
      <c r="W9" s="12">
        <v>564.6789</v>
      </c>
      <c r="X9" s="12">
        <v>576.50819999999999</v>
      </c>
      <c r="Y9" s="12">
        <v>577.31600000000003</v>
      </c>
      <c r="Z9" s="12">
        <v>573.10619999999994</v>
      </c>
      <c r="AA9" s="12">
        <v>567.47450000000003</v>
      </c>
      <c r="AB9" s="12">
        <v>9.7722999999999995</v>
      </c>
      <c r="AC9" s="12">
        <v>10.751099999999999</v>
      </c>
      <c r="AD9" s="12">
        <v>9.4221000000000004</v>
      </c>
      <c r="AE9" s="12">
        <v>9.4001999999999999</v>
      </c>
      <c r="AF9" s="12">
        <v>10.475300000000001</v>
      </c>
      <c r="AG9" s="12">
        <v>13.674899999999999</v>
      </c>
      <c r="AH9" s="13">
        <f>AVERAGE(Tabell1[Homogenitet
(%)])-3*_xlfn.STDEV.S(Tabell1[Homogenitet
(%)])</f>
        <v>0.25464738521513341</v>
      </c>
      <c r="AI9" s="13">
        <f>AVERAGE(Tabell1[Homogenitet
(%)])+3*_xlfn.STDEV.S(Tabell1[Homogenitet
(%)])</f>
        <v>3.7293755484640694</v>
      </c>
      <c r="AJ9" s="13">
        <f>AVERAGE(Tabell1[Var.koeff
(%)])-3*_xlfn.STDEV.S(Tabell1[Var.koeff
(%)])</f>
        <v>1.3445693980413429</v>
      </c>
      <c r="AK9" s="13">
        <f>AVERAGE(Tabell1[Var.koeff
(%)])+3*_xlfn.STDEV.S(Tabell1[Var.koeff
(%)])</f>
        <v>3.0459012769222378</v>
      </c>
      <c r="AL9" s="13"/>
    </row>
    <row r="10" spans="1:38" x14ac:dyDescent="0.25">
      <c r="A10" s="1"/>
      <c r="B10" s="10" t="s">
        <v>103</v>
      </c>
      <c r="C10" s="38">
        <v>42355</v>
      </c>
      <c r="D10" s="11">
        <v>0.38723379629629634</v>
      </c>
      <c r="E10" s="11" t="s">
        <v>11</v>
      </c>
      <c r="F10" s="10">
        <v>29</v>
      </c>
      <c r="G10" s="10">
        <v>35</v>
      </c>
      <c r="H10" s="10">
        <v>0.3</v>
      </c>
      <c r="I10" s="10" t="s">
        <v>22</v>
      </c>
      <c r="J10" s="10">
        <v>49</v>
      </c>
      <c r="K10" s="10">
        <v>70</v>
      </c>
      <c r="L10" s="10" t="s">
        <v>22</v>
      </c>
      <c r="M10" s="10" t="s">
        <v>13</v>
      </c>
      <c r="N10" s="10" t="s">
        <v>14</v>
      </c>
      <c r="O10" s="14">
        <v>0.84199999999999997</v>
      </c>
      <c r="P10" s="14">
        <v>3.5569999999999999</v>
      </c>
      <c r="Q10" s="18">
        <f>AVERAGE(Tabell1[[#This Row],[µ1]:[µ5]])</f>
        <v>568.05575999999996</v>
      </c>
      <c r="R10" s="18">
        <f>Tabell1[[#This Row],[µ3]]/Tabell1[[#This Row],[stdev3]]</f>
        <v>60.334849172267532</v>
      </c>
      <c r="S10" s="12">
        <f>(MAX(Tabell1[[#This Row],[µ1]:[µ5]])-MIN(Tabell1[[#This Row],[µ1]:[µ5]]))/Tabell1[[#This Row],[Medelsignal]]*100</f>
        <v>2.3204764264691207</v>
      </c>
      <c r="T10" s="12">
        <f>Tabell1[[#This Row],[stdev6]]/Tabell1[[#This Row],[µ6]]*100</f>
        <v>2.4709342553186961</v>
      </c>
      <c r="U10" s="18">
        <f>Tabell1[[#This Row],[Medelsignal]]/Tabell1[[#This Row],[Rörladdning
(mAs)]]</f>
        <v>16.23016457142857</v>
      </c>
      <c r="V10" s="12">
        <v>563.6857</v>
      </c>
      <c r="W10" s="12">
        <v>560.38400000000001</v>
      </c>
      <c r="X10" s="12">
        <v>571.8356</v>
      </c>
      <c r="Y10" s="12">
        <v>573.56560000000002</v>
      </c>
      <c r="Z10" s="12">
        <v>570.80790000000002</v>
      </c>
      <c r="AA10" s="12">
        <v>563.65319999999997</v>
      </c>
      <c r="AB10" s="12">
        <v>9.7186000000000003</v>
      </c>
      <c r="AC10" s="12">
        <v>10.888500000000001</v>
      </c>
      <c r="AD10" s="12">
        <v>9.4777000000000005</v>
      </c>
      <c r="AE10" s="12">
        <v>9.4476999999999993</v>
      </c>
      <c r="AF10" s="12">
        <v>10.534599999999999</v>
      </c>
      <c r="AG10" s="12">
        <v>13.9275</v>
      </c>
      <c r="AH10" s="13">
        <f>AVERAGE(Tabell1[Homogenitet
(%)])-3*_xlfn.STDEV.S(Tabell1[Homogenitet
(%)])</f>
        <v>0.25464738521513341</v>
      </c>
      <c r="AI10" s="13">
        <f>AVERAGE(Tabell1[Homogenitet
(%)])+3*_xlfn.STDEV.S(Tabell1[Homogenitet
(%)])</f>
        <v>3.7293755484640694</v>
      </c>
      <c r="AJ10" s="13">
        <f>AVERAGE(Tabell1[Var.koeff
(%)])-3*_xlfn.STDEV.S(Tabell1[Var.koeff
(%)])</f>
        <v>1.3445693980413429</v>
      </c>
      <c r="AK10" s="13">
        <f>AVERAGE(Tabell1[Var.koeff
(%)])+3*_xlfn.STDEV.S(Tabell1[Var.koeff
(%)])</f>
        <v>3.0459012769222378</v>
      </c>
      <c r="AL10" s="13"/>
    </row>
    <row r="11" spans="1:38" x14ac:dyDescent="0.25">
      <c r="A11" s="1"/>
      <c r="B11" s="10" t="s">
        <v>103</v>
      </c>
      <c r="C11" s="38">
        <v>42678</v>
      </c>
      <c r="D11" s="11">
        <v>0.52406249999999999</v>
      </c>
      <c r="E11" s="11" t="s">
        <v>11</v>
      </c>
      <c r="F11" s="10">
        <v>29</v>
      </c>
      <c r="G11" s="10">
        <v>42.7</v>
      </c>
      <c r="H11" s="10">
        <v>0.3</v>
      </c>
      <c r="I11" s="10" t="s">
        <v>22</v>
      </c>
      <c r="J11" s="10">
        <v>49</v>
      </c>
      <c r="K11" s="10">
        <v>70</v>
      </c>
      <c r="L11" s="10" t="s">
        <v>22</v>
      </c>
      <c r="M11" s="10" t="s">
        <v>13</v>
      </c>
      <c r="N11" s="10" t="s">
        <v>14</v>
      </c>
      <c r="O11" s="14">
        <v>0.997</v>
      </c>
      <c r="P11" s="14">
        <v>4.266</v>
      </c>
      <c r="Q11" s="18">
        <f>AVERAGE(Tabell1[[#This Row],[µ1]:[µ5]])</f>
        <v>677.67672000000005</v>
      </c>
      <c r="R11" s="18">
        <f>Tabell1[[#This Row],[µ3]]/Tabell1[[#This Row],[stdev3]]</f>
        <v>68.521128606278097</v>
      </c>
      <c r="S11" s="12">
        <f>(MAX(Tabell1[[#This Row],[µ1]:[µ5]])-MIN(Tabell1[[#This Row],[µ1]:[µ5]]))/Tabell1[[#This Row],[Medelsignal]]*100</f>
        <v>3.3318394056682257</v>
      </c>
      <c r="T11" s="12">
        <f>Tabell1[[#This Row],[stdev6]]/Tabell1[[#This Row],[µ6]]*100</f>
        <v>2.5110916703118167</v>
      </c>
      <c r="U11" s="18">
        <f>Tabell1[[#This Row],[Medelsignal]]/Tabell1[[#This Row],[Rörladdning
(mAs)]]</f>
        <v>15.870649180327868</v>
      </c>
      <c r="V11" s="12">
        <v>670.03039999999999</v>
      </c>
      <c r="W11" s="12">
        <v>666.44190000000003</v>
      </c>
      <c r="X11" s="12">
        <v>679.74329999999998</v>
      </c>
      <c r="Y11" s="12">
        <v>689.02099999999996</v>
      </c>
      <c r="Z11" s="12">
        <v>683.14700000000005</v>
      </c>
      <c r="AA11" s="12">
        <v>672.12599999999998</v>
      </c>
      <c r="AB11" s="12">
        <v>10.4023</v>
      </c>
      <c r="AC11" s="12">
        <v>11.630800000000001</v>
      </c>
      <c r="AD11" s="12">
        <v>9.9201999999999995</v>
      </c>
      <c r="AE11" s="12">
        <v>10.989100000000001</v>
      </c>
      <c r="AF11" s="12">
        <v>11.5654</v>
      </c>
      <c r="AG11" s="12">
        <v>16.877700000000001</v>
      </c>
      <c r="AH11" s="13">
        <f>AVERAGE(Tabell1[Homogenitet
(%)])-3*_xlfn.STDEV.S(Tabell1[Homogenitet
(%)])</f>
        <v>0.25464738521513341</v>
      </c>
      <c r="AI11" s="13">
        <f>AVERAGE(Tabell1[Homogenitet
(%)])+3*_xlfn.STDEV.S(Tabell1[Homogenitet
(%)])</f>
        <v>3.7293755484640694</v>
      </c>
      <c r="AJ11" s="13">
        <f>AVERAGE(Tabell1[Var.koeff
(%)])-3*_xlfn.STDEV.S(Tabell1[Var.koeff
(%)])</f>
        <v>1.3445693980413429</v>
      </c>
      <c r="AK11" s="13">
        <f>AVERAGE(Tabell1[Var.koeff
(%)])+3*_xlfn.STDEV.S(Tabell1[Var.koeff
(%)])</f>
        <v>3.0459012769222378</v>
      </c>
      <c r="AL11" s="13"/>
    </row>
    <row r="12" spans="1:38" x14ac:dyDescent="0.25">
      <c r="A12" s="1"/>
      <c r="B12" s="10" t="s">
        <v>103</v>
      </c>
      <c r="C12" s="38">
        <v>42683</v>
      </c>
      <c r="D12" s="11">
        <v>0.58042824074074073</v>
      </c>
      <c r="E12" s="11" t="s">
        <v>11</v>
      </c>
      <c r="F12" s="10">
        <v>29</v>
      </c>
      <c r="G12" s="10">
        <v>41.6</v>
      </c>
      <c r="H12" s="10">
        <v>0.3</v>
      </c>
      <c r="I12" s="10" t="s">
        <v>22</v>
      </c>
      <c r="J12" s="10">
        <v>50</v>
      </c>
      <c r="K12" s="10">
        <v>70</v>
      </c>
      <c r="L12" s="10" t="s">
        <v>22</v>
      </c>
      <c r="M12" s="10" t="s">
        <v>13</v>
      </c>
      <c r="N12" s="10" t="s">
        <v>14</v>
      </c>
      <c r="O12" s="14">
        <v>0.99199999999999999</v>
      </c>
      <c r="P12" s="14">
        <v>4.1829999999999998</v>
      </c>
      <c r="Q12" s="18">
        <f>AVERAGE(Tabell1[[#This Row],[µ1]:[µ5]])</f>
        <v>678.43776000000003</v>
      </c>
      <c r="R12" s="18">
        <f>Tabell1[[#This Row],[µ3]]/Tabell1[[#This Row],[stdev3]]</f>
        <v>67.061951021459052</v>
      </c>
      <c r="S12" s="12">
        <f>(MAX(Tabell1[[#This Row],[µ1]:[µ5]])-MIN(Tabell1[[#This Row],[µ1]:[µ5]]))/Tabell1[[#This Row],[Medelsignal]]*100</f>
        <v>2.1508826395511944</v>
      </c>
      <c r="T12" s="12">
        <f>Tabell1[[#This Row],[stdev6]]/Tabell1[[#This Row],[µ6]]*100</f>
        <v>2.2031101788291929</v>
      </c>
      <c r="U12" s="18">
        <f>Tabell1[[#This Row],[Medelsignal]]/Tabell1[[#This Row],[Rörladdning
(mAs)]]</f>
        <v>16.308599999999998</v>
      </c>
      <c r="V12" s="12">
        <v>674.26070000000004</v>
      </c>
      <c r="W12" s="12">
        <v>671.85059999999999</v>
      </c>
      <c r="X12" s="12">
        <v>677.21169999999995</v>
      </c>
      <c r="Y12" s="12">
        <v>686.44299999999998</v>
      </c>
      <c r="Z12" s="12">
        <v>682.42280000000005</v>
      </c>
      <c r="AA12" s="12">
        <v>673.2346</v>
      </c>
      <c r="AB12" s="12">
        <v>10.3102</v>
      </c>
      <c r="AC12" s="12">
        <v>11.395099999999999</v>
      </c>
      <c r="AD12" s="12">
        <v>10.0983</v>
      </c>
      <c r="AE12" s="12">
        <v>10.9521</v>
      </c>
      <c r="AF12" s="12">
        <v>11.23</v>
      </c>
      <c r="AG12" s="12">
        <v>14.832100000000001</v>
      </c>
      <c r="AH12" s="13">
        <f>AVERAGE(Tabell1[Homogenitet
(%)])-3*_xlfn.STDEV.S(Tabell1[Homogenitet
(%)])</f>
        <v>0.25464738521513341</v>
      </c>
      <c r="AI12" s="13">
        <f>AVERAGE(Tabell1[Homogenitet
(%)])+3*_xlfn.STDEV.S(Tabell1[Homogenitet
(%)])</f>
        <v>3.7293755484640694</v>
      </c>
      <c r="AJ12" s="13">
        <f>AVERAGE(Tabell1[Var.koeff
(%)])-3*_xlfn.STDEV.S(Tabell1[Var.koeff
(%)])</f>
        <v>1.3445693980413429</v>
      </c>
      <c r="AK12" s="13">
        <f>AVERAGE(Tabell1[Var.koeff
(%)])+3*_xlfn.STDEV.S(Tabell1[Var.koeff
(%)])</f>
        <v>3.0459012769222378</v>
      </c>
      <c r="AL12" s="13"/>
    </row>
    <row r="13" spans="1:38" x14ac:dyDescent="0.25">
      <c r="A13" s="1"/>
      <c r="B13" s="10" t="s">
        <v>103</v>
      </c>
      <c r="C13" s="38">
        <v>42690</v>
      </c>
      <c r="D13" s="11">
        <v>0.54268518518518516</v>
      </c>
      <c r="E13" s="11" t="s">
        <v>11</v>
      </c>
      <c r="F13" s="10">
        <v>29</v>
      </c>
      <c r="G13" s="10">
        <v>41.6</v>
      </c>
      <c r="H13" s="10">
        <v>0.3</v>
      </c>
      <c r="I13" s="10" t="s">
        <v>22</v>
      </c>
      <c r="J13" s="10">
        <v>49</v>
      </c>
      <c r="K13" s="10">
        <v>70</v>
      </c>
      <c r="L13" s="10" t="s">
        <v>22</v>
      </c>
      <c r="M13" s="10" t="s">
        <v>13</v>
      </c>
      <c r="N13" s="10" t="s">
        <v>14</v>
      </c>
      <c r="O13" s="14">
        <v>0.98399999999999999</v>
      </c>
      <c r="P13" s="14">
        <v>4.1669999999999998</v>
      </c>
      <c r="Q13" s="18">
        <f>AVERAGE(Tabell1[[#This Row],[µ1]:[µ5]])</f>
        <v>679.30563999999993</v>
      </c>
      <c r="R13" s="18">
        <f>Tabell1[[#This Row],[µ3]]/Tabell1[[#This Row],[stdev3]]</f>
        <v>67.273734413035911</v>
      </c>
      <c r="S13" s="12">
        <f>(MAX(Tabell1[[#This Row],[µ1]:[µ5]])-MIN(Tabell1[[#This Row],[µ1]:[µ5]]))/Tabell1[[#This Row],[Medelsignal]]*100</f>
        <v>1.7026062083041065</v>
      </c>
      <c r="T13" s="12">
        <f>Tabell1[[#This Row],[stdev6]]/Tabell1[[#This Row],[µ6]]*100</f>
        <v>2.1474294722532936</v>
      </c>
      <c r="U13" s="18">
        <f>Tabell1[[#This Row],[Medelsignal]]/Tabell1[[#This Row],[Rörladdning
(mAs)]]</f>
        <v>16.329462499999998</v>
      </c>
      <c r="V13" s="12">
        <v>674.57860000000005</v>
      </c>
      <c r="W13" s="12">
        <v>674.72329999999999</v>
      </c>
      <c r="X13" s="12">
        <v>677.07650000000001</v>
      </c>
      <c r="Y13" s="12">
        <v>686.14449999999999</v>
      </c>
      <c r="Z13" s="12">
        <v>684.00530000000003</v>
      </c>
      <c r="AA13" s="12">
        <v>674.42960000000005</v>
      </c>
      <c r="AB13" s="12">
        <v>10.3085</v>
      </c>
      <c r="AC13" s="12">
        <v>11.5303</v>
      </c>
      <c r="AD13" s="12">
        <v>10.064500000000001</v>
      </c>
      <c r="AE13" s="12">
        <v>10.953900000000001</v>
      </c>
      <c r="AF13" s="12">
        <v>11.2874</v>
      </c>
      <c r="AG13" s="12">
        <v>14.482900000000001</v>
      </c>
      <c r="AH13" s="13">
        <f>AVERAGE(Tabell1[Homogenitet
(%)])-3*_xlfn.STDEV.S(Tabell1[Homogenitet
(%)])</f>
        <v>0.25464738521513341</v>
      </c>
      <c r="AI13" s="13">
        <f>AVERAGE(Tabell1[Homogenitet
(%)])+3*_xlfn.STDEV.S(Tabell1[Homogenitet
(%)])</f>
        <v>3.7293755484640694</v>
      </c>
      <c r="AJ13" s="13">
        <f>AVERAGE(Tabell1[Var.koeff
(%)])-3*_xlfn.STDEV.S(Tabell1[Var.koeff
(%)])</f>
        <v>1.3445693980413429</v>
      </c>
      <c r="AK13" s="13">
        <f>AVERAGE(Tabell1[Var.koeff
(%)])+3*_xlfn.STDEV.S(Tabell1[Var.koeff
(%)])</f>
        <v>3.0459012769222378</v>
      </c>
      <c r="AL13" s="13"/>
    </row>
    <row r="14" spans="1:38" x14ac:dyDescent="0.25">
      <c r="A14" s="1"/>
      <c r="B14" s="10" t="s">
        <v>103</v>
      </c>
      <c r="C14" s="38">
        <v>42696</v>
      </c>
      <c r="D14" s="11">
        <v>0.55966435185185182</v>
      </c>
      <c r="E14" s="11" t="s">
        <v>11</v>
      </c>
      <c r="F14" s="10">
        <v>29</v>
      </c>
      <c r="G14" s="10">
        <v>41.1</v>
      </c>
      <c r="H14" s="10">
        <v>0.3</v>
      </c>
      <c r="I14" s="10" t="s">
        <v>22</v>
      </c>
      <c r="J14" s="10">
        <v>50</v>
      </c>
      <c r="K14" s="10">
        <v>70</v>
      </c>
      <c r="L14" s="10" t="s">
        <v>22</v>
      </c>
      <c r="M14" s="10" t="s">
        <v>13</v>
      </c>
      <c r="N14" s="10" t="s">
        <v>14</v>
      </c>
      <c r="O14" s="14">
        <v>0.98599999999999999</v>
      </c>
      <c r="P14" s="14">
        <v>4.1340000000000003</v>
      </c>
      <c r="Q14" s="18">
        <f>AVERAGE(Tabell1[[#This Row],[µ1]:[µ5]])</f>
        <v>670.03404000000012</v>
      </c>
      <c r="R14" s="18">
        <f>Tabell1[[#This Row],[µ3]]/Tabell1[[#This Row],[stdev3]]</f>
        <v>66.826332883625639</v>
      </c>
      <c r="S14" s="12">
        <f>(MAX(Tabell1[[#This Row],[µ1]:[µ5]])-MIN(Tabell1[[#This Row],[µ1]:[µ5]]))/Tabell1[[#This Row],[Medelsignal]]*100</f>
        <v>2.178695279421933</v>
      </c>
      <c r="T14" s="12">
        <f>Tabell1[[#This Row],[stdev6]]/Tabell1[[#This Row],[µ6]]*100</f>
        <v>2.2377111689903844</v>
      </c>
      <c r="U14" s="18">
        <f>Tabell1[[#This Row],[Medelsignal]]/Tabell1[[#This Row],[Rörladdning
(mAs)]]</f>
        <v>16.302531386861315</v>
      </c>
      <c r="V14" s="12">
        <v>665.8021</v>
      </c>
      <c r="W14" s="12">
        <v>663.43219999999997</v>
      </c>
      <c r="X14" s="12">
        <v>668.69770000000005</v>
      </c>
      <c r="Y14" s="12">
        <v>678.03020000000004</v>
      </c>
      <c r="Z14" s="12">
        <v>674.20799999999997</v>
      </c>
      <c r="AA14" s="12">
        <v>664.94730000000004</v>
      </c>
      <c r="AB14" s="12">
        <v>10.249499999999999</v>
      </c>
      <c r="AC14" s="12">
        <v>11.389099999999999</v>
      </c>
      <c r="AD14" s="12">
        <v>10.006500000000001</v>
      </c>
      <c r="AE14" s="12">
        <v>10.653700000000001</v>
      </c>
      <c r="AF14" s="12">
        <v>11.260400000000001</v>
      </c>
      <c r="AG14" s="12">
        <v>14.8796</v>
      </c>
      <c r="AH14" s="13">
        <f>AVERAGE(Tabell1[Homogenitet
(%)])-3*_xlfn.STDEV.S(Tabell1[Homogenitet
(%)])</f>
        <v>0.25464738521513341</v>
      </c>
      <c r="AI14" s="13">
        <f>AVERAGE(Tabell1[Homogenitet
(%)])+3*_xlfn.STDEV.S(Tabell1[Homogenitet
(%)])</f>
        <v>3.7293755484640694</v>
      </c>
      <c r="AJ14" s="13">
        <f>AVERAGE(Tabell1[Var.koeff
(%)])-3*_xlfn.STDEV.S(Tabell1[Var.koeff
(%)])</f>
        <v>1.3445693980413429</v>
      </c>
      <c r="AK14" s="13">
        <f>AVERAGE(Tabell1[Var.koeff
(%)])+3*_xlfn.STDEV.S(Tabell1[Var.koeff
(%)])</f>
        <v>3.0459012769222378</v>
      </c>
      <c r="AL14" s="13"/>
    </row>
    <row r="15" spans="1:38" x14ac:dyDescent="0.25">
      <c r="A15" s="1"/>
      <c r="B15" s="10" t="s">
        <v>103</v>
      </c>
      <c r="C15" s="38">
        <v>42697</v>
      </c>
      <c r="D15" s="11">
        <v>0.62512731481481476</v>
      </c>
      <c r="E15" s="11" t="s">
        <v>11</v>
      </c>
      <c r="F15" s="10">
        <v>29</v>
      </c>
      <c r="G15" s="10">
        <v>41.6</v>
      </c>
      <c r="H15" s="10">
        <v>0.3</v>
      </c>
      <c r="I15" s="10" t="s">
        <v>22</v>
      </c>
      <c r="J15" s="10">
        <v>50</v>
      </c>
      <c r="K15" s="10">
        <v>70</v>
      </c>
      <c r="L15" s="10" t="s">
        <v>22</v>
      </c>
      <c r="M15" s="10" t="s">
        <v>13</v>
      </c>
      <c r="N15" s="10" t="s">
        <v>14</v>
      </c>
      <c r="O15" s="14">
        <v>0.99199999999999999</v>
      </c>
      <c r="P15" s="14">
        <v>4.1829999999999998</v>
      </c>
      <c r="Q15" s="18">
        <f>AVERAGE(Tabell1[[#This Row],[µ1]:[µ5]])</f>
        <v>681.42441999999994</v>
      </c>
      <c r="R15" s="18">
        <f>Tabell1[[#This Row],[µ3]]/Tabell1[[#This Row],[stdev3]]</f>
        <v>67.337302570915824</v>
      </c>
      <c r="S15" s="12">
        <f>(MAX(Tabell1[[#This Row],[µ1]:[µ5]])-MIN(Tabell1[[#This Row],[µ1]:[µ5]]))/Tabell1[[#This Row],[Medelsignal]]*100</f>
        <v>1.7659478655020873</v>
      </c>
      <c r="T15" s="12">
        <f>Tabell1[[#This Row],[stdev6]]/Tabell1[[#This Row],[µ6]]*100</f>
        <v>2.172350123065844</v>
      </c>
      <c r="U15" s="18">
        <f>Tabell1[[#This Row],[Medelsignal]]/Tabell1[[#This Row],[Rörladdning
(mAs)]]</f>
        <v>16.380394711538461</v>
      </c>
      <c r="V15" s="12">
        <v>676.64059999999995</v>
      </c>
      <c r="W15" s="12">
        <v>676.5797</v>
      </c>
      <c r="X15" s="12">
        <v>679.15729999999996</v>
      </c>
      <c r="Y15" s="12">
        <v>688.61329999999998</v>
      </c>
      <c r="Z15" s="12">
        <v>686.13120000000004</v>
      </c>
      <c r="AA15" s="12">
        <v>676.54840000000002</v>
      </c>
      <c r="AB15" s="12">
        <v>10.261799999999999</v>
      </c>
      <c r="AC15" s="12">
        <v>11.6319</v>
      </c>
      <c r="AD15" s="12">
        <v>10.085900000000001</v>
      </c>
      <c r="AE15" s="12">
        <v>10.88</v>
      </c>
      <c r="AF15" s="12">
        <v>11.302199999999999</v>
      </c>
      <c r="AG15" s="12">
        <v>14.696999999999999</v>
      </c>
      <c r="AH15" s="13">
        <f>AVERAGE(Tabell1[Homogenitet
(%)])-3*_xlfn.STDEV.S(Tabell1[Homogenitet
(%)])</f>
        <v>0.25464738521513341</v>
      </c>
      <c r="AI15" s="13">
        <f>AVERAGE(Tabell1[Homogenitet
(%)])+3*_xlfn.STDEV.S(Tabell1[Homogenitet
(%)])</f>
        <v>3.7293755484640694</v>
      </c>
      <c r="AJ15" s="13">
        <f>AVERAGE(Tabell1[Var.koeff
(%)])-3*_xlfn.STDEV.S(Tabell1[Var.koeff
(%)])</f>
        <v>1.3445693980413429</v>
      </c>
      <c r="AK15" s="13">
        <f>AVERAGE(Tabell1[Var.koeff
(%)])+3*_xlfn.STDEV.S(Tabell1[Var.koeff
(%)])</f>
        <v>3.0459012769222378</v>
      </c>
      <c r="AL15" s="13"/>
    </row>
    <row r="16" spans="1:38" x14ac:dyDescent="0.25">
      <c r="A16" s="1"/>
      <c r="B16" s="10" t="s">
        <v>103</v>
      </c>
      <c r="C16" s="38">
        <v>42704</v>
      </c>
      <c r="D16" s="11">
        <v>0.50420138888888888</v>
      </c>
      <c r="E16" s="11" t="s">
        <v>11</v>
      </c>
      <c r="F16" s="10">
        <v>29</v>
      </c>
      <c r="G16" s="10">
        <v>41.1</v>
      </c>
      <c r="H16" s="10">
        <v>0.3</v>
      </c>
      <c r="I16" s="10" t="s">
        <v>22</v>
      </c>
      <c r="J16" s="10">
        <v>50</v>
      </c>
      <c r="K16" s="10">
        <v>70</v>
      </c>
      <c r="L16" s="10" t="s">
        <v>22</v>
      </c>
      <c r="M16" s="10" t="s">
        <v>13</v>
      </c>
      <c r="N16" s="10" t="s">
        <v>14</v>
      </c>
      <c r="O16" s="14">
        <v>0.98599999999999999</v>
      </c>
      <c r="P16" s="14">
        <v>4.1340000000000003</v>
      </c>
      <c r="Q16" s="18">
        <f>AVERAGE(Tabell1[[#This Row],[µ1]:[µ5]])</f>
        <v>668.16754000000003</v>
      </c>
      <c r="R16" s="18">
        <f>Tabell1[[#This Row],[µ3]]/Tabell1[[#This Row],[stdev3]]</f>
        <v>67.125871806725215</v>
      </c>
      <c r="S16" s="12">
        <f>(MAX(Tabell1[[#This Row],[µ1]:[µ5]])-MIN(Tabell1[[#This Row],[µ1]:[µ5]]))/Tabell1[[#This Row],[Medelsignal]]*100</f>
        <v>2.3835039936241111</v>
      </c>
      <c r="T16" s="12">
        <f>Tabell1[[#This Row],[stdev6]]/Tabell1[[#This Row],[µ6]]*100</f>
        <v>2.2484571386160881</v>
      </c>
      <c r="U16" s="18">
        <f>Tabell1[[#This Row],[Medelsignal]]/Tabell1[[#This Row],[Rörladdning
(mAs)]]</f>
        <v>16.257117761557179</v>
      </c>
      <c r="V16" s="12">
        <v>663.92629999999997</v>
      </c>
      <c r="W16" s="12">
        <v>660.58900000000006</v>
      </c>
      <c r="X16" s="12">
        <v>667.94269999999995</v>
      </c>
      <c r="Y16" s="12">
        <v>676.51480000000004</v>
      </c>
      <c r="Z16" s="12">
        <v>671.86490000000003</v>
      </c>
      <c r="AA16" s="12">
        <v>662.90790000000004</v>
      </c>
      <c r="AB16" s="12">
        <v>10.171799999999999</v>
      </c>
      <c r="AC16" s="12">
        <v>11.483599999999999</v>
      </c>
      <c r="AD16" s="12">
        <v>9.9505999999999997</v>
      </c>
      <c r="AE16" s="12">
        <v>10.601699999999999</v>
      </c>
      <c r="AF16" s="12">
        <v>11.235799999999999</v>
      </c>
      <c r="AG16" s="12">
        <v>14.905200000000001</v>
      </c>
      <c r="AH16" s="13">
        <f>AVERAGE(Tabell1[Homogenitet
(%)])-3*_xlfn.STDEV.S(Tabell1[Homogenitet
(%)])</f>
        <v>0.25464738521513341</v>
      </c>
      <c r="AI16" s="13">
        <f>AVERAGE(Tabell1[Homogenitet
(%)])+3*_xlfn.STDEV.S(Tabell1[Homogenitet
(%)])</f>
        <v>3.7293755484640694</v>
      </c>
      <c r="AJ16" s="13">
        <f>AVERAGE(Tabell1[Var.koeff
(%)])-3*_xlfn.STDEV.S(Tabell1[Var.koeff
(%)])</f>
        <v>1.3445693980413429</v>
      </c>
      <c r="AK16" s="13">
        <f>AVERAGE(Tabell1[Var.koeff
(%)])+3*_xlfn.STDEV.S(Tabell1[Var.koeff
(%)])</f>
        <v>3.0459012769222378</v>
      </c>
      <c r="AL16" s="13"/>
    </row>
    <row r="17" spans="1:38" x14ac:dyDescent="0.25">
      <c r="A17" s="1"/>
      <c r="B17" s="10" t="s">
        <v>103</v>
      </c>
      <c r="C17" s="38">
        <v>42705</v>
      </c>
      <c r="D17" s="11">
        <v>0.7243518518518518</v>
      </c>
      <c r="E17" s="11" t="s">
        <v>11</v>
      </c>
      <c r="F17" s="10">
        <v>29</v>
      </c>
      <c r="G17" s="10">
        <v>41.1</v>
      </c>
      <c r="H17" s="10">
        <v>0.3</v>
      </c>
      <c r="I17" s="10" t="s">
        <v>22</v>
      </c>
      <c r="J17" s="10">
        <v>49</v>
      </c>
      <c r="K17" s="10">
        <v>70</v>
      </c>
      <c r="L17" s="10" t="s">
        <v>22</v>
      </c>
      <c r="M17" s="10" t="s">
        <v>13</v>
      </c>
      <c r="N17" s="10" t="s">
        <v>14</v>
      </c>
      <c r="O17" s="14">
        <v>0.97799999999999998</v>
      </c>
      <c r="P17" s="14">
        <v>4.1219999999999999</v>
      </c>
      <c r="Q17" s="18">
        <f>AVERAGE(Tabell1[[#This Row],[µ1]:[µ5]])</f>
        <v>676.13499999999999</v>
      </c>
      <c r="R17" s="18">
        <f>Tabell1[[#This Row],[µ3]]/Tabell1[[#This Row],[stdev3]]</f>
        <v>66.715084187117782</v>
      </c>
      <c r="S17" s="12">
        <f>(MAX(Tabell1[[#This Row],[µ1]:[µ5]])-MIN(Tabell1[[#This Row],[µ1]:[µ5]]))/Tabell1[[#This Row],[Medelsignal]]*100</f>
        <v>1.9279285941416997</v>
      </c>
      <c r="T17" s="12">
        <f>Tabell1[[#This Row],[stdev6]]/Tabell1[[#This Row],[µ6]]*100</f>
        <v>2.1589727443182283</v>
      </c>
      <c r="U17" s="18">
        <f>Tabell1[[#This Row],[Medelsignal]]/Tabell1[[#This Row],[Rörladdning
(mAs)]]</f>
        <v>16.45097323600973</v>
      </c>
      <c r="V17" s="12">
        <v>670.21870000000001</v>
      </c>
      <c r="W17" s="12">
        <v>672.62090000000001</v>
      </c>
      <c r="X17" s="12">
        <v>672.0077</v>
      </c>
      <c r="Y17" s="12">
        <v>682.57360000000006</v>
      </c>
      <c r="Z17" s="12">
        <v>683.25409999999999</v>
      </c>
      <c r="AA17" s="12">
        <v>671.73149999999998</v>
      </c>
      <c r="AB17" s="12">
        <v>10.3428</v>
      </c>
      <c r="AC17" s="12">
        <v>11.578099999999999</v>
      </c>
      <c r="AD17" s="12">
        <v>10.072800000000001</v>
      </c>
      <c r="AE17" s="12">
        <v>11.1427</v>
      </c>
      <c r="AF17" s="12">
        <v>11.3018</v>
      </c>
      <c r="AG17" s="12">
        <v>14.5025</v>
      </c>
      <c r="AH17" s="13">
        <f>AVERAGE(Tabell1[Homogenitet
(%)])-3*_xlfn.STDEV.S(Tabell1[Homogenitet
(%)])</f>
        <v>0.25464738521513341</v>
      </c>
      <c r="AI17" s="13">
        <f>AVERAGE(Tabell1[Homogenitet
(%)])+3*_xlfn.STDEV.S(Tabell1[Homogenitet
(%)])</f>
        <v>3.7293755484640694</v>
      </c>
      <c r="AJ17" s="13">
        <f>AVERAGE(Tabell1[Var.koeff
(%)])-3*_xlfn.STDEV.S(Tabell1[Var.koeff
(%)])</f>
        <v>1.3445693980413429</v>
      </c>
      <c r="AK17" s="13">
        <f>AVERAGE(Tabell1[Var.koeff
(%)])+3*_xlfn.STDEV.S(Tabell1[Var.koeff
(%)])</f>
        <v>3.0459012769222378</v>
      </c>
      <c r="AL17" s="13"/>
    </row>
    <row r="18" spans="1:38" x14ac:dyDescent="0.25">
      <c r="A18" s="1"/>
      <c r="B18" s="10" t="s">
        <v>103</v>
      </c>
      <c r="C18" s="38">
        <v>42710</v>
      </c>
      <c r="D18" s="11">
        <v>0.40199074074074076</v>
      </c>
      <c r="E18" s="11" t="s">
        <v>11</v>
      </c>
      <c r="F18" s="10">
        <v>29</v>
      </c>
      <c r="G18" s="10">
        <v>41.6</v>
      </c>
      <c r="H18" s="10">
        <v>0.3</v>
      </c>
      <c r="I18" s="10" t="s">
        <v>22</v>
      </c>
      <c r="J18" s="10">
        <v>50</v>
      </c>
      <c r="K18" s="10">
        <v>70</v>
      </c>
      <c r="L18" s="10" t="s">
        <v>22</v>
      </c>
      <c r="M18" s="10" t="s">
        <v>13</v>
      </c>
      <c r="N18" s="10" t="s">
        <v>14</v>
      </c>
      <c r="O18" s="14">
        <v>0.99199999999999999</v>
      </c>
      <c r="P18" s="14">
        <v>4.1829999999999998</v>
      </c>
      <c r="Q18" s="18">
        <f>AVERAGE(Tabell1[[#This Row],[µ1]:[µ5]])</f>
        <v>669.84608000000003</v>
      </c>
      <c r="R18" s="18">
        <f>Tabell1[[#This Row],[µ3]]/Tabell1[[#This Row],[stdev3]]</f>
        <v>67.315330224161286</v>
      </c>
      <c r="S18" s="12">
        <f>(MAX(Tabell1[[#This Row],[µ1]:[µ5]])-MIN(Tabell1[[#This Row],[µ1]:[µ5]]))/Tabell1[[#This Row],[Medelsignal]]*100</f>
        <v>2.3526598827002281</v>
      </c>
      <c r="T18" s="12">
        <f>Tabell1[[#This Row],[stdev6]]/Tabell1[[#This Row],[µ6]]*100</f>
        <v>2.2696093805023136</v>
      </c>
      <c r="U18" s="18">
        <f>Tabell1[[#This Row],[Medelsignal]]/Tabell1[[#This Row],[Rörladdning
(mAs)]]</f>
        <v>16.102069230769231</v>
      </c>
      <c r="V18" s="12">
        <v>665.15290000000005</v>
      </c>
      <c r="W18" s="12">
        <v>662.40329999999994</v>
      </c>
      <c r="X18" s="12">
        <v>671.16750000000002</v>
      </c>
      <c r="Y18" s="12">
        <v>678.16250000000002</v>
      </c>
      <c r="Z18" s="12">
        <v>672.3442</v>
      </c>
      <c r="AA18" s="12">
        <v>664.4932</v>
      </c>
      <c r="AB18" s="12">
        <v>10.3063</v>
      </c>
      <c r="AC18" s="12">
        <v>11.4245</v>
      </c>
      <c r="AD18" s="12">
        <v>9.9704999999999995</v>
      </c>
      <c r="AE18" s="12">
        <v>10.378</v>
      </c>
      <c r="AF18" s="12">
        <v>11.2134</v>
      </c>
      <c r="AG18" s="12">
        <v>15.0814</v>
      </c>
      <c r="AH18" s="13">
        <f>AVERAGE(Tabell1[Homogenitet
(%)])-3*_xlfn.STDEV.S(Tabell1[Homogenitet
(%)])</f>
        <v>0.25464738521513341</v>
      </c>
      <c r="AI18" s="13">
        <f>AVERAGE(Tabell1[Homogenitet
(%)])+3*_xlfn.STDEV.S(Tabell1[Homogenitet
(%)])</f>
        <v>3.7293755484640694</v>
      </c>
      <c r="AJ18" s="13">
        <f>AVERAGE(Tabell1[Var.koeff
(%)])-3*_xlfn.STDEV.S(Tabell1[Var.koeff
(%)])</f>
        <v>1.3445693980413429</v>
      </c>
      <c r="AK18" s="13">
        <f>AVERAGE(Tabell1[Var.koeff
(%)])+3*_xlfn.STDEV.S(Tabell1[Var.koeff
(%)])</f>
        <v>3.0459012769222378</v>
      </c>
      <c r="AL18" s="13"/>
    </row>
    <row r="19" spans="1:38" x14ac:dyDescent="0.25">
      <c r="A19" s="1"/>
      <c r="B19" s="10" t="s">
        <v>103</v>
      </c>
      <c r="C19" s="38">
        <v>42711</v>
      </c>
      <c r="D19" s="11">
        <v>0.4761111111111111</v>
      </c>
      <c r="E19" s="11" t="s">
        <v>11</v>
      </c>
      <c r="F19" s="10">
        <v>29</v>
      </c>
      <c r="G19" s="10">
        <v>41.6</v>
      </c>
      <c r="H19" s="10">
        <v>0.3</v>
      </c>
      <c r="I19" s="10" t="s">
        <v>22</v>
      </c>
      <c r="J19" s="10">
        <v>50</v>
      </c>
      <c r="K19" s="10">
        <v>70</v>
      </c>
      <c r="L19" s="10" t="s">
        <v>22</v>
      </c>
      <c r="M19" s="10" t="s">
        <v>13</v>
      </c>
      <c r="N19" s="10" t="s">
        <v>14</v>
      </c>
      <c r="O19" s="14">
        <v>0.99199999999999999</v>
      </c>
      <c r="P19" s="14">
        <v>4.1829999999999998</v>
      </c>
      <c r="Q19" s="18">
        <f>AVERAGE(Tabell1[[#This Row],[µ1]:[µ5]])</f>
        <v>674.92674</v>
      </c>
      <c r="R19" s="18">
        <f>Tabell1[[#This Row],[µ3]]/Tabell1[[#This Row],[stdev3]]</f>
        <v>67.825056058884456</v>
      </c>
      <c r="S19" s="12">
        <f>(MAX(Tabell1[[#This Row],[µ1]:[µ5]])-MIN(Tabell1[[#This Row],[µ1]:[µ5]]))/Tabell1[[#This Row],[Medelsignal]]*100</f>
        <v>2.2645717074418985</v>
      </c>
      <c r="T19" s="12">
        <f>Tabell1[[#This Row],[stdev6]]/Tabell1[[#This Row],[µ6]]*100</f>
        <v>2.2207420062739458</v>
      </c>
      <c r="U19" s="18">
        <f>Tabell1[[#This Row],[Medelsignal]]/Tabell1[[#This Row],[Rörladdning
(mAs)]]</f>
        <v>16.22420048076923</v>
      </c>
      <c r="V19" s="12">
        <v>670.11400000000003</v>
      </c>
      <c r="W19" s="12">
        <v>667.91930000000002</v>
      </c>
      <c r="X19" s="12">
        <v>674.51340000000005</v>
      </c>
      <c r="Y19" s="12">
        <v>683.20349999999996</v>
      </c>
      <c r="Z19" s="12">
        <v>678.88350000000003</v>
      </c>
      <c r="AA19" s="12">
        <v>669.72209999999995</v>
      </c>
      <c r="AB19" s="12">
        <v>10.2188</v>
      </c>
      <c r="AC19" s="12">
        <v>11.465</v>
      </c>
      <c r="AD19" s="12">
        <v>9.9449000000000005</v>
      </c>
      <c r="AE19" s="12">
        <v>10.624599999999999</v>
      </c>
      <c r="AF19" s="12">
        <v>11.146100000000001</v>
      </c>
      <c r="AG19" s="12">
        <v>14.8728</v>
      </c>
      <c r="AH19" s="13">
        <f>AVERAGE(Tabell1[Homogenitet
(%)])-3*_xlfn.STDEV.S(Tabell1[Homogenitet
(%)])</f>
        <v>0.25464738521513341</v>
      </c>
      <c r="AI19" s="13">
        <f>AVERAGE(Tabell1[Homogenitet
(%)])+3*_xlfn.STDEV.S(Tabell1[Homogenitet
(%)])</f>
        <v>3.7293755484640694</v>
      </c>
      <c r="AJ19" s="13">
        <f>AVERAGE(Tabell1[Var.koeff
(%)])-3*_xlfn.STDEV.S(Tabell1[Var.koeff
(%)])</f>
        <v>1.3445693980413429</v>
      </c>
      <c r="AK19" s="13">
        <f>AVERAGE(Tabell1[Var.koeff
(%)])+3*_xlfn.STDEV.S(Tabell1[Var.koeff
(%)])</f>
        <v>3.0459012769222378</v>
      </c>
      <c r="AL19" s="13"/>
    </row>
    <row r="20" spans="1:38" x14ac:dyDescent="0.25">
      <c r="A20" s="1"/>
      <c r="B20" s="10" t="s">
        <v>103</v>
      </c>
      <c r="C20" s="38">
        <v>42712</v>
      </c>
      <c r="D20" s="11">
        <v>0.5028125</v>
      </c>
      <c r="E20" s="11" t="s">
        <v>11</v>
      </c>
      <c r="F20" s="10">
        <v>29</v>
      </c>
      <c r="G20" s="10">
        <v>41.6</v>
      </c>
      <c r="H20" s="10">
        <v>0.3</v>
      </c>
      <c r="I20" s="10" t="s">
        <v>22</v>
      </c>
      <c r="J20" s="10">
        <v>49</v>
      </c>
      <c r="K20" s="10">
        <v>70</v>
      </c>
      <c r="L20" s="10" t="s">
        <v>22</v>
      </c>
      <c r="M20" s="10" t="s">
        <v>13</v>
      </c>
      <c r="N20" s="10" t="s">
        <v>14</v>
      </c>
      <c r="O20" s="14">
        <v>0.98399999999999999</v>
      </c>
      <c r="P20" s="14">
        <v>4.17</v>
      </c>
      <c r="Q20" s="18">
        <f>AVERAGE(Tabell1[[#This Row],[µ1]:[µ5]])</f>
        <v>679.97142000000008</v>
      </c>
      <c r="R20" s="18">
        <f>Tabell1[[#This Row],[µ3]]/Tabell1[[#This Row],[stdev3]]</f>
        <v>67.457209112533207</v>
      </c>
      <c r="S20" s="12">
        <f>(MAX(Tabell1[[#This Row],[µ1]:[µ5]])-MIN(Tabell1[[#This Row],[µ1]:[µ5]]))/Tabell1[[#This Row],[Medelsignal]]*100</f>
        <v>1.7067629107117479</v>
      </c>
      <c r="T20" s="12">
        <f>Tabell1[[#This Row],[stdev6]]/Tabell1[[#This Row],[µ6]]*100</f>
        <v>2.1497724204241635</v>
      </c>
      <c r="U20" s="18">
        <f>Tabell1[[#This Row],[Medelsignal]]/Tabell1[[#This Row],[Rörladdning
(mAs)]]</f>
        <v>16.345466826923079</v>
      </c>
      <c r="V20" s="12">
        <v>675.31050000000005</v>
      </c>
      <c r="W20" s="12">
        <v>675.10550000000001</v>
      </c>
      <c r="X20" s="12">
        <v>677.78980000000001</v>
      </c>
      <c r="Y20" s="12">
        <v>686.71100000000001</v>
      </c>
      <c r="Z20" s="12">
        <v>684.94029999999998</v>
      </c>
      <c r="AA20" s="12">
        <v>675.19240000000002</v>
      </c>
      <c r="AB20" s="12">
        <v>10.254099999999999</v>
      </c>
      <c r="AC20" s="12">
        <v>11.508800000000001</v>
      </c>
      <c r="AD20" s="12">
        <v>10.047700000000001</v>
      </c>
      <c r="AE20" s="12">
        <v>10.8508</v>
      </c>
      <c r="AF20" s="12">
        <v>11.2685</v>
      </c>
      <c r="AG20" s="12">
        <v>14.5151</v>
      </c>
      <c r="AH20" s="13">
        <f>AVERAGE(Tabell1[Homogenitet
(%)])-3*_xlfn.STDEV.S(Tabell1[Homogenitet
(%)])</f>
        <v>0.25464738521513341</v>
      </c>
      <c r="AI20" s="13">
        <f>AVERAGE(Tabell1[Homogenitet
(%)])+3*_xlfn.STDEV.S(Tabell1[Homogenitet
(%)])</f>
        <v>3.7293755484640694</v>
      </c>
      <c r="AJ20" s="13">
        <f>AVERAGE(Tabell1[Var.koeff
(%)])-3*_xlfn.STDEV.S(Tabell1[Var.koeff
(%)])</f>
        <v>1.3445693980413429</v>
      </c>
      <c r="AK20" s="13">
        <f>AVERAGE(Tabell1[Var.koeff
(%)])+3*_xlfn.STDEV.S(Tabell1[Var.koeff
(%)])</f>
        <v>3.0459012769222378</v>
      </c>
      <c r="AL20" s="13"/>
    </row>
    <row r="21" spans="1:38" x14ac:dyDescent="0.25">
      <c r="A21" s="1"/>
      <c r="B21" s="10" t="s">
        <v>103</v>
      </c>
      <c r="C21" s="38">
        <v>42717</v>
      </c>
      <c r="D21" s="11">
        <v>0.71956018518518527</v>
      </c>
      <c r="E21" s="11" t="s">
        <v>104</v>
      </c>
      <c r="F21" s="10">
        <v>29</v>
      </c>
      <c r="G21" s="10">
        <v>41.6</v>
      </c>
      <c r="H21" s="10">
        <v>0.3</v>
      </c>
      <c r="I21" s="10" t="s">
        <v>22</v>
      </c>
      <c r="J21" s="10">
        <v>49</v>
      </c>
      <c r="K21" s="10">
        <v>70</v>
      </c>
      <c r="L21" s="10" t="s">
        <v>22</v>
      </c>
      <c r="M21" s="10" t="s">
        <v>13</v>
      </c>
      <c r="N21" s="10" t="s">
        <v>14</v>
      </c>
      <c r="O21" s="14">
        <v>0.98399999999999999</v>
      </c>
      <c r="P21" s="14">
        <v>4.1669999999999998</v>
      </c>
      <c r="Q21" s="18">
        <f>AVERAGE(Tabell1[[#This Row],[µ1]:[µ5]])</f>
        <v>2655.2652800000001</v>
      </c>
      <c r="R21" s="18">
        <f>Tabell1[[#This Row],[µ3]]/Tabell1[[#This Row],[stdev3]]</f>
        <v>94.894286183576256</v>
      </c>
      <c r="S21" s="12">
        <f>(MAX(Tabell1[[#This Row],[µ1]:[µ5]])-MIN(Tabell1[[#This Row],[µ1]:[µ5]]))/Tabell1[[#This Row],[Medelsignal]]*100</f>
        <v>0.53932087719687516</v>
      </c>
      <c r="T21" s="12">
        <f>Tabell1[[#This Row],[stdev6]]/Tabell1[[#This Row],[µ6]]*100</f>
        <v>1.2206338057622732</v>
      </c>
      <c r="U21" s="18">
        <f>Tabell1[[#This Row],[Medelsignal]]/Tabell1[[#This Row],[Rörladdning
(mAs)]]</f>
        <v>63.828492307692308</v>
      </c>
      <c r="V21" s="12">
        <v>2661.6529</v>
      </c>
      <c r="W21" s="12">
        <v>2660.8658999999998</v>
      </c>
      <c r="X21" s="12">
        <v>2657.5904</v>
      </c>
      <c r="Y21" s="12">
        <v>2647.3325</v>
      </c>
      <c r="Z21" s="12">
        <v>2648.8847000000001</v>
      </c>
      <c r="AA21" s="12">
        <v>2661.1338999999998</v>
      </c>
      <c r="AB21" s="12">
        <v>28.239899999999999</v>
      </c>
      <c r="AC21" s="12">
        <v>30.946999999999999</v>
      </c>
      <c r="AD21" s="12">
        <v>28.005800000000001</v>
      </c>
      <c r="AE21" s="12">
        <v>28.004999999999999</v>
      </c>
      <c r="AF21" s="12">
        <v>30.147500000000001</v>
      </c>
      <c r="AG21" s="12">
        <v>32.482700000000001</v>
      </c>
      <c r="AH21" s="13">
        <f>AVERAGE(Tabell1[Homogenitet
(%)])-3*_xlfn.STDEV.S(Tabell1[Homogenitet
(%)])</f>
        <v>0.25464738521513341</v>
      </c>
      <c r="AI21" s="13">
        <f>AVERAGE(Tabell1[Homogenitet
(%)])+3*_xlfn.STDEV.S(Tabell1[Homogenitet
(%)])</f>
        <v>3.7293755484640694</v>
      </c>
      <c r="AJ21" s="13">
        <f>AVERAGE(Tabell1[Var.koeff
(%)])-3*_xlfn.STDEV.S(Tabell1[Var.koeff
(%)])</f>
        <v>1.3445693980413429</v>
      </c>
      <c r="AK21" s="13">
        <f>AVERAGE(Tabell1[Var.koeff
(%)])+3*_xlfn.STDEV.S(Tabell1[Var.koeff
(%)])</f>
        <v>3.0459012769222378</v>
      </c>
      <c r="AL21" s="13"/>
    </row>
    <row r="22" spans="1:38" x14ac:dyDescent="0.25">
      <c r="A22" s="1"/>
      <c r="B22" s="10" t="s">
        <v>103</v>
      </c>
      <c r="C22" s="38">
        <v>42717</v>
      </c>
      <c r="D22" s="11">
        <v>0.71956018518518527</v>
      </c>
      <c r="E22" s="11" t="s">
        <v>11</v>
      </c>
      <c r="F22" s="10">
        <v>29</v>
      </c>
      <c r="G22" s="10">
        <v>41.6</v>
      </c>
      <c r="H22" s="10">
        <v>0.3</v>
      </c>
      <c r="I22" s="10" t="s">
        <v>22</v>
      </c>
      <c r="J22" s="10">
        <v>49</v>
      </c>
      <c r="K22" s="10">
        <v>70</v>
      </c>
      <c r="L22" s="10" t="s">
        <v>22</v>
      </c>
      <c r="M22" s="10" t="s">
        <v>13</v>
      </c>
      <c r="N22" s="10" t="s">
        <v>14</v>
      </c>
      <c r="O22" s="14">
        <v>0.98399999999999999</v>
      </c>
      <c r="P22" s="14">
        <v>4.1669999999999998</v>
      </c>
      <c r="Q22" s="18">
        <f>AVERAGE(Tabell1[[#This Row],[µ1]:[µ5]])</f>
        <v>678.35784000000001</v>
      </c>
      <c r="R22" s="18">
        <f>Tabell1[[#This Row],[µ3]]/Tabell1[[#This Row],[stdev3]]</f>
        <v>67.062079489491566</v>
      </c>
      <c r="S22" s="12">
        <f>(MAX(Tabell1[[#This Row],[µ1]:[µ5]])-MIN(Tabell1[[#This Row],[µ1]:[µ5]]))/Tabell1[[#This Row],[Medelsignal]]*100</f>
        <v>1.691069126583691</v>
      </c>
      <c r="T22" s="12">
        <f>Tabell1[[#This Row],[stdev6]]/Tabell1[[#This Row],[µ6]]*100</f>
        <v>2.1584170292160412</v>
      </c>
      <c r="U22" s="18">
        <f>Tabell1[[#This Row],[Medelsignal]]/Tabell1[[#This Row],[Rörladdning
(mAs)]]</f>
        <v>16.306678846153847</v>
      </c>
      <c r="V22" s="12">
        <v>673.33860000000004</v>
      </c>
      <c r="W22" s="12">
        <v>673.63559999999995</v>
      </c>
      <c r="X22" s="12">
        <v>676.78380000000004</v>
      </c>
      <c r="Y22" s="12">
        <v>684.81010000000003</v>
      </c>
      <c r="Z22" s="12">
        <v>683.22109999999998</v>
      </c>
      <c r="AA22" s="12">
        <v>673.60940000000005</v>
      </c>
      <c r="AB22" s="12">
        <v>10.217000000000001</v>
      </c>
      <c r="AC22" s="12">
        <v>11.495699999999999</v>
      </c>
      <c r="AD22" s="12">
        <v>10.091900000000001</v>
      </c>
      <c r="AE22" s="12">
        <v>10.7226</v>
      </c>
      <c r="AF22" s="12">
        <v>11.292400000000001</v>
      </c>
      <c r="AG22" s="12">
        <v>14.539300000000001</v>
      </c>
      <c r="AH22" s="13">
        <f>AVERAGE(Tabell1[Homogenitet
(%)])-3*_xlfn.STDEV.S(Tabell1[Homogenitet
(%)])</f>
        <v>0.25464738521513341</v>
      </c>
      <c r="AI22" s="13">
        <f>AVERAGE(Tabell1[Homogenitet
(%)])+3*_xlfn.STDEV.S(Tabell1[Homogenitet
(%)])</f>
        <v>3.7293755484640694</v>
      </c>
      <c r="AJ22" s="13">
        <f>AVERAGE(Tabell1[Var.koeff
(%)])-3*_xlfn.STDEV.S(Tabell1[Var.koeff
(%)])</f>
        <v>1.3445693980413429</v>
      </c>
      <c r="AK22" s="13">
        <f>AVERAGE(Tabell1[Var.koeff
(%)])+3*_xlfn.STDEV.S(Tabell1[Var.koeff
(%)])</f>
        <v>3.0459012769222378</v>
      </c>
      <c r="AL22" s="13"/>
    </row>
    <row r="23" spans="1:38" x14ac:dyDescent="0.25">
      <c r="A23" s="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</row>
    <row r="24" spans="1:38" x14ac:dyDescent="0.25">
      <c r="A24" s="1"/>
    </row>
    <row r="25" spans="1:38" x14ac:dyDescent="0.25">
      <c r="A25" s="1"/>
    </row>
    <row r="26" spans="1:38" x14ac:dyDescent="0.25">
      <c r="A26" s="1"/>
    </row>
    <row r="27" spans="1:38" x14ac:dyDescent="0.25">
      <c r="A27" s="1"/>
    </row>
    <row r="28" spans="1:38" x14ac:dyDescent="0.25">
      <c r="A28" s="1"/>
    </row>
    <row r="29" spans="1:38" x14ac:dyDescent="0.25">
      <c r="A29" s="1"/>
    </row>
    <row r="30" spans="1:38" x14ac:dyDescent="0.25">
      <c r="A30" s="1"/>
    </row>
    <row r="31" spans="1:38" x14ac:dyDescent="0.25">
      <c r="A31" s="1"/>
    </row>
    <row r="32" spans="1:38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</sheetData>
  <mergeCells count="3">
    <mergeCell ref="B5:P5"/>
    <mergeCell ref="Q5:U5"/>
    <mergeCell ref="V5:AG5"/>
  </mergeCells>
  <conditionalFormatting sqref="E7:E22">
    <cfRule type="cellIs" dxfId="2" priority="4" operator="notEqual">
      <formula>"FOR PROCESSING"</formula>
    </cfRule>
  </conditionalFormatting>
  <conditionalFormatting sqref="N7:N22">
    <cfRule type="cellIs" dxfId="1" priority="1" operator="notEqual">
      <formula>"AOP dose"</formula>
    </cfRule>
  </conditionalFormatting>
  <conditionalFormatting sqref="M7:M22">
    <cfRule type="cellIs" dxfId="0" priority="2" operator="notEqual">
      <formula>"AUTOMATIC"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ShowHideRoiData">
          <controlPr defaultSize="0" autoLine="0" r:id="rId5">
            <anchor moveWithCells="1">
              <from>
                <xdr:col>19</xdr:col>
                <xdr:colOff>171450</xdr:colOff>
                <xdr:row>1</xdr:row>
                <xdr:rowOff>9525</xdr:rowOff>
              </from>
              <to>
                <xdr:col>21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1030" r:id="rId4" name="ShowHideRoiData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B2:D17"/>
  <sheetViews>
    <sheetView showGridLines="0" workbookViewId="0">
      <selection activeCell="F21" sqref="F21"/>
    </sheetView>
  </sheetViews>
  <sheetFormatPr defaultRowHeight="15" x14ac:dyDescent="0.25"/>
  <cols>
    <col min="1" max="1" width="5.28515625" customWidth="1"/>
    <col min="2" max="2" width="19.5703125" customWidth="1"/>
    <col min="3" max="4" width="37.5703125" customWidth="1"/>
    <col min="5" max="5" width="16.42578125" customWidth="1"/>
  </cols>
  <sheetData>
    <row r="2" spans="2:4" x14ac:dyDescent="0.25">
      <c r="B2" t="s">
        <v>61</v>
      </c>
      <c r="C2" t="s">
        <v>62</v>
      </c>
      <c r="D2" t="s">
        <v>63</v>
      </c>
    </row>
    <row r="3" spans="2:4" x14ac:dyDescent="0.25">
      <c r="B3" t="s">
        <v>65</v>
      </c>
      <c r="C3" t="s">
        <v>64</v>
      </c>
      <c r="D3" t="s">
        <v>64</v>
      </c>
    </row>
    <row r="4" spans="2:4" x14ac:dyDescent="0.25">
      <c r="B4" t="s">
        <v>66</v>
      </c>
      <c r="C4" t="s">
        <v>67</v>
      </c>
      <c r="D4" t="s">
        <v>0</v>
      </c>
    </row>
    <row r="5" spans="2:4" x14ac:dyDescent="0.25">
      <c r="B5" t="s">
        <v>68</v>
      </c>
      <c r="C5" t="s">
        <v>30</v>
      </c>
      <c r="D5" t="s">
        <v>43</v>
      </c>
    </row>
    <row r="6" spans="2:4" x14ac:dyDescent="0.25">
      <c r="B6" t="s">
        <v>69</v>
      </c>
      <c r="C6" t="s">
        <v>70</v>
      </c>
      <c r="D6" t="s">
        <v>44</v>
      </c>
    </row>
    <row r="7" spans="2:4" x14ac:dyDescent="0.25">
      <c r="B7" t="s">
        <v>71</v>
      </c>
      <c r="C7" t="s">
        <v>72</v>
      </c>
      <c r="D7" t="s">
        <v>73</v>
      </c>
    </row>
    <row r="8" spans="2:4" x14ac:dyDescent="0.25">
      <c r="B8" t="s">
        <v>74</v>
      </c>
      <c r="C8" t="s">
        <v>75</v>
      </c>
      <c r="D8" t="s">
        <v>46</v>
      </c>
    </row>
    <row r="9" spans="2:4" x14ac:dyDescent="0.25">
      <c r="B9" t="s">
        <v>76</v>
      </c>
      <c r="C9" t="s">
        <v>77</v>
      </c>
      <c r="D9" t="s">
        <v>78</v>
      </c>
    </row>
    <row r="10" spans="2:4" x14ac:dyDescent="0.25">
      <c r="B10" t="s">
        <v>79</v>
      </c>
      <c r="C10" t="s">
        <v>80</v>
      </c>
      <c r="D10" t="s">
        <v>51</v>
      </c>
    </row>
    <row r="11" spans="2:4" x14ac:dyDescent="0.25">
      <c r="B11" t="s">
        <v>81</v>
      </c>
      <c r="C11" t="s">
        <v>82</v>
      </c>
      <c r="D11" t="s">
        <v>83</v>
      </c>
    </row>
    <row r="12" spans="2:4" x14ac:dyDescent="0.25">
      <c r="B12" t="s">
        <v>84</v>
      </c>
      <c r="C12" t="s">
        <v>85</v>
      </c>
      <c r="D12" t="s">
        <v>86</v>
      </c>
    </row>
    <row r="13" spans="2:4" x14ac:dyDescent="0.25">
      <c r="B13" t="s">
        <v>87</v>
      </c>
      <c r="C13" t="s">
        <v>88</v>
      </c>
      <c r="D13" t="s">
        <v>54</v>
      </c>
    </row>
    <row r="14" spans="2:4" x14ac:dyDescent="0.25">
      <c r="B14" t="s">
        <v>89</v>
      </c>
      <c r="C14" t="s">
        <v>90</v>
      </c>
      <c r="D14" t="s">
        <v>55</v>
      </c>
    </row>
    <row r="15" spans="2:4" x14ac:dyDescent="0.25">
      <c r="B15" t="s">
        <v>91</v>
      </c>
      <c r="C15" t="s">
        <v>92</v>
      </c>
      <c r="D15" t="s">
        <v>56</v>
      </c>
    </row>
    <row r="16" spans="2:4" x14ac:dyDescent="0.25">
      <c r="B16" t="s">
        <v>93</v>
      </c>
      <c r="C16" t="s">
        <v>94</v>
      </c>
      <c r="D16" t="s">
        <v>95</v>
      </c>
    </row>
    <row r="17" spans="2:4" x14ac:dyDescent="0.25">
      <c r="B17" t="s">
        <v>96</v>
      </c>
      <c r="C17" t="s">
        <v>97</v>
      </c>
      <c r="D17" t="s">
        <v>98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Kalkylblad</vt:lpstr>
      </vt:variant>
      <vt:variant>
        <vt:i4>3</vt:i4>
      </vt:variant>
      <vt:variant>
        <vt:lpstr>Namngivna områden</vt:lpstr>
      </vt:variant>
      <vt:variant>
        <vt:i4>1</vt:i4>
      </vt:variant>
    </vt:vector>
  </HeadingPairs>
  <TitlesOfParts>
    <vt:vector size="4" baseType="lpstr">
      <vt:lpstr>Senaste kontroll</vt:lpstr>
      <vt:lpstr>Data</vt:lpstr>
      <vt:lpstr>DICOM-taggar</vt:lpstr>
      <vt:lpstr>Datatabell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Medicinsk fysik</dc:creator>
  <cp:lastModifiedBy>Medicinsk Fysik</cp:lastModifiedBy>
  <cp:lastPrinted>2015-12-14T10:28:42Z</cp:lastPrinted>
  <dcterms:created xsi:type="dcterms:W3CDTF">2006-09-16T00:00:00Z</dcterms:created>
  <dcterms:modified xsi:type="dcterms:W3CDTF">2016-12-14T07:18:27Z</dcterms:modified>
</cp:coreProperties>
</file>