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Senaste kontroll" sheetId="1" r:id="rId1"/>
    <sheet name="Detektor 1" sheetId="2" r:id="rId2"/>
    <sheet name="Detektor 2" sheetId="4" r:id="rId3"/>
    <sheet name="Övrigt" sheetId="5" r:id="rId4"/>
  </sheets>
  <calcPr calcId="145621"/>
</workbook>
</file>

<file path=xl/calcChain.xml><?xml version="1.0" encoding="utf-8"?>
<calcChain xmlns="http://schemas.openxmlformats.org/spreadsheetml/2006/main">
  <c r="H25" i="5" l="1"/>
  <c r="H24" i="5"/>
  <c r="H22" i="5"/>
  <c r="H21" i="5"/>
  <c r="G24" i="5"/>
  <c r="G21" i="5"/>
  <c r="G25" i="5"/>
  <c r="G22" i="5"/>
  <c r="H19" i="5"/>
  <c r="H18" i="5"/>
  <c r="G19" i="5"/>
  <c r="G18" i="5"/>
</calcChain>
</file>

<file path=xl/sharedStrings.xml><?xml version="1.0" encoding="utf-8"?>
<sst xmlns="http://schemas.openxmlformats.org/spreadsheetml/2006/main" count="1330" uniqueCount="60">
  <si>
    <t>Station Name</t>
  </si>
  <si>
    <t>Datum</t>
  </si>
  <si>
    <t>Tid</t>
  </si>
  <si>
    <t>Kollimator</t>
  </si>
  <si>
    <t>Ewin low (keV)</t>
  </si>
  <si>
    <t>Ewin high (keV)</t>
  </si>
  <si>
    <t>Seriebeskrivning</t>
  </si>
  <si>
    <t>Insamlade pulser</t>
  </si>
  <si>
    <t>Mättid (s)</t>
  </si>
  <si>
    <t>Pixelstorlek (mm)</t>
  </si>
  <si>
    <t>UFOV bredd (mm)</t>
  </si>
  <si>
    <t>UFOV höjd (mm)</t>
  </si>
  <si>
    <t xml:space="preserve">UFOV min </t>
  </si>
  <si>
    <t>UFOV max</t>
  </si>
  <si>
    <t>UFOV mean</t>
  </si>
  <si>
    <t>UFOV stdev</t>
  </si>
  <si>
    <t>UFOV IU (%)</t>
  </si>
  <si>
    <t>UFOV DUx (%)</t>
  </si>
  <si>
    <t>UFOV DUy (%)</t>
  </si>
  <si>
    <t>CFOV bredd (mm)</t>
  </si>
  <si>
    <t>CFOV höjd (mm)</t>
  </si>
  <si>
    <t xml:space="preserve">CFOV min </t>
  </si>
  <si>
    <t>CFOV max</t>
  </si>
  <si>
    <t>CFOV mean</t>
  </si>
  <si>
    <t>CFOV stdev</t>
  </si>
  <si>
    <t>CFOV IU (%)</t>
  </si>
  <si>
    <t>CFOV DUx (%)</t>
  </si>
  <si>
    <t>CFOV DUy (%)</t>
  </si>
  <si>
    <t>UFOV</t>
  </si>
  <si>
    <t>CFOV</t>
  </si>
  <si>
    <t>Detektor 1</t>
  </si>
  <si>
    <t>Detektor 2</t>
  </si>
  <si>
    <t>Station Name:</t>
  </si>
  <si>
    <t>Datum:</t>
  </si>
  <si>
    <t>Tid:</t>
  </si>
  <si>
    <t>Insamlingstid (s):</t>
  </si>
  <si>
    <t>Känslighet (cps/MBq):</t>
  </si>
  <si>
    <t>Känslighet (cps/MBq)</t>
  </si>
  <si>
    <t>Referensdatum</t>
  </si>
  <si>
    <t>Isotop</t>
  </si>
  <si>
    <t>Co-57</t>
  </si>
  <si>
    <t>MFT-ID</t>
  </si>
  <si>
    <t>SE23010NM_001R21</t>
  </si>
  <si>
    <t>VP45</t>
  </si>
  <si>
    <t>head1</t>
  </si>
  <si>
    <t>head2</t>
  </si>
  <si>
    <t>Halveringstid (d)</t>
  </si>
  <si>
    <t>Aktivitet (MBq)</t>
  </si>
  <si>
    <t>Pulsantal (Mcounts):</t>
  </si>
  <si>
    <t xml:space="preserve">IU </t>
  </si>
  <si>
    <t xml:space="preserve">DU x </t>
  </si>
  <si>
    <t xml:space="preserve">DU y </t>
  </si>
  <si>
    <t>GE Millenium VG, Röntgenavdelningen</t>
  </si>
  <si>
    <t>Kollimator:</t>
  </si>
  <si>
    <t>MFT 201601-1</t>
  </si>
  <si>
    <t>Mailmottagare (separeras med semikolon)</t>
  </si>
  <si>
    <t>Station Name (används för identifikation av bilder och resultatfiler)</t>
  </si>
  <si>
    <t>Gränsvärden</t>
  </si>
  <si>
    <t>Kontroll efter service</t>
  </si>
  <si>
    <t>gustav.brolin@kronoberg.se; jan-ove.christoffersson@kronoberg.se; sofia.akerberg@kronoberg.se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</si>
</sst>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hh:mm;@"/>
  </numFmts>
  <fonts count="7" x14ac:knownFonts="1">
    <font>
      <sz val="11"/>
      <color theme="1"/>
      <name val="Calibri"/>
      <family val="2"/>
      <scheme val="minor"/>
    </font>
    <font>
      <sz val="16"/>
      <color theme="1"/>
      <name val="Arial"/>
      <family val="2"/>
    </font>
    <font>
      <b/>
      <sz val="11"/>
      <color rgb="FF3F3F3F"/>
      <name val="Calibri"/>
      <family val="2"/>
      <scheme val="minor"/>
    </font>
    <font>
      <b/>
      <sz val="20"/>
      <color rgb="FF3F3F3F"/>
      <name val="Calibri"/>
      <family val="2"/>
      <scheme val="minor"/>
    </font>
    <font>
      <sz val="14"/>
      <color theme="1"/>
      <name val="Arial"/>
      <family val="2"/>
    </font>
    <font>
      <sz val="14"/>
      <color theme="1"/>
      <name val="Courier New"/>
      <family val="3"/>
    </font>
    <font>
      <sz val="11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2" borderId="10" applyNumberFormat="0" applyAlignment="0" applyProtection="0"/>
  </cellStyleXfs>
  <cellXfs count="49">
    <xf numFmtId="0" fontId="0" fillId="0" borderId="0" xfId="0"/>
    <xf numFmtId="0" fontId="1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4" fillId="0" borderId="0" xfId="0" applyFont="1" applyBorder="1"/>
    <xf numFmtId="0" fontId="4" fillId="0" borderId="0" xfId="0" applyFon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/>
    <xf numFmtId="164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0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0" fontId="0" fillId="0" borderId="0" xfId="0" applyNumberFormat="1"/>
    <xf numFmtId="165" fontId="0" fillId="0" borderId="0" xfId="0" applyNumberFormat="1" applyAlignment="1">
      <alignment horizontal="left"/>
    </xf>
    <xf numFmtId="165" fontId="0" fillId="0" borderId="0" xfId="0" applyNumberFormat="1"/>
    <xf numFmtId="0" fontId="0" fillId="0" borderId="0" xfId="0" applyAlignment="1">
      <alignment horizontal="center"/>
    </xf>
    <xf numFmtId="0" fontId="5" fillId="0" borderId="0" xfId="0" applyFont="1" applyBorder="1"/>
    <xf numFmtId="0" fontId="6" fillId="0" borderId="0" xfId="0" applyFont="1" applyBorder="1"/>
    <xf numFmtId="165" fontId="5" fillId="0" borderId="0" xfId="0" applyNumberFormat="1" applyFont="1" applyBorder="1" applyAlignment="1">
      <alignment horizontal="left"/>
    </xf>
    <xf numFmtId="0" fontId="6" fillId="0" borderId="8" xfId="0" applyFont="1" applyBorder="1"/>
    <xf numFmtId="0" fontId="6" fillId="0" borderId="1" xfId="0" applyFont="1" applyBorder="1"/>
    <xf numFmtId="0" fontId="5" fillId="0" borderId="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164" fontId="5" fillId="0" borderId="0" xfId="0" applyNumberFormat="1" applyFont="1" applyBorder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1" fontId="6" fillId="0" borderId="0" xfId="0" applyNumberFormat="1" applyFont="1" applyBorder="1" applyAlignment="1">
      <alignment horizontal="center"/>
    </xf>
    <xf numFmtId="0" fontId="0" fillId="0" borderId="1" xfId="0" applyBorder="1"/>
    <xf numFmtId="0" fontId="0" fillId="0" borderId="0" xfId="0" applyProtection="1">
      <protection locked="0"/>
    </xf>
    <xf numFmtId="0" fontId="0" fillId="0" borderId="6" xfId="0" applyBorder="1" applyAlignment="1" applyProtection="1">
      <alignment horizontal="left"/>
      <protection locked="0"/>
    </xf>
    <xf numFmtId="14" fontId="0" fillId="0" borderId="6" xfId="0" applyNumberFormat="1" applyBorder="1" applyAlignment="1" applyProtection="1">
      <alignment horizontal="left"/>
      <protection locked="0"/>
    </xf>
    <xf numFmtId="2" fontId="5" fillId="0" borderId="0" xfId="0" applyNumberFormat="1" applyFont="1" applyBorder="1" applyAlignment="1">
      <alignment horizontal="center"/>
    </xf>
    <xf numFmtId="1" fontId="5" fillId="0" borderId="0" xfId="0" applyNumberFormat="1" applyFont="1" applyBorder="1" applyAlignment="1">
      <alignment horizontal="center"/>
    </xf>
    <xf numFmtId="164" fontId="5" fillId="0" borderId="0" xfId="0" applyNumberFormat="1" applyFont="1" applyBorder="1" applyAlignment="1">
      <alignment horizontal="center"/>
    </xf>
    <xf numFmtId="0" fontId="3" fillId="2" borderId="10" xfId="1" applyFont="1" applyAlignment="1">
      <alignment horizontal="center" vertical="center"/>
    </xf>
    <xf numFmtId="165" fontId="5" fillId="0" borderId="0" xfId="0" applyNumberFormat="1" applyFont="1" applyBorder="1" applyAlignment="1">
      <alignment horizontal="left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Border="1" applyAlignment="1">
      <alignment horizontal="left"/>
    </xf>
    <xf numFmtId="14" fontId="5" fillId="0" borderId="0" xfId="0" applyNumberFormat="1" applyFont="1" applyBorder="1" applyAlignment="1">
      <alignment horizontal="left"/>
    </xf>
  </cellXfs>
  <cellStyles count="2">
    <cellStyle name="Normal" xfId="0" builtinId="0"/>
    <cellStyle name="Utdata" xfId="1" builtinId="21"/>
  </cellStyles>
  <dxfs count="4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64" formatCode="0.0"/>
    </dxf>
    <dxf>
      <numFmt numFmtId="164" formatCode="0.0"/>
    </dxf>
    <dxf>
      <numFmt numFmtId="14" formatCode="0.00%"/>
    </dxf>
    <dxf>
      <numFmt numFmtId="14" formatCode="0.00%"/>
    </dxf>
    <dxf>
      <numFmt numFmtId="14" formatCode="0.00%"/>
    </dxf>
    <dxf>
      <alignment horizontal="center" vertical="bottom" textRotation="0" wrapText="0" indent="0" justifyLastLine="0" shrinkToFit="0" readingOrder="0"/>
    </dxf>
    <dxf>
      <numFmt numFmtId="165" formatCode="hh:mm;@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0.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5" formatCode="hh:mm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sv-SE">
                <a:latin typeface="Courier New" panose="02070309020205020404" pitchFamily="49" charset="0"/>
                <a:cs typeface="Courier New" panose="02070309020205020404" pitchFamily="49" charset="0"/>
              </a:rPr>
              <a:t>Uniformitet UFOV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Detektor 1 IU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w="19050">
                <a:solidFill>
                  <a:schemeClr val="tx1"/>
                </a:solidFill>
              </a:ln>
            </c:spPr>
          </c:marker>
          <c:trendline>
            <c:name>Detektor 1 IU (Veckotrend)</c:name>
            <c:spPr>
              <a:ln w="50800">
                <a:solidFill>
                  <a:schemeClr val="accent1"/>
                </a:solidFill>
              </a:ln>
            </c:spPr>
            <c:trendlineType val="movingAvg"/>
            <c:period val="5"/>
            <c:dispRSqr val="0"/>
            <c:dispEq val="0"/>
          </c:trendline>
          <c:xVal>
            <c:numRef>
              <c:f>'Detektor 1'!$C$6:$C$211</c:f>
              <c:numCache>
                <c:formatCode>m/d/yyyy</c:formatCode>
                <c:ptCount val="206"/>
                <c:pt idx="0">
                  <c:v>42383</c:v>
                </c:pt>
                <c:pt idx="1">
                  <c:v>42387</c:v>
                </c:pt>
                <c:pt idx="2">
                  <c:v>42388</c:v>
                </c:pt>
                <c:pt idx="3">
                  <c:v>42389</c:v>
                </c:pt>
                <c:pt idx="4">
                  <c:v>42390</c:v>
                </c:pt>
                <c:pt idx="5">
                  <c:v>42391</c:v>
                </c:pt>
                <c:pt idx="6">
                  <c:v>42394</c:v>
                </c:pt>
                <c:pt idx="7">
                  <c:v>42395</c:v>
                </c:pt>
                <c:pt idx="8">
                  <c:v>42396</c:v>
                </c:pt>
                <c:pt idx="9">
                  <c:v>42397</c:v>
                </c:pt>
                <c:pt idx="10">
                  <c:v>42398</c:v>
                </c:pt>
                <c:pt idx="11">
                  <c:v>42401</c:v>
                </c:pt>
                <c:pt idx="12">
                  <c:v>42402</c:v>
                </c:pt>
                <c:pt idx="13">
                  <c:v>42403</c:v>
                </c:pt>
                <c:pt idx="14">
                  <c:v>42404</c:v>
                </c:pt>
                <c:pt idx="15">
                  <c:v>42408</c:v>
                </c:pt>
                <c:pt idx="16">
                  <c:v>42409</c:v>
                </c:pt>
                <c:pt idx="17">
                  <c:v>42410</c:v>
                </c:pt>
                <c:pt idx="18">
                  <c:v>42411</c:v>
                </c:pt>
                <c:pt idx="19">
                  <c:v>42412</c:v>
                </c:pt>
                <c:pt idx="20">
                  <c:v>42415</c:v>
                </c:pt>
                <c:pt idx="21">
                  <c:v>42418</c:v>
                </c:pt>
                <c:pt idx="22">
                  <c:v>42419</c:v>
                </c:pt>
                <c:pt idx="23">
                  <c:v>42422</c:v>
                </c:pt>
                <c:pt idx="24">
                  <c:v>42423</c:v>
                </c:pt>
                <c:pt idx="25">
                  <c:v>42424</c:v>
                </c:pt>
                <c:pt idx="26">
                  <c:v>42425</c:v>
                </c:pt>
                <c:pt idx="27">
                  <c:v>42426</c:v>
                </c:pt>
                <c:pt idx="28">
                  <c:v>42429</c:v>
                </c:pt>
                <c:pt idx="29">
                  <c:v>42431</c:v>
                </c:pt>
                <c:pt idx="30">
                  <c:v>42432</c:v>
                </c:pt>
                <c:pt idx="31">
                  <c:v>42436</c:v>
                </c:pt>
                <c:pt idx="32">
                  <c:v>42437</c:v>
                </c:pt>
                <c:pt idx="33">
                  <c:v>42438</c:v>
                </c:pt>
                <c:pt idx="34">
                  <c:v>42439</c:v>
                </c:pt>
                <c:pt idx="35">
                  <c:v>42440</c:v>
                </c:pt>
                <c:pt idx="36">
                  <c:v>42443</c:v>
                </c:pt>
                <c:pt idx="37">
                  <c:v>42444</c:v>
                </c:pt>
                <c:pt idx="38">
                  <c:v>42445</c:v>
                </c:pt>
                <c:pt idx="39">
                  <c:v>42446</c:v>
                </c:pt>
                <c:pt idx="40">
                  <c:v>42447</c:v>
                </c:pt>
                <c:pt idx="41">
                  <c:v>42450</c:v>
                </c:pt>
                <c:pt idx="42">
                  <c:v>42451</c:v>
                </c:pt>
                <c:pt idx="43">
                  <c:v>42452</c:v>
                </c:pt>
                <c:pt idx="44">
                  <c:v>42453</c:v>
                </c:pt>
                <c:pt idx="45">
                  <c:v>42458</c:v>
                </c:pt>
                <c:pt idx="46">
                  <c:v>42459</c:v>
                </c:pt>
                <c:pt idx="47">
                  <c:v>42460</c:v>
                </c:pt>
                <c:pt idx="48">
                  <c:v>42461</c:v>
                </c:pt>
                <c:pt idx="49">
                  <c:v>42464</c:v>
                </c:pt>
                <c:pt idx="50">
                  <c:v>42465</c:v>
                </c:pt>
                <c:pt idx="51">
                  <c:v>42466</c:v>
                </c:pt>
                <c:pt idx="52">
                  <c:v>42467</c:v>
                </c:pt>
                <c:pt idx="53">
                  <c:v>42468</c:v>
                </c:pt>
                <c:pt idx="54">
                  <c:v>42471</c:v>
                </c:pt>
                <c:pt idx="55">
                  <c:v>42472</c:v>
                </c:pt>
                <c:pt idx="56">
                  <c:v>42473</c:v>
                </c:pt>
                <c:pt idx="57">
                  <c:v>42474</c:v>
                </c:pt>
                <c:pt idx="58">
                  <c:v>42475</c:v>
                </c:pt>
                <c:pt idx="59">
                  <c:v>42478</c:v>
                </c:pt>
                <c:pt idx="60">
                  <c:v>42479</c:v>
                </c:pt>
                <c:pt idx="61">
                  <c:v>42480</c:v>
                </c:pt>
                <c:pt idx="62">
                  <c:v>42481</c:v>
                </c:pt>
                <c:pt idx="63">
                  <c:v>42482</c:v>
                </c:pt>
                <c:pt idx="64">
                  <c:v>42486</c:v>
                </c:pt>
                <c:pt idx="65">
                  <c:v>42486</c:v>
                </c:pt>
                <c:pt idx="66">
                  <c:v>42487</c:v>
                </c:pt>
                <c:pt idx="67">
                  <c:v>42488</c:v>
                </c:pt>
                <c:pt idx="68">
                  <c:v>42489</c:v>
                </c:pt>
                <c:pt idx="69">
                  <c:v>42492</c:v>
                </c:pt>
                <c:pt idx="70">
                  <c:v>42494</c:v>
                </c:pt>
                <c:pt idx="71">
                  <c:v>42493</c:v>
                </c:pt>
                <c:pt idx="72">
                  <c:v>42496</c:v>
                </c:pt>
                <c:pt idx="73">
                  <c:v>42499</c:v>
                </c:pt>
                <c:pt idx="74">
                  <c:v>42500</c:v>
                </c:pt>
                <c:pt idx="75">
                  <c:v>42501</c:v>
                </c:pt>
                <c:pt idx="76">
                  <c:v>42502</c:v>
                </c:pt>
                <c:pt idx="77">
                  <c:v>42503</c:v>
                </c:pt>
                <c:pt idx="78">
                  <c:v>42506</c:v>
                </c:pt>
                <c:pt idx="79">
                  <c:v>42507</c:v>
                </c:pt>
                <c:pt idx="80">
                  <c:v>42508</c:v>
                </c:pt>
                <c:pt idx="81">
                  <c:v>42509</c:v>
                </c:pt>
                <c:pt idx="82">
                  <c:v>42513</c:v>
                </c:pt>
                <c:pt idx="83">
                  <c:v>42514</c:v>
                </c:pt>
                <c:pt idx="84">
                  <c:v>42515</c:v>
                </c:pt>
                <c:pt idx="85">
                  <c:v>42516</c:v>
                </c:pt>
                <c:pt idx="86">
                  <c:v>42517</c:v>
                </c:pt>
                <c:pt idx="87">
                  <c:v>42520</c:v>
                </c:pt>
                <c:pt idx="88">
                  <c:v>42521</c:v>
                </c:pt>
                <c:pt idx="89">
                  <c:v>42522</c:v>
                </c:pt>
                <c:pt idx="90">
                  <c:v>42523</c:v>
                </c:pt>
                <c:pt idx="91">
                  <c:v>42524</c:v>
                </c:pt>
                <c:pt idx="92">
                  <c:v>42528</c:v>
                </c:pt>
                <c:pt idx="93">
                  <c:v>42529</c:v>
                </c:pt>
                <c:pt idx="94">
                  <c:v>42530</c:v>
                </c:pt>
                <c:pt idx="95">
                  <c:v>42531</c:v>
                </c:pt>
                <c:pt idx="96">
                  <c:v>42534</c:v>
                </c:pt>
                <c:pt idx="97">
                  <c:v>42535</c:v>
                </c:pt>
                <c:pt idx="98">
                  <c:v>42536</c:v>
                </c:pt>
                <c:pt idx="99">
                  <c:v>42537</c:v>
                </c:pt>
                <c:pt idx="100">
                  <c:v>42538</c:v>
                </c:pt>
                <c:pt idx="101">
                  <c:v>42541</c:v>
                </c:pt>
                <c:pt idx="102">
                  <c:v>42542</c:v>
                </c:pt>
                <c:pt idx="103">
                  <c:v>42543</c:v>
                </c:pt>
                <c:pt idx="104">
                  <c:v>42544</c:v>
                </c:pt>
                <c:pt idx="105">
                  <c:v>42549</c:v>
                </c:pt>
                <c:pt idx="106">
                  <c:v>42550</c:v>
                </c:pt>
                <c:pt idx="107">
                  <c:v>42551</c:v>
                </c:pt>
                <c:pt idx="108">
                  <c:v>42552</c:v>
                </c:pt>
                <c:pt idx="109">
                  <c:v>42555</c:v>
                </c:pt>
                <c:pt idx="110">
                  <c:v>42557</c:v>
                </c:pt>
                <c:pt idx="111">
                  <c:v>42558</c:v>
                </c:pt>
                <c:pt idx="112">
                  <c:v>42559</c:v>
                </c:pt>
                <c:pt idx="113">
                  <c:v>42562</c:v>
                </c:pt>
                <c:pt idx="114">
                  <c:v>42563</c:v>
                </c:pt>
                <c:pt idx="115">
                  <c:v>42564</c:v>
                </c:pt>
                <c:pt idx="116">
                  <c:v>42565</c:v>
                </c:pt>
                <c:pt idx="117">
                  <c:v>42566</c:v>
                </c:pt>
                <c:pt idx="118">
                  <c:v>42571</c:v>
                </c:pt>
                <c:pt idx="119">
                  <c:v>42576</c:v>
                </c:pt>
                <c:pt idx="120">
                  <c:v>42578</c:v>
                </c:pt>
                <c:pt idx="121">
                  <c:v>42580</c:v>
                </c:pt>
                <c:pt idx="122">
                  <c:v>42584</c:v>
                </c:pt>
                <c:pt idx="123">
                  <c:v>42585</c:v>
                </c:pt>
                <c:pt idx="124">
                  <c:v>42590</c:v>
                </c:pt>
                <c:pt idx="125">
                  <c:v>42591</c:v>
                </c:pt>
                <c:pt idx="126">
                  <c:v>42592</c:v>
                </c:pt>
                <c:pt idx="127">
                  <c:v>42598</c:v>
                </c:pt>
                <c:pt idx="128">
                  <c:v>42599</c:v>
                </c:pt>
                <c:pt idx="129">
                  <c:v>42600</c:v>
                </c:pt>
                <c:pt idx="130">
                  <c:v>42601</c:v>
                </c:pt>
                <c:pt idx="131">
                  <c:v>42604</c:v>
                </c:pt>
                <c:pt idx="132">
                  <c:v>42606</c:v>
                </c:pt>
                <c:pt idx="133">
                  <c:v>42607</c:v>
                </c:pt>
                <c:pt idx="134">
                  <c:v>42608</c:v>
                </c:pt>
                <c:pt idx="135">
                  <c:v>42611</c:v>
                </c:pt>
                <c:pt idx="136">
                  <c:v>42612</c:v>
                </c:pt>
                <c:pt idx="137">
                  <c:v>42613</c:v>
                </c:pt>
                <c:pt idx="138">
                  <c:v>42614</c:v>
                </c:pt>
                <c:pt idx="139">
                  <c:v>42615</c:v>
                </c:pt>
                <c:pt idx="140">
                  <c:v>42618</c:v>
                </c:pt>
                <c:pt idx="141">
                  <c:v>42619</c:v>
                </c:pt>
                <c:pt idx="142">
                  <c:v>42620</c:v>
                </c:pt>
                <c:pt idx="143">
                  <c:v>42621</c:v>
                </c:pt>
                <c:pt idx="144">
                  <c:v>42622</c:v>
                </c:pt>
                <c:pt idx="145">
                  <c:v>42625</c:v>
                </c:pt>
                <c:pt idx="146">
                  <c:v>42626</c:v>
                </c:pt>
                <c:pt idx="147">
                  <c:v>42626</c:v>
                </c:pt>
                <c:pt idx="148">
                  <c:v>42627</c:v>
                </c:pt>
                <c:pt idx="149">
                  <c:v>42628</c:v>
                </c:pt>
                <c:pt idx="150">
                  <c:v>42629</c:v>
                </c:pt>
                <c:pt idx="151">
                  <c:v>42636</c:v>
                </c:pt>
                <c:pt idx="152">
                  <c:v>42639</c:v>
                </c:pt>
                <c:pt idx="153">
                  <c:v>42640</c:v>
                </c:pt>
                <c:pt idx="154">
                  <c:v>42641</c:v>
                </c:pt>
                <c:pt idx="155">
                  <c:v>42642</c:v>
                </c:pt>
                <c:pt idx="156">
                  <c:v>42643</c:v>
                </c:pt>
                <c:pt idx="157">
                  <c:v>42647</c:v>
                </c:pt>
                <c:pt idx="158">
                  <c:v>42648</c:v>
                </c:pt>
                <c:pt idx="159">
                  <c:v>42649</c:v>
                </c:pt>
                <c:pt idx="160">
                  <c:v>42650</c:v>
                </c:pt>
                <c:pt idx="161">
                  <c:v>42653</c:v>
                </c:pt>
                <c:pt idx="162">
                  <c:v>42654</c:v>
                </c:pt>
                <c:pt idx="163">
                  <c:v>42655</c:v>
                </c:pt>
                <c:pt idx="164">
                  <c:v>42656</c:v>
                </c:pt>
                <c:pt idx="165">
                  <c:v>42657</c:v>
                </c:pt>
                <c:pt idx="166">
                  <c:v>42660</c:v>
                </c:pt>
                <c:pt idx="167">
                  <c:v>42662</c:v>
                </c:pt>
                <c:pt idx="168">
                  <c:v>42663</c:v>
                </c:pt>
                <c:pt idx="169">
                  <c:v>42664</c:v>
                </c:pt>
                <c:pt idx="170">
                  <c:v>42667</c:v>
                </c:pt>
                <c:pt idx="171">
                  <c:v>42668</c:v>
                </c:pt>
                <c:pt idx="172">
                  <c:v>42669</c:v>
                </c:pt>
                <c:pt idx="173">
                  <c:v>42670</c:v>
                </c:pt>
                <c:pt idx="174">
                  <c:v>42671</c:v>
                </c:pt>
                <c:pt idx="175">
                  <c:v>42674</c:v>
                </c:pt>
                <c:pt idx="176">
                  <c:v>42675</c:v>
                </c:pt>
                <c:pt idx="177">
                  <c:v>42676</c:v>
                </c:pt>
                <c:pt idx="178">
                  <c:v>42677</c:v>
                </c:pt>
                <c:pt idx="179">
                  <c:v>42678</c:v>
                </c:pt>
                <c:pt idx="180">
                  <c:v>42681</c:v>
                </c:pt>
                <c:pt idx="181">
                  <c:v>42682</c:v>
                </c:pt>
                <c:pt idx="182">
                  <c:v>42683</c:v>
                </c:pt>
                <c:pt idx="183">
                  <c:v>42684</c:v>
                </c:pt>
                <c:pt idx="184">
                  <c:v>42685</c:v>
                </c:pt>
                <c:pt idx="185">
                  <c:v>42688</c:v>
                </c:pt>
                <c:pt idx="186">
                  <c:v>42689</c:v>
                </c:pt>
                <c:pt idx="187">
                  <c:v>42690</c:v>
                </c:pt>
                <c:pt idx="188">
                  <c:v>42691</c:v>
                </c:pt>
                <c:pt idx="189">
                  <c:v>42692</c:v>
                </c:pt>
                <c:pt idx="190">
                  <c:v>42695</c:v>
                </c:pt>
                <c:pt idx="191">
                  <c:v>42696</c:v>
                </c:pt>
                <c:pt idx="192">
                  <c:v>42697</c:v>
                </c:pt>
                <c:pt idx="193">
                  <c:v>42699</c:v>
                </c:pt>
                <c:pt idx="194">
                  <c:v>42702</c:v>
                </c:pt>
                <c:pt idx="195">
                  <c:v>42703</c:v>
                </c:pt>
                <c:pt idx="196">
                  <c:v>42704</c:v>
                </c:pt>
                <c:pt idx="197">
                  <c:v>42705</c:v>
                </c:pt>
                <c:pt idx="198">
                  <c:v>42706</c:v>
                </c:pt>
                <c:pt idx="199">
                  <c:v>42709</c:v>
                </c:pt>
                <c:pt idx="200">
                  <c:v>42710</c:v>
                </c:pt>
                <c:pt idx="201">
                  <c:v>42711</c:v>
                </c:pt>
                <c:pt idx="202">
                  <c:v>42712</c:v>
                </c:pt>
                <c:pt idx="203">
                  <c:v>42713</c:v>
                </c:pt>
                <c:pt idx="204">
                  <c:v>42716</c:v>
                </c:pt>
                <c:pt idx="205">
                  <c:v>42717</c:v>
                </c:pt>
              </c:numCache>
            </c:numRef>
          </c:xVal>
          <c:yVal>
            <c:numRef>
              <c:f>'Detektor 1'!$R$6:$R$211</c:f>
              <c:numCache>
                <c:formatCode>0.00%</c:formatCode>
                <c:ptCount val="206"/>
                <c:pt idx="0">
                  <c:v>7.2209999999999996E-2</c:v>
                </c:pt>
                <c:pt idx="1">
                  <c:v>8.1850000000000006E-2</c:v>
                </c:pt>
                <c:pt idx="2">
                  <c:v>6.837E-2</c:v>
                </c:pt>
                <c:pt idx="3">
                  <c:v>7.8890000000000002E-2</c:v>
                </c:pt>
                <c:pt idx="4">
                  <c:v>6.9779999999999995E-2</c:v>
                </c:pt>
                <c:pt idx="5">
                  <c:v>7.5259999999999994E-2</c:v>
                </c:pt>
                <c:pt idx="6">
                  <c:v>7.646E-2</c:v>
                </c:pt>
                <c:pt idx="7">
                  <c:v>6.6239999999999993E-2</c:v>
                </c:pt>
                <c:pt idx="8">
                  <c:v>6.9650000000000004E-2</c:v>
                </c:pt>
                <c:pt idx="9">
                  <c:v>7.2260000000000005E-2</c:v>
                </c:pt>
                <c:pt idx="10">
                  <c:v>7.9009999999999997E-2</c:v>
                </c:pt>
                <c:pt idx="11">
                  <c:v>8.0210000000000004E-2</c:v>
                </c:pt>
                <c:pt idx="12">
                  <c:v>8.8550000000000004E-2</c:v>
                </c:pt>
                <c:pt idx="13">
                  <c:v>7.9890000000000003E-2</c:v>
                </c:pt>
                <c:pt idx="14">
                  <c:v>7.0510000000000003E-2</c:v>
                </c:pt>
                <c:pt idx="15">
                  <c:v>7.9829999999999998E-2</c:v>
                </c:pt>
                <c:pt idx="16">
                  <c:v>7.0639999999999994E-2</c:v>
                </c:pt>
                <c:pt idx="17">
                  <c:v>7.5439999999999993E-2</c:v>
                </c:pt>
                <c:pt idx="18">
                  <c:v>9.0340000000000004E-2</c:v>
                </c:pt>
                <c:pt idx="19">
                  <c:v>7.9500000000000001E-2</c:v>
                </c:pt>
                <c:pt idx="20">
                  <c:v>8.4529999999999994E-2</c:v>
                </c:pt>
                <c:pt idx="21">
                  <c:v>8.8279999999999997E-2</c:v>
                </c:pt>
                <c:pt idx="22">
                  <c:v>7.8140000000000001E-2</c:v>
                </c:pt>
                <c:pt idx="23">
                  <c:v>8.2659999999999997E-2</c:v>
                </c:pt>
                <c:pt idx="24">
                  <c:v>8.1500000000000003E-2</c:v>
                </c:pt>
                <c:pt idx="25">
                  <c:v>7.6799999999999993E-2</c:v>
                </c:pt>
                <c:pt idx="26">
                  <c:v>8.4379999999999997E-2</c:v>
                </c:pt>
                <c:pt idx="27">
                  <c:v>8.2750000000000004E-2</c:v>
                </c:pt>
                <c:pt idx="28">
                  <c:v>7.553E-2</c:v>
                </c:pt>
                <c:pt idx="29">
                  <c:v>7.8460000000000002E-2</c:v>
                </c:pt>
                <c:pt idx="30">
                  <c:v>8.0869999999999997E-2</c:v>
                </c:pt>
                <c:pt idx="31">
                  <c:v>8.6569999999999994E-2</c:v>
                </c:pt>
                <c:pt idx="32">
                  <c:v>8.0519999999999994E-2</c:v>
                </c:pt>
                <c:pt idx="33">
                  <c:v>8.5059999999999997E-2</c:v>
                </c:pt>
                <c:pt idx="34">
                  <c:v>9.9690000000000001E-2</c:v>
                </c:pt>
                <c:pt idx="35">
                  <c:v>8.7910000000000002E-2</c:v>
                </c:pt>
                <c:pt idx="36">
                  <c:v>8.1670000000000006E-2</c:v>
                </c:pt>
                <c:pt idx="37">
                  <c:v>8.1540000000000001E-2</c:v>
                </c:pt>
                <c:pt idx="38">
                  <c:v>6.88E-2</c:v>
                </c:pt>
                <c:pt idx="39">
                  <c:v>7.7490000000000003E-2</c:v>
                </c:pt>
                <c:pt idx="40">
                  <c:v>7.4340000000000003E-2</c:v>
                </c:pt>
                <c:pt idx="41">
                  <c:v>8.133E-2</c:v>
                </c:pt>
                <c:pt idx="42">
                  <c:v>7.5429999999999997E-2</c:v>
                </c:pt>
                <c:pt idx="43">
                  <c:v>9.0609999999999996E-2</c:v>
                </c:pt>
                <c:pt idx="44">
                  <c:v>7.5380000000000003E-2</c:v>
                </c:pt>
                <c:pt idx="45">
                  <c:v>8.3269999999999997E-2</c:v>
                </c:pt>
                <c:pt idx="46">
                  <c:v>6.9769999999999999E-2</c:v>
                </c:pt>
                <c:pt idx="47">
                  <c:v>9.2319999999999999E-2</c:v>
                </c:pt>
                <c:pt idx="48">
                  <c:v>8.1739999999999993E-2</c:v>
                </c:pt>
                <c:pt idx="49">
                  <c:v>8.1570000000000004E-2</c:v>
                </c:pt>
                <c:pt idx="50">
                  <c:v>7.6420000000000002E-2</c:v>
                </c:pt>
                <c:pt idx="51">
                  <c:v>7.5480000000000005E-2</c:v>
                </c:pt>
                <c:pt idx="52">
                  <c:v>8.165E-2</c:v>
                </c:pt>
                <c:pt idx="53">
                  <c:v>8.9990000000000001E-2</c:v>
                </c:pt>
                <c:pt idx="54">
                  <c:v>7.9649999999999999E-2</c:v>
                </c:pt>
                <c:pt idx="55">
                  <c:v>6.9010000000000002E-2</c:v>
                </c:pt>
                <c:pt idx="56">
                  <c:v>8.6309999999999998E-2</c:v>
                </c:pt>
                <c:pt idx="57">
                  <c:v>7.8700000000000006E-2</c:v>
                </c:pt>
                <c:pt idx="58">
                  <c:v>8.4110000000000004E-2</c:v>
                </c:pt>
                <c:pt idx="59">
                  <c:v>8.0070000000000002E-2</c:v>
                </c:pt>
                <c:pt idx="60">
                  <c:v>8.2530000000000006E-2</c:v>
                </c:pt>
                <c:pt idx="61">
                  <c:v>8.047E-2</c:v>
                </c:pt>
                <c:pt idx="62">
                  <c:v>8.2339999999999997E-2</c:v>
                </c:pt>
                <c:pt idx="63">
                  <c:v>7.2069999999999995E-2</c:v>
                </c:pt>
                <c:pt idx="64">
                  <c:v>7.9100000000000004E-2</c:v>
                </c:pt>
                <c:pt idx="65">
                  <c:v>9.3049999999999994E-2</c:v>
                </c:pt>
                <c:pt idx="66">
                  <c:v>7.0739999999999997E-2</c:v>
                </c:pt>
                <c:pt idx="67">
                  <c:v>7.1080000000000004E-2</c:v>
                </c:pt>
                <c:pt idx="68">
                  <c:v>7.2660000000000002E-2</c:v>
                </c:pt>
                <c:pt idx="69">
                  <c:v>8.0060000000000006E-2</c:v>
                </c:pt>
                <c:pt idx="70">
                  <c:v>7.6480000000000006E-2</c:v>
                </c:pt>
                <c:pt idx="71">
                  <c:v>8.4169999999999995E-2</c:v>
                </c:pt>
                <c:pt idx="72">
                  <c:v>7.6329999999999995E-2</c:v>
                </c:pt>
                <c:pt idx="73">
                  <c:v>8.4589999999999999E-2</c:v>
                </c:pt>
                <c:pt idx="74">
                  <c:v>8.2780000000000006E-2</c:v>
                </c:pt>
                <c:pt idx="75">
                  <c:v>7.6869999999999994E-2</c:v>
                </c:pt>
                <c:pt idx="76">
                  <c:v>6.6739999999999994E-2</c:v>
                </c:pt>
                <c:pt idx="77">
                  <c:v>7.6910000000000006E-2</c:v>
                </c:pt>
                <c:pt idx="78">
                  <c:v>7.8640000000000002E-2</c:v>
                </c:pt>
                <c:pt idx="79">
                  <c:v>7.8670000000000004E-2</c:v>
                </c:pt>
                <c:pt idx="80">
                  <c:v>9.2060000000000003E-2</c:v>
                </c:pt>
                <c:pt idx="81">
                  <c:v>7.8369999999999995E-2</c:v>
                </c:pt>
                <c:pt idx="82">
                  <c:v>6.6949999999999996E-2</c:v>
                </c:pt>
                <c:pt idx="83">
                  <c:v>7.5770000000000004E-2</c:v>
                </c:pt>
                <c:pt idx="84">
                  <c:v>7.5840000000000005E-2</c:v>
                </c:pt>
                <c:pt idx="85">
                  <c:v>8.0060000000000006E-2</c:v>
                </c:pt>
                <c:pt idx="86">
                  <c:v>7.5230000000000005E-2</c:v>
                </c:pt>
                <c:pt idx="87">
                  <c:v>7.7719999999999997E-2</c:v>
                </c:pt>
                <c:pt idx="88">
                  <c:v>7.3950000000000002E-2</c:v>
                </c:pt>
                <c:pt idx="89">
                  <c:v>7.5609999999999997E-2</c:v>
                </c:pt>
                <c:pt idx="90">
                  <c:v>6.8659999999999999E-2</c:v>
                </c:pt>
                <c:pt idx="91">
                  <c:v>8.1739999999999993E-2</c:v>
                </c:pt>
                <c:pt idx="92">
                  <c:v>8.4470000000000003E-2</c:v>
                </c:pt>
                <c:pt idx="93">
                  <c:v>7.7600000000000002E-2</c:v>
                </c:pt>
                <c:pt idx="94">
                  <c:v>6.7320000000000005E-2</c:v>
                </c:pt>
                <c:pt idx="95">
                  <c:v>8.1030000000000005E-2</c:v>
                </c:pt>
                <c:pt idx="96">
                  <c:v>7.4459999999999998E-2</c:v>
                </c:pt>
                <c:pt idx="97">
                  <c:v>8.0280000000000004E-2</c:v>
                </c:pt>
                <c:pt idx="98">
                  <c:v>7.6630000000000004E-2</c:v>
                </c:pt>
                <c:pt idx="99">
                  <c:v>7.8450000000000006E-2</c:v>
                </c:pt>
                <c:pt idx="100">
                  <c:v>7.3230000000000003E-2</c:v>
                </c:pt>
                <c:pt idx="101">
                  <c:v>7.4230000000000004E-2</c:v>
                </c:pt>
                <c:pt idx="102">
                  <c:v>6.9379999999999997E-2</c:v>
                </c:pt>
                <c:pt idx="103">
                  <c:v>7.3499999999999996E-2</c:v>
                </c:pt>
                <c:pt idx="104">
                  <c:v>6.6960000000000006E-2</c:v>
                </c:pt>
                <c:pt idx="105">
                  <c:v>7.8259999999999996E-2</c:v>
                </c:pt>
                <c:pt idx="106">
                  <c:v>7.7340000000000006E-2</c:v>
                </c:pt>
                <c:pt idx="107">
                  <c:v>7.9219999999999999E-2</c:v>
                </c:pt>
                <c:pt idx="108">
                  <c:v>8.2699999999999996E-2</c:v>
                </c:pt>
                <c:pt idx="109">
                  <c:v>7.6539999999999997E-2</c:v>
                </c:pt>
                <c:pt idx="110">
                  <c:v>6.7989999999999995E-2</c:v>
                </c:pt>
                <c:pt idx="111">
                  <c:v>7.5139999999999998E-2</c:v>
                </c:pt>
                <c:pt idx="112">
                  <c:v>8.6120000000000002E-2</c:v>
                </c:pt>
                <c:pt idx="113">
                  <c:v>9.0499999999999997E-2</c:v>
                </c:pt>
                <c:pt idx="114">
                  <c:v>7.4990000000000001E-2</c:v>
                </c:pt>
                <c:pt idx="115">
                  <c:v>7.1029999999999996E-2</c:v>
                </c:pt>
                <c:pt idx="116">
                  <c:v>6.3600000000000004E-2</c:v>
                </c:pt>
                <c:pt idx="117">
                  <c:v>6.9690000000000002E-2</c:v>
                </c:pt>
                <c:pt idx="118">
                  <c:v>7.1879999999999999E-2</c:v>
                </c:pt>
                <c:pt idx="119">
                  <c:v>7.7590000000000006E-2</c:v>
                </c:pt>
                <c:pt idx="120">
                  <c:v>7.3150000000000007E-2</c:v>
                </c:pt>
                <c:pt idx="121">
                  <c:v>9.3840000000000007E-2</c:v>
                </c:pt>
                <c:pt idx="122">
                  <c:v>6.8409999999999999E-2</c:v>
                </c:pt>
                <c:pt idx="123">
                  <c:v>6.948E-2</c:v>
                </c:pt>
                <c:pt idx="124">
                  <c:v>8.3949999999999997E-2</c:v>
                </c:pt>
                <c:pt idx="125">
                  <c:v>6.676E-2</c:v>
                </c:pt>
                <c:pt idx="126">
                  <c:v>8.3739999999999995E-2</c:v>
                </c:pt>
                <c:pt idx="127">
                  <c:v>7.1679999999999994E-2</c:v>
                </c:pt>
                <c:pt idx="128">
                  <c:v>8.4909999999999999E-2</c:v>
                </c:pt>
                <c:pt idx="129">
                  <c:v>7.3340000000000002E-2</c:v>
                </c:pt>
                <c:pt idx="130">
                  <c:v>7.3039999999999994E-2</c:v>
                </c:pt>
                <c:pt idx="131">
                  <c:v>7.6999999999999999E-2</c:v>
                </c:pt>
                <c:pt idx="132">
                  <c:v>7.8969999999999999E-2</c:v>
                </c:pt>
                <c:pt idx="133">
                  <c:v>7.7560000000000004E-2</c:v>
                </c:pt>
                <c:pt idx="134">
                  <c:v>6.9419999999999996E-2</c:v>
                </c:pt>
                <c:pt idx="135">
                  <c:v>7.4090000000000003E-2</c:v>
                </c:pt>
                <c:pt idx="136">
                  <c:v>6.7669999999999994E-2</c:v>
                </c:pt>
                <c:pt idx="137">
                  <c:v>7.9020000000000007E-2</c:v>
                </c:pt>
                <c:pt idx="138">
                  <c:v>7.9649999999999999E-2</c:v>
                </c:pt>
                <c:pt idx="139">
                  <c:v>8.0990000000000006E-2</c:v>
                </c:pt>
                <c:pt idx="140">
                  <c:v>8.0699999999999994E-2</c:v>
                </c:pt>
                <c:pt idx="141">
                  <c:v>7.1440000000000003E-2</c:v>
                </c:pt>
                <c:pt idx="142">
                  <c:v>7.9469999999999999E-2</c:v>
                </c:pt>
                <c:pt idx="143">
                  <c:v>7.399E-2</c:v>
                </c:pt>
                <c:pt idx="144">
                  <c:v>7.5889999999999999E-2</c:v>
                </c:pt>
                <c:pt idx="145">
                  <c:v>7.1590000000000001E-2</c:v>
                </c:pt>
                <c:pt idx="146">
                  <c:v>8.2150000000000001E-2</c:v>
                </c:pt>
                <c:pt idx="147">
                  <c:v>8.2150000000000001E-2</c:v>
                </c:pt>
                <c:pt idx="148">
                  <c:v>7.6060000000000003E-2</c:v>
                </c:pt>
                <c:pt idx="149">
                  <c:v>9.9790000000000004E-2</c:v>
                </c:pt>
                <c:pt idx="150">
                  <c:v>7.7890000000000001E-2</c:v>
                </c:pt>
                <c:pt idx="151">
                  <c:v>7.8060000000000004E-2</c:v>
                </c:pt>
                <c:pt idx="152">
                  <c:v>9.2109999999999997E-2</c:v>
                </c:pt>
                <c:pt idx="153">
                  <c:v>7.6689999999999994E-2</c:v>
                </c:pt>
                <c:pt idx="154">
                  <c:v>8.4760000000000002E-2</c:v>
                </c:pt>
                <c:pt idx="155">
                  <c:v>6.9099999999999995E-2</c:v>
                </c:pt>
                <c:pt idx="156">
                  <c:v>7.2950000000000001E-2</c:v>
                </c:pt>
                <c:pt idx="157">
                  <c:v>6.9320000000000007E-2</c:v>
                </c:pt>
                <c:pt idx="158">
                  <c:v>7.485E-2</c:v>
                </c:pt>
                <c:pt idx="159">
                  <c:v>7.4249999999999997E-2</c:v>
                </c:pt>
                <c:pt idx="160">
                  <c:v>8.652E-2</c:v>
                </c:pt>
                <c:pt idx="161">
                  <c:v>8.7169999999999997E-2</c:v>
                </c:pt>
                <c:pt idx="162">
                  <c:v>9.1490000000000002E-2</c:v>
                </c:pt>
                <c:pt idx="163">
                  <c:v>7.6079999999999995E-2</c:v>
                </c:pt>
                <c:pt idx="164">
                  <c:v>7.1489999999999998E-2</c:v>
                </c:pt>
                <c:pt idx="165">
                  <c:v>7.4810000000000001E-2</c:v>
                </c:pt>
                <c:pt idx="166">
                  <c:v>7.5759999999999994E-2</c:v>
                </c:pt>
                <c:pt idx="167">
                  <c:v>6.7540000000000003E-2</c:v>
                </c:pt>
                <c:pt idx="168">
                  <c:v>7.2230000000000003E-2</c:v>
                </c:pt>
                <c:pt idx="169">
                  <c:v>7.0349999999999996E-2</c:v>
                </c:pt>
                <c:pt idx="170">
                  <c:v>7.1760000000000004E-2</c:v>
                </c:pt>
                <c:pt idx="171">
                  <c:v>7.1690000000000004E-2</c:v>
                </c:pt>
                <c:pt idx="172">
                  <c:v>7.9939999999999997E-2</c:v>
                </c:pt>
                <c:pt idx="173">
                  <c:v>7.22E-2</c:v>
                </c:pt>
                <c:pt idx="174">
                  <c:v>7.4590000000000004E-2</c:v>
                </c:pt>
                <c:pt idx="175">
                  <c:v>7.4230000000000004E-2</c:v>
                </c:pt>
                <c:pt idx="176">
                  <c:v>8.6419999999999997E-2</c:v>
                </c:pt>
                <c:pt idx="177">
                  <c:v>8.4379999999999997E-2</c:v>
                </c:pt>
                <c:pt idx="178">
                  <c:v>8.0449999999999994E-2</c:v>
                </c:pt>
                <c:pt idx="179">
                  <c:v>7.4490000000000001E-2</c:v>
                </c:pt>
                <c:pt idx="180">
                  <c:v>9.1079999999999994E-2</c:v>
                </c:pt>
                <c:pt idx="181">
                  <c:v>8.1320000000000003E-2</c:v>
                </c:pt>
                <c:pt idx="182">
                  <c:v>7.7079999999999996E-2</c:v>
                </c:pt>
                <c:pt idx="183">
                  <c:v>7.46E-2</c:v>
                </c:pt>
                <c:pt idx="184">
                  <c:v>7.3300000000000004E-2</c:v>
                </c:pt>
                <c:pt idx="185">
                  <c:v>9.4109999999999999E-2</c:v>
                </c:pt>
                <c:pt idx="186">
                  <c:v>7.5579999999999994E-2</c:v>
                </c:pt>
                <c:pt idx="187">
                  <c:v>7.8689999999999996E-2</c:v>
                </c:pt>
                <c:pt idx="188">
                  <c:v>6.7979999999999999E-2</c:v>
                </c:pt>
                <c:pt idx="189">
                  <c:v>7.2309999999999999E-2</c:v>
                </c:pt>
                <c:pt idx="190">
                  <c:v>9.1249999999999998E-2</c:v>
                </c:pt>
                <c:pt idx="191">
                  <c:v>8.5769999999999999E-2</c:v>
                </c:pt>
                <c:pt idx="192">
                  <c:v>6.676E-2</c:v>
                </c:pt>
                <c:pt idx="193">
                  <c:v>9.2619999999999994E-2</c:v>
                </c:pt>
                <c:pt idx="194">
                  <c:v>8.047E-2</c:v>
                </c:pt>
                <c:pt idx="195">
                  <c:v>7.7429999999999999E-2</c:v>
                </c:pt>
                <c:pt idx="196">
                  <c:v>6.6070000000000004E-2</c:v>
                </c:pt>
                <c:pt idx="197">
                  <c:v>0.10398</c:v>
                </c:pt>
                <c:pt idx="198">
                  <c:v>9.2270000000000005E-2</c:v>
                </c:pt>
                <c:pt idx="199">
                  <c:v>9.0310000000000001E-2</c:v>
                </c:pt>
                <c:pt idx="200">
                  <c:v>7.7689999999999995E-2</c:v>
                </c:pt>
                <c:pt idx="201">
                  <c:v>6.8690000000000001E-2</c:v>
                </c:pt>
                <c:pt idx="202">
                  <c:v>7.0180000000000006E-2</c:v>
                </c:pt>
                <c:pt idx="203">
                  <c:v>8.3239999999999995E-2</c:v>
                </c:pt>
                <c:pt idx="204">
                  <c:v>7.8570000000000001E-2</c:v>
                </c:pt>
                <c:pt idx="205">
                  <c:v>8.3589999999999998E-2</c:v>
                </c:pt>
              </c:numCache>
            </c:numRef>
          </c:yVal>
          <c:smooth val="0"/>
        </c:ser>
        <c:ser>
          <c:idx val="3"/>
          <c:order val="1"/>
          <c:tx>
            <c:v>Detektor 2 IU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/>
              </a:solidFill>
              <a:ln w="19050">
                <a:solidFill>
                  <a:schemeClr val="tx1"/>
                </a:solidFill>
              </a:ln>
            </c:spPr>
          </c:marker>
          <c:trendline>
            <c:name>Detektor 2 IU (Veckotrend)</c:name>
            <c:spPr>
              <a:ln w="50800" cap="rnd" cmpd="sng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"/>
            <c:dispRSqr val="0"/>
            <c:dispEq val="0"/>
          </c:trendline>
          <c:xVal>
            <c:numRef>
              <c:f>'Detektor 2'!$C$6:$C$211</c:f>
              <c:numCache>
                <c:formatCode>m/d/yyyy</c:formatCode>
                <c:ptCount val="206"/>
                <c:pt idx="0">
                  <c:v>42383</c:v>
                </c:pt>
                <c:pt idx="1">
                  <c:v>42387</c:v>
                </c:pt>
                <c:pt idx="2">
                  <c:v>42388</c:v>
                </c:pt>
                <c:pt idx="3">
                  <c:v>42389</c:v>
                </c:pt>
                <c:pt idx="4">
                  <c:v>42390</c:v>
                </c:pt>
                <c:pt idx="5">
                  <c:v>42391</c:v>
                </c:pt>
                <c:pt idx="6">
                  <c:v>42394</c:v>
                </c:pt>
                <c:pt idx="7">
                  <c:v>42395</c:v>
                </c:pt>
                <c:pt idx="8">
                  <c:v>42396</c:v>
                </c:pt>
                <c:pt idx="9">
                  <c:v>42397</c:v>
                </c:pt>
                <c:pt idx="10">
                  <c:v>42398</c:v>
                </c:pt>
                <c:pt idx="11">
                  <c:v>42401</c:v>
                </c:pt>
                <c:pt idx="12">
                  <c:v>42402</c:v>
                </c:pt>
                <c:pt idx="13">
                  <c:v>42403</c:v>
                </c:pt>
                <c:pt idx="14">
                  <c:v>42404</c:v>
                </c:pt>
                <c:pt idx="15">
                  <c:v>42408</c:v>
                </c:pt>
                <c:pt idx="16">
                  <c:v>42409</c:v>
                </c:pt>
                <c:pt idx="17">
                  <c:v>42410</c:v>
                </c:pt>
                <c:pt idx="18">
                  <c:v>42411</c:v>
                </c:pt>
                <c:pt idx="19">
                  <c:v>42412</c:v>
                </c:pt>
                <c:pt idx="20">
                  <c:v>42415</c:v>
                </c:pt>
                <c:pt idx="21">
                  <c:v>42418</c:v>
                </c:pt>
                <c:pt idx="22">
                  <c:v>42419</c:v>
                </c:pt>
                <c:pt idx="23">
                  <c:v>42422</c:v>
                </c:pt>
                <c:pt idx="24">
                  <c:v>42423</c:v>
                </c:pt>
                <c:pt idx="25">
                  <c:v>42424</c:v>
                </c:pt>
                <c:pt idx="26">
                  <c:v>42425</c:v>
                </c:pt>
                <c:pt idx="27">
                  <c:v>42426</c:v>
                </c:pt>
                <c:pt idx="28">
                  <c:v>42429</c:v>
                </c:pt>
                <c:pt idx="29">
                  <c:v>42431</c:v>
                </c:pt>
                <c:pt idx="30">
                  <c:v>42432</c:v>
                </c:pt>
                <c:pt idx="31">
                  <c:v>42436</c:v>
                </c:pt>
                <c:pt idx="32">
                  <c:v>42437</c:v>
                </c:pt>
                <c:pt idx="33">
                  <c:v>42438</c:v>
                </c:pt>
                <c:pt idx="34">
                  <c:v>42439</c:v>
                </c:pt>
                <c:pt idx="35">
                  <c:v>42440</c:v>
                </c:pt>
                <c:pt idx="36">
                  <c:v>42443</c:v>
                </c:pt>
                <c:pt idx="37">
                  <c:v>42444</c:v>
                </c:pt>
                <c:pt idx="38">
                  <c:v>42445</c:v>
                </c:pt>
                <c:pt idx="39">
                  <c:v>42446</c:v>
                </c:pt>
                <c:pt idx="40">
                  <c:v>42447</c:v>
                </c:pt>
                <c:pt idx="41">
                  <c:v>42450</c:v>
                </c:pt>
                <c:pt idx="42">
                  <c:v>42451</c:v>
                </c:pt>
                <c:pt idx="43">
                  <c:v>42452</c:v>
                </c:pt>
                <c:pt idx="44">
                  <c:v>42453</c:v>
                </c:pt>
                <c:pt idx="45">
                  <c:v>42458</c:v>
                </c:pt>
                <c:pt idx="46">
                  <c:v>42459</c:v>
                </c:pt>
                <c:pt idx="47">
                  <c:v>42460</c:v>
                </c:pt>
                <c:pt idx="48">
                  <c:v>42461</c:v>
                </c:pt>
                <c:pt idx="49">
                  <c:v>42464</c:v>
                </c:pt>
                <c:pt idx="50">
                  <c:v>42465</c:v>
                </c:pt>
                <c:pt idx="51">
                  <c:v>42466</c:v>
                </c:pt>
                <c:pt idx="52">
                  <c:v>42467</c:v>
                </c:pt>
                <c:pt idx="53">
                  <c:v>42468</c:v>
                </c:pt>
                <c:pt idx="54">
                  <c:v>42471</c:v>
                </c:pt>
                <c:pt idx="55">
                  <c:v>42472</c:v>
                </c:pt>
                <c:pt idx="56">
                  <c:v>42473</c:v>
                </c:pt>
                <c:pt idx="57">
                  <c:v>42474</c:v>
                </c:pt>
                <c:pt idx="58">
                  <c:v>42475</c:v>
                </c:pt>
                <c:pt idx="59">
                  <c:v>42478</c:v>
                </c:pt>
                <c:pt idx="60">
                  <c:v>42479</c:v>
                </c:pt>
                <c:pt idx="61">
                  <c:v>42480</c:v>
                </c:pt>
                <c:pt idx="62">
                  <c:v>42481</c:v>
                </c:pt>
                <c:pt idx="63">
                  <c:v>42482</c:v>
                </c:pt>
                <c:pt idx="64">
                  <c:v>42486</c:v>
                </c:pt>
                <c:pt idx="65">
                  <c:v>42486</c:v>
                </c:pt>
                <c:pt idx="66">
                  <c:v>42487</c:v>
                </c:pt>
                <c:pt idx="67">
                  <c:v>42488</c:v>
                </c:pt>
                <c:pt idx="68">
                  <c:v>42489</c:v>
                </c:pt>
                <c:pt idx="69">
                  <c:v>42492</c:v>
                </c:pt>
                <c:pt idx="70">
                  <c:v>42494</c:v>
                </c:pt>
                <c:pt idx="71">
                  <c:v>42493</c:v>
                </c:pt>
                <c:pt idx="72">
                  <c:v>42496</c:v>
                </c:pt>
                <c:pt idx="73">
                  <c:v>42499</c:v>
                </c:pt>
                <c:pt idx="74">
                  <c:v>42500</c:v>
                </c:pt>
                <c:pt idx="75">
                  <c:v>42501</c:v>
                </c:pt>
                <c:pt idx="76">
                  <c:v>42502</c:v>
                </c:pt>
                <c:pt idx="77">
                  <c:v>42503</c:v>
                </c:pt>
                <c:pt idx="78">
                  <c:v>42506</c:v>
                </c:pt>
                <c:pt idx="79">
                  <c:v>42507</c:v>
                </c:pt>
                <c:pt idx="80">
                  <c:v>42508</c:v>
                </c:pt>
                <c:pt idx="81">
                  <c:v>42509</c:v>
                </c:pt>
                <c:pt idx="82">
                  <c:v>42513</c:v>
                </c:pt>
                <c:pt idx="83">
                  <c:v>42514</c:v>
                </c:pt>
                <c:pt idx="84">
                  <c:v>42515</c:v>
                </c:pt>
                <c:pt idx="85">
                  <c:v>42516</c:v>
                </c:pt>
                <c:pt idx="86">
                  <c:v>42517</c:v>
                </c:pt>
                <c:pt idx="87">
                  <c:v>42520</c:v>
                </c:pt>
                <c:pt idx="88">
                  <c:v>42521</c:v>
                </c:pt>
                <c:pt idx="89">
                  <c:v>42522</c:v>
                </c:pt>
                <c:pt idx="90">
                  <c:v>42523</c:v>
                </c:pt>
                <c:pt idx="91">
                  <c:v>42524</c:v>
                </c:pt>
                <c:pt idx="92">
                  <c:v>42528</c:v>
                </c:pt>
                <c:pt idx="93">
                  <c:v>42529</c:v>
                </c:pt>
                <c:pt idx="94">
                  <c:v>42530</c:v>
                </c:pt>
                <c:pt idx="95">
                  <c:v>42531</c:v>
                </c:pt>
                <c:pt idx="96">
                  <c:v>42534</c:v>
                </c:pt>
                <c:pt idx="97">
                  <c:v>42535</c:v>
                </c:pt>
                <c:pt idx="98">
                  <c:v>42536</c:v>
                </c:pt>
                <c:pt idx="99">
                  <c:v>42537</c:v>
                </c:pt>
                <c:pt idx="100">
                  <c:v>42538</c:v>
                </c:pt>
                <c:pt idx="101">
                  <c:v>42541</c:v>
                </c:pt>
                <c:pt idx="102">
                  <c:v>42542</c:v>
                </c:pt>
                <c:pt idx="103">
                  <c:v>42543</c:v>
                </c:pt>
                <c:pt idx="104">
                  <c:v>42544</c:v>
                </c:pt>
                <c:pt idx="105">
                  <c:v>42549</c:v>
                </c:pt>
                <c:pt idx="106">
                  <c:v>42550</c:v>
                </c:pt>
                <c:pt idx="107">
                  <c:v>42551</c:v>
                </c:pt>
                <c:pt idx="108">
                  <c:v>42552</c:v>
                </c:pt>
                <c:pt idx="109">
                  <c:v>42555</c:v>
                </c:pt>
                <c:pt idx="110">
                  <c:v>42557</c:v>
                </c:pt>
                <c:pt idx="111">
                  <c:v>42558</c:v>
                </c:pt>
                <c:pt idx="112">
                  <c:v>42559</c:v>
                </c:pt>
                <c:pt idx="113">
                  <c:v>42562</c:v>
                </c:pt>
                <c:pt idx="114">
                  <c:v>42563</c:v>
                </c:pt>
                <c:pt idx="115">
                  <c:v>42564</c:v>
                </c:pt>
                <c:pt idx="116">
                  <c:v>42565</c:v>
                </c:pt>
                <c:pt idx="117">
                  <c:v>42566</c:v>
                </c:pt>
                <c:pt idx="118">
                  <c:v>42571</c:v>
                </c:pt>
                <c:pt idx="119">
                  <c:v>42576</c:v>
                </c:pt>
                <c:pt idx="120">
                  <c:v>42578</c:v>
                </c:pt>
                <c:pt idx="121">
                  <c:v>42580</c:v>
                </c:pt>
                <c:pt idx="122">
                  <c:v>42584</c:v>
                </c:pt>
                <c:pt idx="123">
                  <c:v>42585</c:v>
                </c:pt>
                <c:pt idx="124">
                  <c:v>42590</c:v>
                </c:pt>
                <c:pt idx="125">
                  <c:v>42591</c:v>
                </c:pt>
                <c:pt idx="126">
                  <c:v>42592</c:v>
                </c:pt>
                <c:pt idx="127">
                  <c:v>42598</c:v>
                </c:pt>
                <c:pt idx="128">
                  <c:v>42599</c:v>
                </c:pt>
                <c:pt idx="129">
                  <c:v>42600</c:v>
                </c:pt>
                <c:pt idx="130">
                  <c:v>42601</c:v>
                </c:pt>
                <c:pt idx="131">
                  <c:v>42604</c:v>
                </c:pt>
                <c:pt idx="132">
                  <c:v>42606</c:v>
                </c:pt>
                <c:pt idx="133">
                  <c:v>42607</c:v>
                </c:pt>
                <c:pt idx="134">
                  <c:v>42608</c:v>
                </c:pt>
                <c:pt idx="135">
                  <c:v>42611</c:v>
                </c:pt>
                <c:pt idx="136">
                  <c:v>42612</c:v>
                </c:pt>
                <c:pt idx="137">
                  <c:v>42613</c:v>
                </c:pt>
                <c:pt idx="138">
                  <c:v>42614</c:v>
                </c:pt>
                <c:pt idx="139">
                  <c:v>42615</c:v>
                </c:pt>
                <c:pt idx="140">
                  <c:v>42618</c:v>
                </c:pt>
                <c:pt idx="141">
                  <c:v>42619</c:v>
                </c:pt>
                <c:pt idx="142">
                  <c:v>42620</c:v>
                </c:pt>
                <c:pt idx="143">
                  <c:v>42621</c:v>
                </c:pt>
                <c:pt idx="144">
                  <c:v>42622</c:v>
                </c:pt>
                <c:pt idx="145">
                  <c:v>42625</c:v>
                </c:pt>
                <c:pt idx="146">
                  <c:v>42626</c:v>
                </c:pt>
                <c:pt idx="147">
                  <c:v>42626</c:v>
                </c:pt>
                <c:pt idx="148">
                  <c:v>42627</c:v>
                </c:pt>
                <c:pt idx="149">
                  <c:v>42628</c:v>
                </c:pt>
                <c:pt idx="150">
                  <c:v>42629</c:v>
                </c:pt>
                <c:pt idx="151">
                  <c:v>42636</c:v>
                </c:pt>
                <c:pt idx="152">
                  <c:v>42639</c:v>
                </c:pt>
                <c:pt idx="153">
                  <c:v>42640</c:v>
                </c:pt>
                <c:pt idx="154">
                  <c:v>42641</c:v>
                </c:pt>
                <c:pt idx="155">
                  <c:v>42642</c:v>
                </c:pt>
                <c:pt idx="156">
                  <c:v>42643</c:v>
                </c:pt>
                <c:pt idx="157">
                  <c:v>42647</c:v>
                </c:pt>
                <c:pt idx="158">
                  <c:v>42648</c:v>
                </c:pt>
                <c:pt idx="159">
                  <c:v>42649</c:v>
                </c:pt>
                <c:pt idx="160">
                  <c:v>42650</c:v>
                </c:pt>
                <c:pt idx="161">
                  <c:v>42653</c:v>
                </c:pt>
                <c:pt idx="162">
                  <c:v>42654</c:v>
                </c:pt>
                <c:pt idx="163">
                  <c:v>42655</c:v>
                </c:pt>
                <c:pt idx="164">
                  <c:v>42656</c:v>
                </c:pt>
                <c:pt idx="165">
                  <c:v>42657</c:v>
                </c:pt>
                <c:pt idx="166">
                  <c:v>42660</c:v>
                </c:pt>
                <c:pt idx="167">
                  <c:v>42662</c:v>
                </c:pt>
                <c:pt idx="168">
                  <c:v>42663</c:v>
                </c:pt>
                <c:pt idx="169">
                  <c:v>42664</c:v>
                </c:pt>
                <c:pt idx="170">
                  <c:v>42667</c:v>
                </c:pt>
                <c:pt idx="171">
                  <c:v>42668</c:v>
                </c:pt>
                <c:pt idx="172">
                  <c:v>42669</c:v>
                </c:pt>
                <c:pt idx="173">
                  <c:v>42670</c:v>
                </c:pt>
                <c:pt idx="174">
                  <c:v>42671</c:v>
                </c:pt>
                <c:pt idx="175">
                  <c:v>42674</c:v>
                </c:pt>
                <c:pt idx="176">
                  <c:v>42675</c:v>
                </c:pt>
                <c:pt idx="177">
                  <c:v>42676</c:v>
                </c:pt>
                <c:pt idx="178">
                  <c:v>42677</c:v>
                </c:pt>
                <c:pt idx="179">
                  <c:v>42678</c:v>
                </c:pt>
                <c:pt idx="180">
                  <c:v>42681</c:v>
                </c:pt>
                <c:pt idx="181">
                  <c:v>42682</c:v>
                </c:pt>
                <c:pt idx="182">
                  <c:v>42683</c:v>
                </c:pt>
                <c:pt idx="183">
                  <c:v>42684</c:v>
                </c:pt>
                <c:pt idx="184">
                  <c:v>42685</c:v>
                </c:pt>
                <c:pt idx="185">
                  <c:v>42688</c:v>
                </c:pt>
                <c:pt idx="186">
                  <c:v>42689</c:v>
                </c:pt>
                <c:pt idx="187">
                  <c:v>42690</c:v>
                </c:pt>
                <c:pt idx="188">
                  <c:v>42691</c:v>
                </c:pt>
                <c:pt idx="189">
                  <c:v>42692</c:v>
                </c:pt>
                <c:pt idx="190">
                  <c:v>42695</c:v>
                </c:pt>
                <c:pt idx="191">
                  <c:v>42696</c:v>
                </c:pt>
                <c:pt idx="192">
                  <c:v>42697</c:v>
                </c:pt>
                <c:pt idx="193">
                  <c:v>42699</c:v>
                </c:pt>
                <c:pt idx="194">
                  <c:v>42702</c:v>
                </c:pt>
                <c:pt idx="195">
                  <c:v>42703</c:v>
                </c:pt>
                <c:pt idx="196">
                  <c:v>42704</c:v>
                </c:pt>
                <c:pt idx="197">
                  <c:v>42705</c:v>
                </c:pt>
                <c:pt idx="198">
                  <c:v>42706</c:v>
                </c:pt>
                <c:pt idx="199">
                  <c:v>42709</c:v>
                </c:pt>
                <c:pt idx="200">
                  <c:v>42710</c:v>
                </c:pt>
                <c:pt idx="201">
                  <c:v>42711</c:v>
                </c:pt>
                <c:pt idx="202">
                  <c:v>42712</c:v>
                </c:pt>
                <c:pt idx="203">
                  <c:v>42713</c:v>
                </c:pt>
                <c:pt idx="204">
                  <c:v>42716</c:v>
                </c:pt>
                <c:pt idx="205">
                  <c:v>42717</c:v>
                </c:pt>
              </c:numCache>
            </c:numRef>
          </c:xVal>
          <c:yVal>
            <c:numRef>
              <c:f>'Detektor 2'!$R$6:$R$211</c:f>
              <c:numCache>
                <c:formatCode>0.00%</c:formatCode>
                <c:ptCount val="206"/>
                <c:pt idx="0">
                  <c:v>9.8030000000000006E-2</c:v>
                </c:pt>
                <c:pt idx="1">
                  <c:v>0.11952</c:v>
                </c:pt>
                <c:pt idx="2">
                  <c:v>0.11609</c:v>
                </c:pt>
                <c:pt idx="3">
                  <c:v>8.7730000000000002E-2</c:v>
                </c:pt>
                <c:pt idx="4">
                  <c:v>8.8080000000000006E-2</c:v>
                </c:pt>
                <c:pt idx="5">
                  <c:v>0.11401</c:v>
                </c:pt>
                <c:pt idx="6">
                  <c:v>0.10818999999999999</c:v>
                </c:pt>
                <c:pt idx="7">
                  <c:v>0.11612</c:v>
                </c:pt>
                <c:pt idx="8">
                  <c:v>0.10004</c:v>
                </c:pt>
                <c:pt idx="9">
                  <c:v>9.7129999999999994E-2</c:v>
                </c:pt>
                <c:pt idx="10">
                  <c:v>8.6980000000000002E-2</c:v>
                </c:pt>
                <c:pt idx="11">
                  <c:v>0.10102</c:v>
                </c:pt>
                <c:pt idx="12">
                  <c:v>0.10020999999999999</c:v>
                </c:pt>
                <c:pt idx="13">
                  <c:v>9.4689999999999996E-2</c:v>
                </c:pt>
                <c:pt idx="14">
                  <c:v>8.7779999999999997E-2</c:v>
                </c:pt>
                <c:pt idx="15">
                  <c:v>8.2419999999999993E-2</c:v>
                </c:pt>
                <c:pt idx="16">
                  <c:v>8.7900000000000006E-2</c:v>
                </c:pt>
                <c:pt idx="17">
                  <c:v>0.10199999999999999</c:v>
                </c:pt>
                <c:pt idx="18">
                  <c:v>0.1128</c:v>
                </c:pt>
                <c:pt idx="19">
                  <c:v>0.11441999999999999</c:v>
                </c:pt>
                <c:pt idx="20">
                  <c:v>0.10589</c:v>
                </c:pt>
                <c:pt idx="21">
                  <c:v>8.9590000000000003E-2</c:v>
                </c:pt>
                <c:pt idx="22">
                  <c:v>9.6369999999999997E-2</c:v>
                </c:pt>
                <c:pt idx="23">
                  <c:v>9.4380000000000006E-2</c:v>
                </c:pt>
                <c:pt idx="24">
                  <c:v>0.12060999999999999</c:v>
                </c:pt>
                <c:pt idx="25">
                  <c:v>9.1789999999999997E-2</c:v>
                </c:pt>
                <c:pt idx="26">
                  <c:v>9.3600000000000003E-2</c:v>
                </c:pt>
                <c:pt idx="27">
                  <c:v>9.4549999999999995E-2</c:v>
                </c:pt>
                <c:pt idx="28">
                  <c:v>8.3890000000000006E-2</c:v>
                </c:pt>
                <c:pt idx="29">
                  <c:v>0.10022</c:v>
                </c:pt>
                <c:pt idx="30">
                  <c:v>9.2600000000000002E-2</c:v>
                </c:pt>
                <c:pt idx="31">
                  <c:v>9.9760000000000001E-2</c:v>
                </c:pt>
                <c:pt idx="32">
                  <c:v>0.11344</c:v>
                </c:pt>
                <c:pt idx="33">
                  <c:v>0.12279</c:v>
                </c:pt>
                <c:pt idx="34">
                  <c:v>0.10785</c:v>
                </c:pt>
                <c:pt idx="35">
                  <c:v>9.0630000000000002E-2</c:v>
                </c:pt>
                <c:pt idx="36">
                  <c:v>9.5740000000000006E-2</c:v>
                </c:pt>
                <c:pt idx="37">
                  <c:v>9.9949999999999997E-2</c:v>
                </c:pt>
                <c:pt idx="38">
                  <c:v>9.5369999999999996E-2</c:v>
                </c:pt>
                <c:pt idx="39">
                  <c:v>0.11104</c:v>
                </c:pt>
                <c:pt idx="40">
                  <c:v>0.10236000000000001</c:v>
                </c:pt>
                <c:pt idx="41">
                  <c:v>9.0579999999999994E-2</c:v>
                </c:pt>
                <c:pt idx="42">
                  <c:v>0.10285999999999999</c:v>
                </c:pt>
                <c:pt idx="43">
                  <c:v>0.11074000000000001</c:v>
                </c:pt>
                <c:pt idx="44">
                  <c:v>9.1149999999999995E-2</c:v>
                </c:pt>
                <c:pt idx="45">
                  <c:v>0.11856999999999999</c:v>
                </c:pt>
                <c:pt idx="46">
                  <c:v>0.10677</c:v>
                </c:pt>
                <c:pt idx="47">
                  <c:v>9.0929999999999997E-2</c:v>
                </c:pt>
                <c:pt idx="48">
                  <c:v>8.7849999999999998E-2</c:v>
                </c:pt>
                <c:pt idx="49">
                  <c:v>0.11309</c:v>
                </c:pt>
                <c:pt idx="50">
                  <c:v>8.4760000000000002E-2</c:v>
                </c:pt>
                <c:pt idx="51">
                  <c:v>0.10606</c:v>
                </c:pt>
                <c:pt idx="52">
                  <c:v>9.443E-2</c:v>
                </c:pt>
                <c:pt idx="53">
                  <c:v>9.103E-2</c:v>
                </c:pt>
                <c:pt idx="54">
                  <c:v>9.8900000000000002E-2</c:v>
                </c:pt>
                <c:pt idx="55">
                  <c:v>8.9789999999999995E-2</c:v>
                </c:pt>
                <c:pt idx="56">
                  <c:v>0.10979</c:v>
                </c:pt>
                <c:pt idx="57">
                  <c:v>8.9109999999999995E-2</c:v>
                </c:pt>
                <c:pt idx="58">
                  <c:v>8.9569999999999997E-2</c:v>
                </c:pt>
                <c:pt idx="59">
                  <c:v>9.443E-2</c:v>
                </c:pt>
                <c:pt idx="60">
                  <c:v>9.8229999999999998E-2</c:v>
                </c:pt>
                <c:pt idx="61">
                  <c:v>0.12608</c:v>
                </c:pt>
                <c:pt idx="62">
                  <c:v>0.10904</c:v>
                </c:pt>
                <c:pt idx="63">
                  <c:v>0.10263</c:v>
                </c:pt>
                <c:pt idx="64">
                  <c:v>0.10596999999999999</c:v>
                </c:pt>
                <c:pt idx="65">
                  <c:v>8.8359999999999994E-2</c:v>
                </c:pt>
                <c:pt idx="66">
                  <c:v>8.1159999999999996E-2</c:v>
                </c:pt>
                <c:pt idx="67">
                  <c:v>9.0319999999999998E-2</c:v>
                </c:pt>
                <c:pt idx="68">
                  <c:v>8.7179999999999994E-2</c:v>
                </c:pt>
                <c:pt idx="69">
                  <c:v>7.7410000000000007E-2</c:v>
                </c:pt>
                <c:pt idx="70">
                  <c:v>8.1320000000000003E-2</c:v>
                </c:pt>
                <c:pt idx="71">
                  <c:v>0.11169999999999999</c:v>
                </c:pt>
                <c:pt idx="72">
                  <c:v>0.10793999999999999</c:v>
                </c:pt>
                <c:pt idx="73">
                  <c:v>9.2939999999999995E-2</c:v>
                </c:pt>
                <c:pt idx="74">
                  <c:v>9.017E-2</c:v>
                </c:pt>
                <c:pt idx="75">
                  <c:v>0.10611</c:v>
                </c:pt>
                <c:pt idx="76">
                  <c:v>9.9640000000000006E-2</c:v>
                </c:pt>
                <c:pt idx="77">
                  <c:v>8.3030000000000007E-2</c:v>
                </c:pt>
                <c:pt idx="78">
                  <c:v>9.0509999999999993E-2</c:v>
                </c:pt>
                <c:pt idx="79">
                  <c:v>0.10738</c:v>
                </c:pt>
                <c:pt idx="80">
                  <c:v>8.3070000000000005E-2</c:v>
                </c:pt>
                <c:pt idx="81">
                  <c:v>9.6619999999999998E-2</c:v>
                </c:pt>
                <c:pt idx="82">
                  <c:v>8.362E-2</c:v>
                </c:pt>
                <c:pt idx="83">
                  <c:v>0.10235</c:v>
                </c:pt>
                <c:pt idx="84">
                  <c:v>9.2280000000000001E-2</c:v>
                </c:pt>
                <c:pt idx="85">
                  <c:v>0.10125000000000001</c:v>
                </c:pt>
                <c:pt idx="86">
                  <c:v>0.10865</c:v>
                </c:pt>
                <c:pt idx="87">
                  <c:v>0.10193000000000001</c:v>
                </c:pt>
                <c:pt idx="88">
                  <c:v>9.9570000000000006E-2</c:v>
                </c:pt>
                <c:pt idx="89">
                  <c:v>8.9050000000000004E-2</c:v>
                </c:pt>
                <c:pt idx="90">
                  <c:v>8.4940000000000002E-2</c:v>
                </c:pt>
                <c:pt idx="91">
                  <c:v>8.4940000000000002E-2</c:v>
                </c:pt>
                <c:pt idx="92">
                  <c:v>9.8900000000000002E-2</c:v>
                </c:pt>
                <c:pt idx="93">
                  <c:v>0.11516</c:v>
                </c:pt>
                <c:pt idx="94">
                  <c:v>0.10347000000000001</c:v>
                </c:pt>
                <c:pt idx="95">
                  <c:v>8.7830000000000005E-2</c:v>
                </c:pt>
                <c:pt idx="96">
                  <c:v>9.7110000000000002E-2</c:v>
                </c:pt>
                <c:pt idx="97">
                  <c:v>8.7290000000000006E-2</c:v>
                </c:pt>
                <c:pt idx="98">
                  <c:v>8.9749999999999996E-2</c:v>
                </c:pt>
                <c:pt idx="99">
                  <c:v>9.3549999999999994E-2</c:v>
                </c:pt>
                <c:pt idx="100">
                  <c:v>9.7180000000000002E-2</c:v>
                </c:pt>
                <c:pt idx="101">
                  <c:v>8.5400000000000004E-2</c:v>
                </c:pt>
                <c:pt idx="102">
                  <c:v>8.7290000000000006E-2</c:v>
                </c:pt>
                <c:pt idx="103">
                  <c:v>0.10159</c:v>
                </c:pt>
                <c:pt idx="104">
                  <c:v>9.1130000000000003E-2</c:v>
                </c:pt>
                <c:pt idx="105">
                  <c:v>8.7609999999999993E-2</c:v>
                </c:pt>
                <c:pt idx="106">
                  <c:v>9.572E-2</c:v>
                </c:pt>
                <c:pt idx="107">
                  <c:v>9.3170000000000003E-2</c:v>
                </c:pt>
                <c:pt idx="108">
                  <c:v>9.7600000000000006E-2</c:v>
                </c:pt>
                <c:pt idx="109">
                  <c:v>9.2520000000000005E-2</c:v>
                </c:pt>
                <c:pt idx="110">
                  <c:v>9.393E-2</c:v>
                </c:pt>
                <c:pt idx="111">
                  <c:v>9.6299999999999997E-2</c:v>
                </c:pt>
                <c:pt idx="112">
                  <c:v>9.6250000000000002E-2</c:v>
                </c:pt>
                <c:pt idx="113">
                  <c:v>9.307E-2</c:v>
                </c:pt>
                <c:pt idx="114">
                  <c:v>9.6619999999999998E-2</c:v>
                </c:pt>
                <c:pt idx="115">
                  <c:v>0.12139999999999999</c:v>
                </c:pt>
                <c:pt idx="116">
                  <c:v>9.2749999999999999E-2</c:v>
                </c:pt>
                <c:pt idx="117">
                  <c:v>0.11094999999999999</c:v>
                </c:pt>
                <c:pt idx="118">
                  <c:v>0.1055</c:v>
                </c:pt>
                <c:pt idx="119">
                  <c:v>9.0759999999999993E-2</c:v>
                </c:pt>
                <c:pt idx="120">
                  <c:v>0.10589999999999999</c:v>
                </c:pt>
                <c:pt idx="121">
                  <c:v>9.078E-2</c:v>
                </c:pt>
                <c:pt idx="122">
                  <c:v>7.8950000000000006E-2</c:v>
                </c:pt>
                <c:pt idx="123">
                  <c:v>8.0519999999999994E-2</c:v>
                </c:pt>
                <c:pt idx="124">
                  <c:v>8.5930000000000006E-2</c:v>
                </c:pt>
                <c:pt idx="125">
                  <c:v>8.3400000000000002E-2</c:v>
                </c:pt>
                <c:pt idx="126">
                  <c:v>8.7470000000000006E-2</c:v>
                </c:pt>
                <c:pt idx="127">
                  <c:v>8.7050000000000002E-2</c:v>
                </c:pt>
                <c:pt idx="128">
                  <c:v>0.10832</c:v>
                </c:pt>
                <c:pt idx="129">
                  <c:v>8.5919999999999996E-2</c:v>
                </c:pt>
                <c:pt idx="130">
                  <c:v>9.6500000000000002E-2</c:v>
                </c:pt>
                <c:pt idx="131">
                  <c:v>9.962E-2</c:v>
                </c:pt>
                <c:pt idx="132">
                  <c:v>7.6439999999999994E-2</c:v>
                </c:pt>
                <c:pt idx="133">
                  <c:v>9.4299999999999995E-2</c:v>
                </c:pt>
                <c:pt idx="134">
                  <c:v>9.6809999999999993E-2</c:v>
                </c:pt>
                <c:pt idx="135">
                  <c:v>8.2479999999999998E-2</c:v>
                </c:pt>
                <c:pt idx="136">
                  <c:v>9.8470000000000002E-2</c:v>
                </c:pt>
                <c:pt idx="137">
                  <c:v>9.9390000000000006E-2</c:v>
                </c:pt>
                <c:pt idx="138">
                  <c:v>9.9080000000000001E-2</c:v>
                </c:pt>
                <c:pt idx="139">
                  <c:v>9.2689999999999995E-2</c:v>
                </c:pt>
                <c:pt idx="140">
                  <c:v>8.3159999999999998E-2</c:v>
                </c:pt>
                <c:pt idx="141">
                  <c:v>8.7230000000000002E-2</c:v>
                </c:pt>
                <c:pt idx="142">
                  <c:v>9.4070000000000001E-2</c:v>
                </c:pt>
                <c:pt idx="143">
                  <c:v>9.2869999999999994E-2</c:v>
                </c:pt>
                <c:pt idx="144">
                  <c:v>0.10517</c:v>
                </c:pt>
                <c:pt idx="145">
                  <c:v>8.9149999999999993E-2</c:v>
                </c:pt>
                <c:pt idx="146">
                  <c:v>0.10244</c:v>
                </c:pt>
                <c:pt idx="147">
                  <c:v>0.10244</c:v>
                </c:pt>
                <c:pt idx="148">
                  <c:v>9.8519999999999996E-2</c:v>
                </c:pt>
                <c:pt idx="149">
                  <c:v>0.11468</c:v>
                </c:pt>
                <c:pt idx="150">
                  <c:v>8.3960000000000007E-2</c:v>
                </c:pt>
                <c:pt idx="151">
                  <c:v>7.8200000000000006E-2</c:v>
                </c:pt>
                <c:pt idx="152">
                  <c:v>8.4320000000000006E-2</c:v>
                </c:pt>
                <c:pt idx="153">
                  <c:v>9.1600000000000001E-2</c:v>
                </c:pt>
                <c:pt idx="154">
                  <c:v>9.1069999999999998E-2</c:v>
                </c:pt>
                <c:pt idx="155">
                  <c:v>9.1639999999999999E-2</c:v>
                </c:pt>
                <c:pt idx="156">
                  <c:v>8.1470000000000001E-2</c:v>
                </c:pt>
                <c:pt idx="157">
                  <c:v>9.0819999999999998E-2</c:v>
                </c:pt>
                <c:pt idx="158">
                  <c:v>0.10144</c:v>
                </c:pt>
                <c:pt idx="159">
                  <c:v>9.869E-2</c:v>
                </c:pt>
                <c:pt idx="160">
                  <c:v>9.1639999999999999E-2</c:v>
                </c:pt>
                <c:pt idx="161">
                  <c:v>8.0479999999999996E-2</c:v>
                </c:pt>
                <c:pt idx="162">
                  <c:v>8.9429999999999996E-2</c:v>
                </c:pt>
                <c:pt idx="163">
                  <c:v>9.2749999999999999E-2</c:v>
                </c:pt>
                <c:pt idx="164">
                  <c:v>9.0759999999999993E-2</c:v>
                </c:pt>
                <c:pt idx="165">
                  <c:v>8.5339999999999999E-2</c:v>
                </c:pt>
                <c:pt idx="166">
                  <c:v>9.2149999999999996E-2</c:v>
                </c:pt>
                <c:pt idx="167">
                  <c:v>8.6080000000000004E-2</c:v>
                </c:pt>
                <c:pt idx="168">
                  <c:v>9.0899999999999995E-2</c:v>
                </c:pt>
                <c:pt idx="169">
                  <c:v>7.1720000000000006E-2</c:v>
                </c:pt>
                <c:pt idx="170">
                  <c:v>9.4009999999999996E-2</c:v>
                </c:pt>
                <c:pt idx="171">
                  <c:v>8.8859999999999995E-2</c:v>
                </c:pt>
                <c:pt idx="172">
                  <c:v>9.103E-2</c:v>
                </c:pt>
                <c:pt idx="173">
                  <c:v>8.4070000000000006E-2</c:v>
                </c:pt>
                <c:pt idx="174">
                  <c:v>9.4549999999999995E-2</c:v>
                </c:pt>
                <c:pt idx="175">
                  <c:v>9.1899999999999996E-2</c:v>
                </c:pt>
                <c:pt idx="176">
                  <c:v>9.5729999999999996E-2</c:v>
                </c:pt>
                <c:pt idx="177">
                  <c:v>9.2020000000000005E-2</c:v>
                </c:pt>
                <c:pt idx="178">
                  <c:v>9.5399999999999999E-2</c:v>
                </c:pt>
                <c:pt idx="179">
                  <c:v>8.1180000000000002E-2</c:v>
                </c:pt>
                <c:pt idx="180">
                  <c:v>7.7929999999999999E-2</c:v>
                </c:pt>
                <c:pt idx="181">
                  <c:v>8.3979999999999999E-2</c:v>
                </c:pt>
                <c:pt idx="182">
                  <c:v>9.2329999999999995E-2</c:v>
                </c:pt>
                <c:pt idx="183">
                  <c:v>9.6259999999999998E-2</c:v>
                </c:pt>
                <c:pt idx="184">
                  <c:v>7.7700000000000005E-2</c:v>
                </c:pt>
                <c:pt idx="185">
                  <c:v>7.7880000000000005E-2</c:v>
                </c:pt>
                <c:pt idx="186">
                  <c:v>8.2669999999999993E-2</c:v>
                </c:pt>
                <c:pt idx="187">
                  <c:v>8.3589999999999998E-2</c:v>
                </c:pt>
                <c:pt idx="188">
                  <c:v>7.6700000000000004E-2</c:v>
                </c:pt>
                <c:pt idx="189">
                  <c:v>9.1520000000000004E-2</c:v>
                </c:pt>
                <c:pt idx="190">
                  <c:v>9.2050000000000007E-2</c:v>
                </c:pt>
                <c:pt idx="191">
                  <c:v>9.4649999999999998E-2</c:v>
                </c:pt>
                <c:pt idx="192">
                  <c:v>7.5090000000000004E-2</c:v>
                </c:pt>
                <c:pt idx="193">
                  <c:v>8.4889999999999993E-2</c:v>
                </c:pt>
                <c:pt idx="194">
                  <c:v>0.10485999999999999</c:v>
                </c:pt>
                <c:pt idx="195">
                  <c:v>8.0810000000000007E-2</c:v>
                </c:pt>
                <c:pt idx="196">
                  <c:v>8.0420000000000005E-2</c:v>
                </c:pt>
                <c:pt idx="197">
                  <c:v>7.8320000000000001E-2</c:v>
                </c:pt>
                <c:pt idx="198">
                  <c:v>8.4559999999999996E-2</c:v>
                </c:pt>
                <c:pt idx="199">
                  <c:v>8.0649999999999999E-2</c:v>
                </c:pt>
                <c:pt idx="200">
                  <c:v>9.3390000000000001E-2</c:v>
                </c:pt>
                <c:pt idx="201">
                  <c:v>8.7050000000000002E-2</c:v>
                </c:pt>
                <c:pt idx="202">
                  <c:v>9.6280000000000004E-2</c:v>
                </c:pt>
                <c:pt idx="203">
                  <c:v>9.0609999999999996E-2</c:v>
                </c:pt>
                <c:pt idx="204">
                  <c:v>9.5380000000000006E-2</c:v>
                </c:pt>
                <c:pt idx="205">
                  <c:v>7.5800000000000006E-2</c:v>
                </c:pt>
              </c:numCache>
            </c:numRef>
          </c:yVal>
          <c:smooth val="0"/>
        </c:ser>
        <c:ser>
          <c:idx val="1"/>
          <c:order val="2"/>
          <c:tx>
            <c:v>Åtgärdsnivå</c:v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Övrigt!$G$18:$G$19</c:f>
              <c:numCache>
                <c:formatCode>m/d/yyyy</c:formatCode>
                <c:ptCount val="2"/>
                <c:pt idx="0">
                  <c:v>42383</c:v>
                </c:pt>
                <c:pt idx="1">
                  <c:v>42717</c:v>
                </c:pt>
              </c:numCache>
            </c:numRef>
          </c:xVal>
          <c:yVal>
            <c:numRef>
              <c:f>Övrigt!$H$18:$H$19</c:f>
              <c:numCache>
                <c:formatCode>General</c:formatCode>
                <c:ptCount val="2"/>
                <c:pt idx="0">
                  <c:v>0.13</c:v>
                </c:pt>
                <c:pt idx="1">
                  <c:v>0.13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372544"/>
        <c:axId val="91386624"/>
      </c:scatterChart>
      <c:valAx>
        <c:axId val="91372544"/>
        <c:scaling>
          <c:orientation val="minMax"/>
          <c:min val="42400"/>
        </c:scaling>
        <c:delete val="0"/>
        <c:axPos val="b"/>
        <c:numFmt formatCode="[$-41D]mmm/yy;@" sourceLinked="0"/>
        <c:majorTickMark val="out"/>
        <c:minorTickMark val="none"/>
        <c:tickLblPos val="nextTo"/>
        <c:txPr>
          <a:bodyPr rot="-1860000"/>
          <a:lstStyle/>
          <a:p>
            <a:pPr>
              <a:defRPr/>
            </a:pPr>
            <a:endParaRPr lang="sv-SE"/>
          </a:p>
        </c:txPr>
        <c:crossAx val="91386624"/>
        <c:crosses val="autoZero"/>
        <c:crossBetween val="midCat"/>
      </c:valAx>
      <c:valAx>
        <c:axId val="91386624"/>
        <c:scaling>
          <c:orientation val="minMax"/>
          <c:max val="0.15000000000000002"/>
        </c:scaling>
        <c:delete val="0"/>
        <c:axPos val="l"/>
        <c:numFmt formatCode="0.0%" sourceLinked="0"/>
        <c:majorTickMark val="out"/>
        <c:minorTickMark val="none"/>
        <c:tickLblPos val="nextTo"/>
        <c:crossAx val="913725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sv-SE">
                <a:latin typeface="Courier New" panose="02070309020205020404" pitchFamily="49" charset="0"/>
                <a:cs typeface="Courier New" panose="02070309020205020404" pitchFamily="49" charset="0"/>
              </a:rPr>
              <a:t>Känslighet (cps/MBq)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Detektor 1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w="19050">
                <a:solidFill>
                  <a:schemeClr val="tx1"/>
                </a:solidFill>
              </a:ln>
            </c:spPr>
          </c:marker>
          <c:trendline>
            <c:name>Detektor 2 (Veckotrend)</c:name>
            <c:spPr>
              <a:ln w="50800">
                <a:solidFill>
                  <a:schemeClr val="accent1"/>
                </a:solidFill>
              </a:ln>
            </c:spPr>
            <c:trendlineType val="movingAvg"/>
            <c:period val="5"/>
            <c:dispRSqr val="0"/>
            <c:dispEq val="0"/>
          </c:trendline>
          <c:xVal>
            <c:numRef>
              <c:f>'Detektor 1'!$C$6:$C$211</c:f>
              <c:numCache>
                <c:formatCode>m/d/yyyy</c:formatCode>
                <c:ptCount val="206"/>
                <c:pt idx="0">
                  <c:v>42383</c:v>
                </c:pt>
                <c:pt idx="1">
                  <c:v>42387</c:v>
                </c:pt>
                <c:pt idx="2">
                  <c:v>42388</c:v>
                </c:pt>
                <c:pt idx="3">
                  <c:v>42389</c:v>
                </c:pt>
                <c:pt idx="4">
                  <c:v>42390</c:v>
                </c:pt>
                <c:pt idx="5">
                  <c:v>42391</c:v>
                </c:pt>
                <c:pt idx="6">
                  <c:v>42394</c:v>
                </c:pt>
                <c:pt idx="7">
                  <c:v>42395</c:v>
                </c:pt>
                <c:pt idx="8">
                  <c:v>42396</c:v>
                </c:pt>
                <c:pt idx="9">
                  <c:v>42397</c:v>
                </c:pt>
                <c:pt idx="10">
                  <c:v>42398</c:v>
                </c:pt>
                <c:pt idx="11">
                  <c:v>42401</c:v>
                </c:pt>
                <c:pt idx="12">
                  <c:v>42402</c:v>
                </c:pt>
                <c:pt idx="13">
                  <c:v>42403</c:v>
                </c:pt>
                <c:pt idx="14">
                  <c:v>42404</c:v>
                </c:pt>
                <c:pt idx="15">
                  <c:v>42408</c:v>
                </c:pt>
                <c:pt idx="16">
                  <c:v>42409</c:v>
                </c:pt>
                <c:pt idx="17">
                  <c:v>42410</c:v>
                </c:pt>
                <c:pt idx="18">
                  <c:v>42411</c:v>
                </c:pt>
                <c:pt idx="19">
                  <c:v>42412</c:v>
                </c:pt>
                <c:pt idx="20">
                  <c:v>42415</c:v>
                </c:pt>
                <c:pt idx="21">
                  <c:v>42418</c:v>
                </c:pt>
                <c:pt idx="22">
                  <c:v>42419</c:v>
                </c:pt>
                <c:pt idx="23">
                  <c:v>42422</c:v>
                </c:pt>
                <c:pt idx="24">
                  <c:v>42423</c:v>
                </c:pt>
                <c:pt idx="25">
                  <c:v>42424</c:v>
                </c:pt>
                <c:pt idx="26">
                  <c:v>42425</c:v>
                </c:pt>
                <c:pt idx="27">
                  <c:v>42426</c:v>
                </c:pt>
                <c:pt idx="28">
                  <c:v>42429</c:v>
                </c:pt>
                <c:pt idx="29">
                  <c:v>42431</c:v>
                </c:pt>
                <c:pt idx="30">
                  <c:v>42432</c:v>
                </c:pt>
                <c:pt idx="31">
                  <c:v>42436</c:v>
                </c:pt>
                <c:pt idx="32">
                  <c:v>42437</c:v>
                </c:pt>
                <c:pt idx="33">
                  <c:v>42438</c:v>
                </c:pt>
                <c:pt idx="34">
                  <c:v>42439</c:v>
                </c:pt>
                <c:pt idx="35">
                  <c:v>42440</c:v>
                </c:pt>
                <c:pt idx="36">
                  <c:v>42443</c:v>
                </c:pt>
                <c:pt idx="37">
                  <c:v>42444</c:v>
                </c:pt>
                <c:pt idx="38">
                  <c:v>42445</c:v>
                </c:pt>
                <c:pt idx="39">
                  <c:v>42446</c:v>
                </c:pt>
                <c:pt idx="40">
                  <c:v>42447</c:v>
                </c:pt>
                <c:pt idx="41">
                  <c:v>42450</c:v>
                </c:pt>
                <c:pt idx="42">
                  <c:v>42451</c:v>
                </c:pt>
                <c:pt idx="43">
                  <c:v>42452</c:v>
                </c:pt>
                <c:pt idx="44">
                  <c:v>42453</c:v>
                </c:pt>
                <c:pt idx="45">
                  <c:v>42458</c:v>
                </c:pt>
                <c:pt idx="46">
                  <c:v>42459</c:v>
                </c:pt>
                <c:pt idx="47">
                  <c:v>42460</c:v>
                </c:pt>
                <c:pt idx="48">
                  <c:v>42461</c:v>
                </c:pt>
                <c:pt idx="49">
                  <c:v>42464</c:v>
                </c:pt>
                <c:pt idx="50">
                  <c:v>42465</c:v>
                </c:pt>
                <c:pt idx="51">
                  <c:v>42466</c:v>
                </c:pt>
                <c:pt idx="52">
                  <c:v>42467</c:v>
                </c:pt>
                <c:pt idx="53">
                  <c:v>42468</c:v>
                </c:pt>
                <c:pt idx="54">
                  <c:v>42471</c:v>
                </c:pt>
                <c:pt idx="55">
                  <c:v>42472</c:v>
                </c:pt>
                <c:pt idx="56">
                  <c:v>42473</c:v>
                </c:pt>
                <c:pt idx="57">
                  <c:v>42474</c:v>
                </c:pt>
                <c:pt idx="58">
                  <c:v>42475</c:v>
                </c:pt>
                <c:pt idx="59">
                  <c:v>42478</c:v>
                </c:pt>
                <c:pt idx="60">
                  <c:v>42479</c:v>
                </c:pt>
                <c:pt idx="61">
                  <c:v>42480</c:v>
                </c:pt>
                <c:pt idx="62">
                  <c:v>42481</c:v>
                </c:pt>
                <c:pt idx="63">
                  <c:v>42482</c:v>
                </c:pt>
                <c:pt idx="64">
                  <c:v>42486</c:v>
                </c:pt>
                <c:pt idx="65">
                  <c:v>42486</c:v>
                </c:pt>
                <c:pt idx="66">
                  <c:v>42487</c:v>
                </c:pt>
                <c:pt idx="67">
                  <c:v>42488</c:v>
                </c:pt>
                <c:pt idx="68">
                  <c:v>42489</c:v>
                </c:pt>
                <c:pt idx="69">
                  <c:v>42492</c:v>
                </c:pt>
                <c:pt idx="70">
                  <c:v>42494</c:v>
                </c:pt>
                <c:pt idx="71">
                  <c:v>42493</c:v>
                </c:pt>
                <c:pt idx="72">
                  <c:v>42496</c:v>
                </c:pt>
                <c:pt idx="73">
                  <c:v>42499</c:v>
                </c:pt>
                <c:pt idx="74">
                  <c:v>42500</c:v>
                </c:pt>
                <c:pt idx="75">
                  <c:v>42501</c:v>
                </c:pt>
                <c:pt idx="76">
                  <c:v>42502</c:v>
                </c:pt>
                <c:pt idx="77">
                  <c:v>42503</c:v>
                </c:pt>
                <c:pt idx="78">
                  <c:v>42506</c:v>
                </c:pt>
                <c:pt idx="79">
                  <c:v>42507</c:v>
                </c:pt>
                <c:pt idx="80">
                  <c:v>42508</c:v>
                </c:pt>
                <c:pt idx="81">
                  <c:v>42509</c:v>
                </c:pt>
                <c:pt idx="82">
                  <c:v>42513</c:v>
                </c:pt>
                <c:pt idx="83">
                  <c:v>42514</c:v>
                </c:pt>
                <c:pt idx="84">
                  <c:v>42515</c:v>
                </c:pt>
                <c:pt idx="85">
                  <c:v>42516</c:v>
                </c:pt>
                <c:pt idx="86">
                  <c:v>42517</c:v>
                </c:pt>
                <c:pt idx="87">
                  <c:v>42520</c:v>
                </c:pt>
                <c:pt idx="88">
                  <c:v>42521</c:v>
                </c:pt>
                <c:pt idx="89">
                  <c:v>42522</c:v>
                </c:pt>
                <c:pt idx="90">
                  <c:v>42523</c:v>
                </c:pt>
                <c:pt idx="91">
                  <c:v>42524</c:v>
                </c:pt>
                <c:pt idx="92">
                  <c:v>42528</c:v>
                </c:pt>
                <c:pt idx="93">
                  <c:v>42529</c:v>
                </c:pt>
                <c:pt idx="94">
                  <c:v>42530</c:v>
                </c:pt>
                <c:pt idx="95">
                  <c:v>42531</c:v>
                </c:pt>
                <c:pt idx="96">
                  <c:v>42534</c:v>
                </c:pt>
                <c:pt idx="97">
                  <c:v>42535</c:v>
                </c:pt>
                <c:pt idx="98">
                  <c:v>42536</c:v>
                </c:pt>
                <c:pt idx="99">
                  <c:v>42537</c:v>
                </c:pt>
                <c:pt idx="100">
                  <c:v>42538</c:v>
                </c:pt>
                <c:pt idx="101">
                  <c:v>42541</c:v>
                </c:pt>
                <c:pt idx="102">
                  <c:v>42542</c:v>
                </c:pt>
                <c:pt idx="103">
                  <c:v>42543</c:v>
                </c:pt>
                <c:pt idx="104">
                  <c:v>42544</c:v>
                </c:pt>
                <c:pt idx="105">
                  <c:v>42549</c:v>
                </c:pt>
                <c:pt idx="106">
                  <c:v>42550</c:v>
                </c:pt>
                <c:pt idx="107">
                  <c:v>42551</c:v>
                </c:pt>
                <c:pt idx="108">
                  <c:v>42552</c:v>
                </c:pt>
                <c:pt idx="109">
                  <c:v>42555</c:v>
                </c:pt>
                <c:pt idx="110">
                  <c:v>42557</c:v>
                </c:pt>
                <c:pt idx="111">
                  <c:v>42558</c:v>
                </c:pt>
                <c:pt idx="112">
                  <c:v>42559</c:v>
                </c:pt>
                <c:pt idx="113">
                  <c:v>42562</c:v>
                </c:pt>
                <c:pt idx="114">
                  <c:v>42563</c:v>
                </c:pt>
                <c:pt idx="115">
                  <c:v>42564</c:v>
                </c:pt>
                <c:pt idx="116">
                  <c:v>42565</c:v>
                </c:pt>
                <c:pt idx="117">
                  <c:v>42566</c:v>
                </c:pt>
                <c:pt idx="118">
                  <c:v>42571</c:v>
                </c:pt>
                <c:pt idx="119">
                  <c:v>42576</c:v>
                </c:pt>
                <c:pt idx="120">
                  <c:v>42578</c:v>
                </c:pt>
                <c:pt idx="121">
                  <c:v>42580</c:v>
                </c:pt>
                <c:pt idx="122">
                  <c:v>42584</c:v>
                </c:pt>
                <c:pt idx="123">
                  <c:v>42585</c:v>
                </c:pt>
                <c:pt idx="124">
                  <c:v>42590</c:v>
                </c:pt>
                <c:pt idx="125">
                  <c:v>42591</c:v>
                </c:pt>
                <c:pt idx="126">
                  <c:v>42592</c:v>
                </c:pt>
                <c:pt idx="127">
                  <c:v>42598</c:v>
                </c:pt>
                <c:pt idx="128">
                  <c:v>42599</c:v>
                </c:pt>
                <c:pt idx="129">
                  <c:v>42600</c:v>
                </c:pt>
                <c:pt idx="130">
                  <c:v>42601</c:v>
                </c:pt>
                <c:pt idx="131">
                  <c:v>42604</c:v>
                </c:pt>
                <c:pt idx="132">
                  <c:v>42606</c:v>
                </c:pt>
                <c:pt idx="133">
                  <c:v>42607</c:v>
                </c:pt>
                <c:pt idx="134">
                  <c:v>42608</c:v>
                </c:pt>
                <c:pt idx="135">
                  <c:v>42611</c:v>
                </c:pt>
                <c:pt idx="136">
                  <c:v>42612</c:v>
                </c:pt>
                <c:pt idx="137">
                  <c:v>42613</c:v>
                </c:pt>
                <c:pt idx="138">
                  <c:v>42614</c:v>
                </c:pt>
                <c:pt idx="139">
                  <c:v>42615</c:v>
                </c:pt>
                <c:pt idx="140">
                  <c:v>42618</c:v>
                </c:pt>
                <c:pt idx="141">
                  <c:v>42619</c:v>
                </c:pt>
                <c:pt idx="142">
                  <c:v>42620</c:v>
                </c:pt>
                <c:pt idx="143">
                  <c:v>42621</c:v>
                </c:pt>
                <c:pt idx="144">
                  <c:v>42622</c:v>
                </c:pt>
                <c:pt idx="145">
                  <c:v>42625</c:v>
                </c:pt>
                <c:pt idx="146">
                  <c:v>42626</c:v>
                </c:pt>
                <c:pt idx="147">
                  <c:v>42626</c:v>
                </c:pt>
                <c:pt idx="148">
                  <c:v>42627</c:v>
                </c:pt>
                <c:pt idx="149">
                  <c:v>42628</c:v>
                </c:pt>
                <c:pt idx="150">
                  <c:v>42629</c:v>
                </c:pt>
                <c:pt idx="151">
                  <c:v>42636</c:v>
                </c:pt>
                <c:pt idx="152">
                  <c:v>42639</c:v>
                </c:pt>
                <c:pt idx="153">
                  <c:v>42640</c:v>
                </c:pt>
                <c:pt idx="154">
                  <c:v>42641</c:v>
                </c:pt>
                <c:pt idx="155">
                  <c:v>42642</c:v>
                </c:pt>
                <c:pt idx="156">
                  <c:v>42643</c:v>
                </c:pt>
                <c:pt idx="157">
                  <c:v>42647</c:v>
                </c:pt>
                <c:pt idx="158">
                  <c:v>42648</c:v>
                </c:pt>
                <c:pt idx="159">
                  <c:v>42649</c:v>
                </c:pt>
                <c:pt idx="160">
                  <c:v>42650</c:v>
                </c:pt>
                <c:pt idx="161">
                  <c:v>42653</c:v>
                </c:pt>
                <c:pt idx="162">
                  <c:v>42654</c:v>
                </c:pt>
                <c:pt idx="163">
                  <c:v>42655</c:v>
                </c:pt>
                <c:pt idx="164">
                  <c:v>42656</c:v>
                </c:pt>
                <c:pt idx="165">
                  <c:v>42657</c:v>
                </c:pt>
                <c:pt idx="166">
                  <c:v>42660</c:v>
                </c:pt>
                <c:pt idx="167">
                  <c:v>42662</c:v>
                </c:pt>
                <c:pt idx="168">
                  <c:v>42663</c:v>
                </c:pt>
                <c:pt idx="169">
                  <c:v>42664</c:v>
                </c:pt>
                <c:pt idx="170">
                  <c:v>42667</c:v>
                </c:pt>
                <c:pt idx="171">
                  <c:v>42668</c:v>
                </c:pt>
                <c:pt idx="172">
                  <c:v>42669</c:v>
                </c:pt>
                <c:pt idx="173">
                  <c:v>42670</c:v>
                </c:pt>
                <c:pt idx="174">
                  <c:v>42671</c:v>
                </c:pt>
                <c:pt idx="175">
                  <c:v>42674</c:v>
                </c:pt>
                <c:pt idx="176">
                  <c:v>42675</c:v>
                </c:pt>
                <c:pt idx="177">
                  <c:v>42676</c:v>
                </c:pt>
                <c:pt idx="178">
                  <c:v>42677</c:v>
                </c:pt>
                <c:pt idx="179">
                  <c:v>42678</c:v>
                </c:pt>
                <c:pt idx="180">
                  <c:v>42681</c:v>
                </c:pt>
                <c:pt idx="181">
                  <c:v>42682</c:v>
                </c:pt>
                <c:pt idx="182">
                  <c:v>42683</c:v>
                </c:pt>
                <c:pt idx="183">
                  <c:v>42684</c:v>
                </c:pt>
                <c:pt idx="184">
                  <c:v>42685</c:v>
                </c:pt>
                <c:pt idx="185">
                  <c:v>42688</c:v>
                </c:pt>
                <c:pt idx="186">
                  <c:v>42689</c:v>
                </c:pt>
                <c:pt idx="187">
                  <c:v>42690</c:v>
                </c:pt>
                <c:pt idx="188">
                  <c:v>42691</c:v>
                </c:pt>
                <c:pt idx="189">
                  <c:v>42692</c:v>
                </c:pt>
                <c:pt idx="190">
                  <c:v>42695</c:v>
                </c:pt>
                <c:pt idx="191">
                  <c:v>42696</c:v>
                </c:pt>
                <c:pt idx="192">
                  <c:v>42697</c:v>
                </c:pt>
                <c:pt idx="193">
                  <c:v>42699</c:v>
                </c:pt>
                <c:pt idx="194">
                  <c:v>42702</c:v>
                </c:pt>
                <c:pt idx="195">
                  <c:v>42703</c:v>
                </c:pt>
                <c:pt idx="196">
                  <c:v>42704</c:v>
                </c:pt>
                <c:pt idx="197">
                  <c:v>42705</c:v>
                </c:pt>
                <c:pt idx="198">
                  <c:v>42706</c:v>
                </c:pt>
                <c:pt idx="199">
                  <c:v>42709</c:v>
                </c:pt>
                <c:pt idx="200">
                  <c:v>42710</c:v>
                </c:pt>
                <c:pt idx="201">
                  <c:v>42711</c:v>
                </c:pt>
                <c:pt idx="202">
                  <c:v>42712</c:v>
                </c:pt>
                <c:pt idx="203">
                  <c:v>42713</c:v>
                </c:pt>
                <c:pt idx="204">
                  <c:v>42716</c:v>
                </c:pt>
                <c:pt idx="205">
                  <c:v>42717</c:v>
                </c:pt>
              </c:numCache>
            </c:numRef>
          </c:xVal>
          <c:yVal>
            <c:numRef>
              <c:f>'Detektor 1'!$AD$6:$AD$211</c:f>
              <c:numCache>
                <c:formatCode>0.0</c:formatCode>
                <c:ptCount val="206"/>
                <c:pt idx="0">
                  <c:v>55.561268728803739</c:v>
                </c:pt>
                <c:pt idx="1">
                  <c:v>54.973725882353115</c:v>
                </c:pt>
                <c:pt idx="2">
                  <c:v>55.979797366960028</c:v>
                </c:pt>
                <c:pt idx="3">
                  <c:v>55.830465317041394</c:v>
                </c:pt>
                <c:pt idx="4">
                  <c:v>55.973057969805424</c:v>
                </c:pt>
                <c:pt idx="5">
                  <c:v>55.825258254992868</c:v>
                </c:pt>
                <c:pt idx="6">
                  <c:v>54.833531881219599</c:v>
                </c:pt>
                <c:pt idx="7">
                  <c:v>56.107054178618682</c:v>
                </c:pt>
                <c:pt idx="8">
                  <c:v>55.961889897494316</c:v>
                </c:pt>
                <c:pt idx="9">
                  <c:v>56.104818212507588</c:v>
                </c:pt>
                <c:pt idx="10">
                  <c:v>56.248111570646984</c:v>
                </c:pt>
                <c:pt idx="11">
                  <c:v>55.263200273860136</c:v>
                </c:pt>
                <c:pt idx="12">
                  <c:v>56.248051029357782</c:v>
                </c:pt>
                <c:pt idx="13">
                  <c:v>56.106903591116193</c:v>
                </c:pt>
                <c:pt idx="14">
                  <c:v>56.250202275373979</c:v>
                </c:pt>
                <c:pt idx="15">
                  <c:v>55.701777821577465</c:v>
                </c:pt>
                <c:pt idx="16">
                  <c:v>56.402482220714795</c:v>
                </c:pt>
                <c:pt idx="17">
                  <c:v>56.265209772634925</c:v>
                </c:pt>
                <c:pt idx="18">
                  <c:v>56.408912775542809</c:v>
                </c:pt>
                <c:pt idx="19">
                  <c:v>56.552982800152542</c:v>
                </c:pt>
                <c:pt idx="20">
                  <c:v>55.604214963069708</c:v>
                </c:pt>
                <c:pt idx="21">
                  <c:v>56.580675372864675</c:v>
                </c:pt>
                <c:pt idx="22">
                  <c:v>56.448475869161889</c:v>
                </c:pt>
                <c:pt idx="23">
                  <c:v>55.793442141238671</c:v>
                </c:pt>
                <c:pt idx="24">
                  <c:v>56.750541307115256</c:v>
                </c:pt>
                <c:pt idx="25">
                  <c:v>56.620626451099632</c:v>
                </c:pt>
                <c:pt idx="26">
                  <c:v>56.492327404447849</c:v>
                </c:pt>
                <c:pt idx="27">
                  <c:v>56.910217286353245</c:v>
                </c:pt>
                <c:pt idx="28">
                  <c:v>55.994850416400801</c:v>
                </c:pt>
                <c:pt idx="29">
                  <c:v>56.817252484722871</c:v>
                </c:pt>
                <c:pt idx="30">
                  <c:v>56.962365420976461</c:v>
                </c:pt>
                <c:pt idx="31">
                  <c:v>56.208241408912457</c:v>
                </c:pt>
                <c:pt idx="32">
                  <c:v>57.149230029634126</c:v>
                </c:pt>
                <c:pt idx="33">
                  <c:v>57.026199339994228</c:v>
                </c:pt>
                <c:pt idx="34">
                  <c:v>57.171845932670166</c:v>
                </c:pt>
                <c:pt idx="35">
                  <c:v>57.05002402266414</c:v>
                </c:pt>
                <c:pt idx="36">
                  <c:v>56.433433194271281</c:v>
                </c:pt>
                <c:pt idx="37">
                  <c:v>57.101432195167</c:v>
                </c:pt>
                <c:pt idx="38">
                  <c:v>56.983458626315681</c:v>
                </c:pt>
                <c:pt idx="39">
                  <c:v>57.393482150810947</c:v>
                </c:pt>
                <c:pt idx="40">
                  <c:v>57.274919515194007</c:v>
                </c:pt>
                <c:pt idx="41">
                  <c:v>56.414987846398994</c:v>
                </c:pt>
                <c:pt idx="42">
                  <c:v>57.333855214136676</c:v>
                </c:pt>
                <c:pt idx="43">
                  <c:v>57.219013534571964</c:v>
                </c:pt>
                <c:pt idx="44">
                  <c:v>57.10558175422414</c:v>
                </c:pt>
                <c:pt idx="45">
                  <c:v>56.558948778022305</c:v>
                </c:pt>
                <c:pt idx="46">
                  <c:v>56.955417118996841</c:v>
                </c:pt>
                <c:pt idx="47">
                  <c:v>57.355797587741172</c:v>
                </c:pt>
                <c:pt idx="48">
                  <c:v>57.24672026856468</c:v>
                </c:pt>
                <c:pt idx="49">
                  <c:v>56.432417207916721</c:v>
                </c:pt>
                <c:pt idx="50">
                  <c:v>57.324254936625422</c:v>
                </c:pt>
                <c:pt idx="51">
                  <c:v>57.470662772073624</c:v>
                </c:pt>
                <c:pt idx="52">
                  <c:v>57.364736447369118</c:v>
                </c:pt>
                <c:pt idx="53">
                  <c:v>57.511247673788063</c:v>
                </c:pt>
                <c:pt idx="54">
                  <c:v>56.467055205239923</c:v>
                </c:pt>
                <c:pt idx="55">
                  <c:v>57.595817618237582</c:v>
                </c:pt>
                <c:pt idx="56">
                  <c:v>57.492949686310595</c:v>
                </c:pt>
                <c:pt idx="57">
                  <c:v>57.14502624115989</c:v>
                </c:pt>
                <c:pt idx="58">
                  <c:v>57.78700209025623</c:v>
                </c:pt>
                <c:pt idx="59">
                  <c:v>56.756702937968377</c:v>
                </c:pt>
                <c:pt idx="60">
                  <c:v>57.631169706189752</c:v>
                </c:pt>
                <c:pt idx="61">
                  <c:v>57.532496043292454</c:v>
                </c:pt>
                <c:pt idx="62">
                  <c:v>57.679435732660295</c:v>
                </c:pt>
                <c:pt idx="63">
                  <c:v>57.826750710322536</c:v>
                </c:pt>
                <c:pt idx="64">
                  <c:v>57.442045761488643</c:v>
                </c:pt>
                <c:pt idx="65">
                  <c:v>57.442060121996491</c:v>
                </c:pt>
                <c:pt idx="66">
                  <c:v>57.588754438172778</c:v>
                </c:pt>
                <c:pt idx="67">
                  <c:v>57.735837813138097</c:v>
                </c:pt>
                <c:pt idx="68">
                  <c:v>57.883296843375064</c:v>
                </c:pt>
                <c:pt idx="69">
                  <c:v>56.899498187283903</c:v>
                </c:pt>
                <c:pt idx="70">
                  <c:v>57.899488665489564</c:v>
                </c:pt>
                <c:pt idx="71">
                  <c:v>57.751988386213313</c:v>
                </c:pt>
                <c:pt idx="72">
                  <c:v>57.017571351502987</c:v>
                </c:pt>
                <c:pt idx="73">
                  <c:v>56.766095018147418</c:v>
                </c:pt>
                <c:pt idx="74">
                  <c:v>58.072527853800672</c:v>
                </c:pt>
                <c:pt idx="75">
                  <c:v>58.220846800317815</c:v>
                </c:pt>
                <c:pt idx="76">
                  <c:v>57.896916666636507</c:v>
                </c:pt>
                <c:pt idx="77">
                  <c:v>58.044787097009461</c:v>
                </c:pt>
                <c:pt idx="78">
                  <c:v>57.103537769342559</c:v>
                </c:pt>
                <c:pt idx="79">
                  <c:v>58.169050671972485</c:v>
                </c:pt>
                <c:pt idx="80">
                  <c:v>58.08434567604764</c:v>
                </c:pt>
                <c:pt idx="81">
                  <c:v>58.232694805630871</c:v>
                </c:pt>
                <c:pt idx="82">
                  <c:v>57.005707261339133</c:v>
                </c:pt>
                <c:pt idx="83">
                  <c:v>58.280773878631635</c:v>
                </c:pt>
                <c:pt idx="84">
                  <c:v>58.199586799142836</c:v>
                </c:pt>
                <c:pt idx="85">
                  <c:v>58.348230257948586</c:v>
                </c:pt>
                <c:pt idx="86">
                  <c:v>58.497253356526031</c:v>
                </c:pt>
                <c:pt idx="87">
                  <c:v>57.365666630822645</c:v>
                </c:pt>
                <c:pt idx="88">
                  <c:v>58.180926514736079</c:v>
                </c:pt>
                <c:pt idx="89">
                  <c:v>58.104311803758584</c:v>
                </c:pt>
                <c:pt idx="90">
                  <c:v>58.252711927420023</c:v>
                </c:pt>
                <c:pt idx="91">
                  <c:v>58.176869949870515</c:v>
                </c:pt>
                <c:pt idx="92">
                  <c:v>57.019059923004889</c:v>
                </c:pt>
                <c:pt idx="93">
                  <c:v>58.25146942743379</c:v>
                </c:pt>
                <c:pt idx="94">
                  <c:v>58.400245396000251</c:v>
                </c:pt>
                <c:pt idx="95">
                  <c:v>58.327623307382979</c:v>
                </c:pt>
                <c:pt idx="96">
                  <c:v>57.469550949526869</c:v>
                </c:pt>
                <c:pt idx="97">
                  <c:v>58.482740850839349</c:v>
                </c:pt>
                <c:pt idx="98">
                  <c:v>58.63210749343272</c:v>
                </c:pt>
                <c:pt idx="99">
                  <c:v>58.561698860198149</c:v>
                </c:pt>
                <c:pt idx="100">
                  <c:v>58.492195271470408</c:v>
                </c:pt>
                <c:pt idx="101">
                  <c:v>57.650823188389573</c:v>
                </c:pt>
                <c:pt idx="102">
                  <c:v>58.654332719715789</c:v>
                </c:pt>
                <c:pt idx="103">
                  <c:v>58.37175424819462</c:v>
                </c:pt>
                <c:pt idx="104">
                  <c:v>58.520837427736005</c:v>
                </c:pt>
                <c:pt idx="105">
                  <c:v>58.625380790200246</c:v>
                </c:pt>
                <c:pt idx="106">
                  <c:v>58.562158435996224</c:v>
                </c:pt>
                <c:pt idx="107">
                  <c:v>58.711727913441116</c:v>
                </c:pt>
                <c:pt idx="108">
                  <c:v>58.43821407634281</c:v>
                </c:pt>
                <c:pt idx="109">
                  <c:v>57.643023369139264</c:v>
                </c:pt>
                <c:pt idx="110">
                  <c:v>58.765526813483703</c:v>
                </c:pt>
                <c:pt idx="111">
                  <c:v>58.705951586943904</c:v>
                </c:pt>
                <c:pt idx="112">
                  <c:v>58.855888316331374</c:v>
                </c:pt>
                <c:pt idx="113">
                  <c:v>57.666256129374183</c:v>
                </c:pt>
                <c:pt idx="114">
                  <c:v>58.831381415060136</c:v>
                </c:pt>
                <c:pt idx="115">
                  <c:v>58.774685378393293</c:v>
                </c:pt>
                <c:pt idx="116">
                  <c:v>58.924797655908513</c:v>
                </c:pt>
                <c:pt idx="117">
                  <c:v>58.868736354935251</c:v>
                </c:pt>
                <c:pt idx="118">
                  <c:v>58.801943845218531</c:v>
                </c:pt>
                <c:pt idx="119">
                  <c:v>57.957861273895716</c:v>
                </c:pt>
                <c:pt idx="120">
                  <c:v>58.846708030058018</c:v>
                </c:pt>
                <c:pt idx="121">
                  <c:v>59.147684342022146</c:v>
                </c:pt>
                <c:pt idx="122">
                  <c:v>57.795106781158076</c:v>
                </c:pt>
                <c:pt idx="123">
                  <c:v>59.10544729684252</c:v>
                </c:pt>
                <c:pt idx="124">
                  <c:v>57.926748463108595</c:v>
                </c:pt>
                <c:pt idx="125">
                  <c:v>59.224689046842975</c:v>
                </c:pt>
                <c:pt idx="126">
                  <c:v>58.986600150935352</c:v>
                </c:pt>
                <c:pt idx="127">
                  <c:v>59.312906888746951</c:v>
                </c:pt>
                <c:pt idx="128">
                  <c:v>58.890782284097362</c:v>
                </c:pt>
                <c:pt idx="129">
                  <c:v>58.851956489745355</c:v>
                </c:pt>
                <c:pt idx="130">
                  <c:v>59.002266119954783</c:v>
                </c:pt>
                <c:pt idx="131">
                  <c:v>57.969114748682827</c:v>
                </c:pt>
                <c:pt idx="132">
                  <c:v>59.190453371806321</c:v>
                </c:pt>
                <c:pt idx="133">
                  <c:v>59.530613607968036</c:v>
                </c:pt>
                <c:pt idx="134">
                  <c:v>59.117836454927115</c:v>
                </c:pt>
                <c:pt idx="135">
                  <c:v>58.105573697068962</c:v>
                </c:pt>
                <c:pt idx="136">
                  <c:v>59.349663132238277</c:v>
                </c:pt>
                <c:pt idx="137">
                  <c:v>59.315302532621729</c:v>
                </c:pt>
                <c:pt idx="138">
                  <c:v>59.466795562271351</c:v>
                </c:pt>
                <c:pt idx="139">
                  <c:v>59.248373177222895</c:v>
                </c:pt>
                <c:pt idx="140">
                  <c:v>58.433212646402325</c:v>
                </c:pt>
                <c:pt idx="141">
                  <c:v>59.486502989917994</c:v>
                </c:pt>
                <c:pt idx="142">
                  <c:v>58.732074102331971</c:v>
                </c:pt>
                <c:pt idx="143">
                  <c:v>59.606780042308728</c:v>
                </c:pt>
                <c:pt idx="144">
                  <c:v>59.575707644427666</c:v>
                </c:pt>
                <c:pt idx="145">
                  <c:v>58.246656573272219</c:v>
                </c:pt>
                <c:pt idx="146">
                  <c:v>59.637861090198804</c:v>
                </c:pt>
                <c:pt idx="147">
                  <c:v>59.637861090198804</c:v>
                </c:pt>
                <c:pt idx="148">
                  <c:v>59.428907986539627</c:v>
                </c:pt>
                <c:pt idx="149">
                  <c:v>59.580691167864515</c:v>
                </c:pt>
                <c:pt idx="150">
                  <c:v>59.552943748844946</c:v>
                </c:pt>
                <c:pt idx="151">
                  <c:v>59.726343074806472</c:v>
                </c:pt>
                <c:pt idx="152">
                  <c:v>58.450699269641937</c:v>
                </c:pt>
                <c:pt idx="153">
                  <c:v>59.456708990501014</c:v>
                </c:pt>
                <c:pt idx="154">
                  <c:v>59.434777277935339</c:v>
                </c:pt>
                <c:pt idx="155">
                  <c:v>59.760805202379935</c:v>
                </c:pt>
                <c:pt idx="156">
                  <c:v>59.565102128393868</c:v>
                </c:pt>
                <c:pt idx="157">
                  <c:v>59.6557082144706</c:v>
                </c:pt>
                <c:pt idx="158">
                  <c:v>59.295430044683819</c:v>
                </c:pt>
                <c:pt idx="159">
                  <c:v>59.61720719712001</c:v>
                </c:pt>
                <c:pt idx="160">
                  <c:v>59.769471300174594</c:v>
                </c:pt>
                <c:pt idx="161">
                  <c:v>58.550924001330799</c:v>
                </c:pt>
                <c:pt idx="162">
                  <c:v>59.52956739566617</c:v>
                </c:pt>
                <c:pt idx="163">
                  <c:v>59.513490459399073</c:v>
                </c:pt>
                <c:pt idx="164">
                  <c:v>59.665489666850803</c:v>
                </c:pt>
                <c:pt idx="165">
                  <c:v>59.649849340135027</c:v>
                </c:pt>
                <c:pt idx="166">
                  <c:v>58.625943500672967</c:v>
                </c:pt>
                <c:pt idx="167">
                  <c:v>59.414125976352608</c:v>
                </c:pt>
                <c:pt idx="168">
                  <c:v>59.730873817849563</c:v>
                </c:pt>
                <c:pt idx="169">
                  <c:v>59.718004393915074</c:v>
                </c:pt>
                <c:pt idx="170">
                  <c:v>58.559084383800815</c:v>
                </c:pt>
                <c:pt idx="171">
                  <c:v>59.671082829862364</c:v>
                </c:pt>
                <c:pt idx="172">
                  <c:v>59.660477763025419</c:v>
                </c:pt>
                <c:pt idx="173">
                  <c:v>59.812852380379745</c:v>
                </c:pt>
                <c:pt idx="174">
                  <c:v>59.802666123062565</c:v>
                </c:pt>
                <c:pt idx="175">
                  <c:v>58.513020225640986</c:v>
                </c:pt>
                <c:pt idx="176">
                  <c:v>59.766327776355169</c:v>
                </c:pt>
                <c:pt idx="177">
                  <c:v>59.598550423655404</c:v>
                </c:pt>
                <c:pt idx="178">
                  <c:v>59.591431498423042</c:v>
                </c:pt>
                <c:pt idx="179">
                  <c:v>59.743629769584011</c:v>
                </c:pt>
                <c:pt idx="180">
                  <c:v>58.486943850391718</c:v>
                </c:pt>
                <c:pt idx="181">
                  <c:v>59.71931396792062</c:v>
                </c:pt>
                <c:pt idx="182">
                  <c:v>59.714281384004934</c:v>
                </c:pt>
                <c:pt idx="183">
                  <c:v>59.709662726007664</c:v>
                </c:pt>
                <c:pt idx="184">
                  <c:v>59.862162963206075</c:v>
                </c:pt>
                <c:pt idx="185">
                  <c:v>58.779242331094544</c:v>
                </c:pt>
                <c:pt idx="186">
                  <c:v>59.847745980923804</c:v>
                </c:pt>
                <c:pt idx="187">
                  <c:v>59.690518272419979</c:v>
                </c:pt>
                <c:pt idx="188">
                  <c:v>59.998003214156654</c:v>
                </c:pt>
                <c:pt idx="189">
                  <c:v>59.841181943920851</c:v>
                </c:pt>
                <c:pt idx="190">
                  <c:v>58.638432617655724</c:v>
                </c:pt>
                <c:pt idx="191">
                  <c:v>59.837986131992885</c:v>
                </c:pt>
                <c:pt idx="192">
                  <c:v>59.838165728987903</c:v>
                </c:pt>
                <c:pt idx="193">
                  <c:v>61.553842923232722</c:v>
                </c:pt>
                <c:pt idx="194">
                  <c:v>58.521486301431722</c:v>
                </c:pt>
                <c:pt idx="195">
                  <c:v>59.997681969161171</c:v>
                </c:pt>
                <c:pt idx="196">
                  <c:v>60.000163635999513</c:v>
                </c:pt>
                <c:pt idx="197">
                  <c:v>61.384166042481141</c:v>
                </c:pt>
                <c:pt idx="198">
                  <c:v>59.856986858440337</c:v>
                </c:pt>
                <c:pt idx="199">
                  <c:v>58.852789004603615</c:v>
                </c:pt>
                <c:pt idx="200">
                  <c:v>60.022907440901662</c:v>
                </c:pt>
                <c:pt idx="201">
                  <c:v>59.880501533913339</c:v>
                </c:pt>
                <c:pt idx="202">
                  <c:v>60.033438098458774</c:v>
                </c:pt>
                <c:pt idx="203">
                  <c:v>60.039248685956416</c:v>
                </c:pt>
                <c:pt idx="204">
                  <c:v>58.632265698123696</c:v>
                </c:pt>
                <c:pt idx="205">
                  <c:v>60.066087357998917</c:v>
                </c:pt>
              </c:numCache>
            </c:numRef>
          </c:yVal>
          <c:smooth val="0"/>
        </c:ser>
        <c:ser>
          <c:idx val="3"/>
          <c:order val="1"/>
          <c:tx>
            <c:v>Detektor 2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/>
              </a:solidFill>
              <a:ln w="19050">
                <a:solidFill>
                  <a:schemeClr val="tx1"/>
                </a:solidFill>
              </a:ln>
            </c:spPr>
          </c:marker>
          <c:trendline>
            <c:name>Detektor 1 (Veckotrend)</c:name>
            <c:spPr>
              <a:ln w="50800">
                <a:solidFill>
                  <a:schemeClr val="accent2"/>
                </a:solidFill>
              </a:ln>
            </c:spPr>
            <c:trendlineType val="movingAvg"/>
            <c:period val="5"/>
            <c:dispRSqr val="0"/>
            <c:dispEq val="0"/>
          </c:trendline>
          <c:xVal>
            <c:numRef>
              <c:f>'Detektor 2'!$C$6:$C$211</c:f>
              <c:numCache>
                <c:formatCode>m/d/yyyy</c:formatCode>
                <c:ptCount val="206"/>
                <c:pt idx="0">
                  <c:v>42383</c:v>
                </c:pt>
                <c:pt idx="1">
                  <c:v>42387</c:v>
                </c:pt>
                <c:pt idx="2">
                  <c:v>42388</c:v>
                </c:pt>
                <c:pt idx="3">
                  <c:v>42389</c:v>
                </c:pt>
                <c:pt idx="4">
                  <c:v>42390</c:v>
                </c:pt>
                <c:pt idx="5">
                  <c:v>42391</c:v>
                </c:pt>
                <c:pt idx="6">
                  <c:v>42394</c:v>
                </c:pt>
                <c:pt idx="7">
                  <c:v>42395</c:v>
                </c:pt>
                <c:pt idx="8">
                  <c:v>42396</c:v>
                </c:pt>
                <c:pt idx="9">
                  <c:v>42397</c:v>
                </c:pt>
                <c:pt idx="10">
                  <c:v>42398</c:v>
                </c:pt>
                <c:pt idx="11">
                  <c:v>42401</c:v>
                </c:pt>
                <c:pt idx="12">
                  <c:v>42402</c:v>
                </c:pt>
                <c:pt idx="13">
                  <c:v>42403</c:v>
                </c:pt>
                <c:pt idx="14">
                  <c:v>42404</c:v>
                </c:pt>
                <c:pt idx="15">
                  <c:v>42408</c:v>
                </c:pt>
                <c:pt idx="16">
                  <c:v>42409</c:v>
                </c:pt>
                <c:pt idx="17">
                  <c:v>42410</c:v>
                </c:pt>
                <c:pt idx="18">
                  <c:v>42411</c:v>
                </c:pt>
                <c:pt idx="19">
                  <c:v>42412</c:v>
                </c:pt>
                <c:pt idx="20">
                  <c:v>42415</c:v>
                </c:pt>
                <c:pt idx="21">
                  <c:v>42418</c:v>
                </c:pt>
                <c:pt idx="22">
                  <c:v>42419</c:v>
                </c:pt>
                <c:pt idx="23">
                  <c:v>42422</c:v>
                </c:pt>
                <c:pt idx="24">
                  <c:v>42423</c:v>
                </c:pt>
                <c:pt idx="25">
                  <c:v>42424</c:v>
                </c:pt>
                <c:pt idx="26">
                  <c:v>42425</c:v>
                </c:pt>
                <c:pt idx="27">
                  <c:v>42426</c:v>
                </c:pt>
                <c:pt idx="28">
                  <c:v>42429</c:v>
                </c:pt>
                <c:pt idx="29">
                  <c:v>42431</c:v>
                </c:pt>
                <c:pt idx="30">
                  <c:v>42432</c:v>
                </c:pt>
                <c:pt idx="31">
                  <c:v>42436</c:v>
                </c:pt>
                <c:pt idx="32">
                  <c:v>42437</c:v>
                </c:pt>
                <c:pt idx="33">
                  <c:v>42438</c:v>
                </c:pt>
                <c:pt idx="34">
                  <c:v>42439</c:v>
                </c:pt>
                <c:pt idx="35">
                  <c:v>42440</c:v>
                </c:pt>
                <c:pt idx="36">
                  <c:v>42443</c:v>
                </c:pt>
                <c:pt idx="37">
                  <c:v>42444</c:v>
                </c:pt>
                <c:pt idx="38">
                  <c:v>42445</c:v>
                </c:pt>
                <c:pt idx="39">
                  <c:v>42446</c:v>
                </c:pt>
                <c:pt idx="40">
                  <c:v>42447</c:v>
                </c:pt>
                <c:pt idx="41">
                  <c:v>42450</c:v>
                </c:pt>
                <c:pt idx="42">
                  <c:v>42451</c:v>
                </c:pt>
                <c:pt idx="43">
                  <c:v>42452</c:v>
                </c:pt>
                <c:pt idx="44">
                  <c:v>42453</c:v>
                </c:pt>
                <c:pt idx="45">
                  <c:v>42458</c:v>
                </c:pt>
                <c:pt idx="46">
                  <c:v>42459</c:v>
                </c:pt>
                <c:pt idx="47">
                  <c:v>42460</c:v>
                </c:pt>
                <c:pt idx="48">
                  <c:v>42461</c:v>
                </c:pt>
                <c:pt idx="49">
                  <c:v>42464</c:v>
                </c:pt>
                <c:pt idx="50">
                  <c:v>42465</c:v>
                </c:pt>
                <c:pt idx="51">
                  <c:v>42466</c:v>
                </c:pt>
                <c:pt idx="52">
                  <c:v>42467</c:v>
                </c:pt>
                <c:pt idx="53">
                  <c:v>42468</c:v>
                </c:pt>
                <c:pt idx="54">
                  <c:v>42471</c:v>
                </c:pt>
                <c:pt idx="55">
                  <c:v>42472</c:v>
                </c:pt>
                <c:pt idx="56">
                  <c:v>42473</c:v>
                </c:pt>
                <c:pt idx="57">
                  <c:v>42474</c:v>
                </c:pt>
                <c:pt idx="58">
                  <c:v>42475</c:v>
                </c:pt>
                <c:pt idx="59">
                  <c:v>42478</c:v>
                </c:pt>
                <c:pt idx="60">
                  <c:v>42479</c:v>
                </c:pt>
                <c:pt idx="61">
                  <c:v>42480</c:v>
                </c:pt>
                <c:pt idx="62">
                  <c:v>42481</c:v>
                </c:pt>
                <c:pt idx="63">
                  <c:v>42482</c:v>
                </c:pt>
                <c:pt idx="64">
                  <c:v>42486</c:v>
                </c:pt>
                <c:pt idx="65">
                  <c:v>42486</c:v>
                </c:pt>
                <c:pt idx="66">
                  <c:v>42487</c:v>
                </c:pt>
                <c:pt idx="67">
                  <c:v>42488</c:v>
                </c:pt>
                <c:pt idx="68">
                  <c:v>42489</c:v>
                </c:pt>
                <c:pt idx="69">
                  <c:v>42492</c:v>
                </c:pt>
                <c:pt idx="70">
                  <c:v>42494</c:v>
                </c:pt>
                <c:pt idx="71">
                  <c:v>42493</c:v>
                </c:pt>
                <c:pt idx="72">
                  <c:v>42496</c:v>
                </c:pt>
                <c:pt idx="73">
                  <c:v>42499</c:v>
                </c:pt>
                <c:pt idx="74">
                  <c:v>42500</c:v>
                </c:pt>
                <c:pt idx="75">
                  <c:v>42501</c:v>
                </c:pt>
                <c:pt idx="76">
                  <c:v>42502</c:v>
                </c:pt>
                <c:pt idx="77">
                  <c:v>42503</c:v>
                </c:pt>
                <c:pt idx="78">
                  <c:v>42506</c:v>
                </c:pt>
                <c:pt idx="79">
                  <c:v>42507</c:v>
                </c:pt>
                <c:pt idx="80">
                  <c:v>42508</c:v>
                </c:pt>
                <c:pt idx="81">
                  <c:v>42509</c:v>
                </c:pt>
                <c:pt idx="82">
                  <c:v>42513</c:v>
                </c:pt>
                <c:pt idx="83">
                  <c:v>42514</c:v>
                </c:pt>
                <c:pt idx="84">
                  <c:v>42515</c:v>
                </c:pt>
                <c:pt idx="85">
                  <c:v>42516</c:v>
                </c:pt>
                <c:pt idx="86">
                  <c:v>42517</c:v>
                </c:pt>
                <c:pt idx="87">
                  <c:v>42520</c:v>
                </c:pt>
                <c:pt idx="88">
                  <c:v>42521</c:v>
                </c:pt>
                <c:pt idx="89">
                  <c:v>42522</c:v>
                </c:pt>
                <c:pt idx="90">
                  <c:v>42523</c:v>
                </c:pt>
                <c:pt idx="91">
                  <c:v>42524</c:v>
                </c:pt>
                <c:pt idx="92">
                  <c:v>42528</c:v>
                </c:pt>
                <c:pt idx="93">
                  <c:v>42529</c:v>
                </c:pt>
                <c:pt idx="94">
                  <c:v>42530</c:v>
                </c:pt>
                <c:pt idx="95">
                  <c:v>42531</c:v>
                </c:pt>
                <c:pt idx="96">
                  <c:v>42534</c:v>
                </c:pt>
                <c:pt idx="97">
                  <c:v>42535</c:v>
                </c:pt>
                <c:pt idx="98">
                  <c:v>42536</c:v>
                </c:pt>
                <c:pt idx="99">
                  <c:v>42537</c:v>
                </c:pt>
                <c:pt idx="100">
                  <c:v>42538</c:v>
                </c:pt>
                <c:pt idx="101">
                  <c:v>42541</c:v>
                </c:pt>
                <c:pt idx="102">
                  <c:v>42542</c:v>
                </c:pt>
                <c:pt idx="103">
                  <c:v>42543</c:v>
                </c:pt>
                <c:pt idx="104">
                  <c:v>42544</c:v>
                </c:pt>
                <c:pt idx="105">
                  <c:v>42549</c:v>
                </c:pt>
                <c:pt idx="106">
                  <c:v>42550</c:v>
                </c:pt>
                <c:pt idx="107">
                  <c:v>42551</c:v>
                </c:pt>
                <c:pt idx="108">
                  <c:v>42552</c:v>
                </c:pt>
                <c:pt idx="109">
                  <c:v>42555</c:v>
                </c:pt>
                <c:pt idx="110">
                  <c:v>42557</c:v>
                </c:pt>
                <c:pt idx="111">
                  <c:v>42558</c:v>
                </c:pt>
                <c:pt idx="112">
                  <c:v>42559</c:v>
                </c:pt>
                <c:pt idx="113">
                  <c:v>42562</c:v>
                </c:pt>
                <c:pt idx="114">
                  <c:v>42563</c:v>
                </c:pt>
                <c:pt idx="115">
                  <c:v>42564</c:v>
                </c:pt>
                <c:pt idx="116">
                  <c:v>42565</c:v>
                </c:pt>
                <c:pt idx="117">
                  <c:v>42566</c:v>
                </c:pt>
                <c:pt idx="118">
                  <c:v>42571</c:v>
                </c:pt>
                <c:pt idx="119">
                  <c:v>42576</c:v>
                </c:pt>
                <c:pt idx="120">
                  <c:v>42578</c:v>
                </c:pt>
                <c:pt idx="121">
                  <c:v>42580</c:v>
                </c:pt>
                <c:pt idx="122">
                  <c:v>42584</c:v>
                </c:pt>
                <c:pt idx="123">
                  <c:v>42585</c:v>
                </c:pt>
                <c:pt idx="124">
                  <c:v>42590</c:v>
                </c:pt>
                <c:pt idx="125">
                  <c:v>42591</c:v>
                </c:pt>
                <c:pt idx="126">
                  <c:v>42592</c:v>
                </c:pt>
                <c:pt idx="127">
                  <c:v>42598</c:v>
                </c:pt>
                <c:pt idx="128">
                  <c:v>42599</c:v>
                </c:pt>
                <c:pt idx="129">
                  <c:v>42600</c:v>
                </c:pt>
                <c:pt idx="130">
                  <c:v>42601</c:v>
                </c:pt>
                <c:pt idx="131">
                  <c:v>42604</c:v>
                </c:pt>
                <c:pt idx="132">
                  <c:v>42606</c:v>
                </c:pt>
                <c:pt idx="133">
                  <c:v>42607</c:v>
                </c:pt>
                <c:pt idx="134">
                  <c:v>42608</c:v>
                </c:pt>
                <c:pt idx="135">
                  <c:v>42611</c:v>
                </c:pt>
                <c:pt idx="136">
                  <c:v>42612</c:v>
                </c:pt>
                <c:pt idx="137">
                  <c:v>42613</c:v>
                </c:pt>
                <c:pt idx="138">
                  <c:v>42614</c:v>
                </c:pt>
                <c:pt idx="139">
                  <c:v>42615</c:v>
                </c:pt>
                <c:pt idx="140">
                  <c:v>42618</c:v>
                </c:pt>
                <c:pt idx="141">
                  <c:v>42619</c:v>
                </c:pt>
                <c:pt idx="142">
                  <c:v>42620</c:v>
                </c:pt>
                <c:pt idx="143">
                  <c:v>42621</c:v>
                </c:pt>
                <c:pt idx="144">
                  <c:v>42622</c:v>
                </c:pt>
                <c:pt idx="145">
                  <c:v>42625</c:v>
                </c:pt>
                <c:pt idx="146">
                  <c:v>42626</c:v>
                </c:pt>
                <c:pt idx="147">
                  <c:v>42626</c:v>
                </c:pt>
                <c:pt idx="148">
                  <c:v>42627</c:v>
                </c:pt>
                <c:pt idx="149">
                  <c:v>42628</c:v>
                </c:pt>
                <c:pt idx="150">
                  <c:v>42629</c:v>
                </c:pt>
                <c:pt idx="151">
                  <c:v>42636</c:v>
                </c:pt>
                <c:pt idx="152">
                  <c:v>42639</c:v>
                </c:pt>
                <c:pt idx="153">
                  <c:v>42640</c:v>
                </c:pt>
                <c:pt idx="154">
                  <c:v>42641</c:v>
                </c:pt>
                <c:pt idx="155">
                  <c:v>42642</c:v>
                </c:pt>
                <c:pt idx="156">
                  <c:v>42643</c:v>
                </c:pt>
                <c:pt idx="157">
                  <c:v>42647</c:v>
                </c:pt>
                <c:pt idx="158">
                  <c:v>42648</c:v>
                </c:pt>
                <c:pt idx="159">
                  <c:v>42649</c:v>
                </c:pt>
                <c:pt idx="160">
                  <c:v>42650</c:v>
                </c:pt>
                <c:pt idx="161">
                  <c:v>42653</c:v>
                </c:pt>
                <c:pt idx="162">
                  <c:v>42654</c:v>
                </c:pt>
                <c:pt idx="163">
                  <c:v>42655</c:v>
                </c:pt>
                <c:pt idx="164">
                  <c:v>42656</c:v>
                </c:pt>
                <c:pt idx="165">
                  <c:v>42657</c:v>
                </c:pt>
                <c:pt idx="166">
                  <c:v>42660</c:v>
                </c:pt>
                <c:pt idx="167">
                  <c:v>42662</c:v>
                </c:pt>
                <c:pt idx="168">
                  <c:v>42663</c:v>
                </c:pt>
                <c:pt idx="169">
                  <c:v>42664</c:v>
                </c:pt>
                <c:pt idx="170">
                  <c:v>42667</c:v>
                </c:pt>
                <c:pt idx="171">
                  <c:v>42668</c:v>
                </c:pt>
                <c:pt idx="172">
                  <c:v>42669</c:v>
                </c:pt>
                <c:pt idx="173">
                  <c:v>42670</c:v>
                </c:pt>
                <c:pt idx="174">
                  <c:v>42671</c:v>
                </c:pt>
                <c:pt idx="175">
                  <c:v>42674</c:v>
                </c:pt>
                <c:pt idx="176">
                  <c:v>42675</c:v>
                </c:pt>
                <c:pt idx="177">
                  <c:v>42676</c:v>
                </c:pt>
                <c:pt idx="178">
                  <c:v>42677</c:v>
                </c:pt>
                <c:pt idx="179">
                  <c:v>42678</c:v>
                </c:pt>
                <c:pt idx="180">
                  <c:v>42681</c:v>
                </c:pt>
                <c:pt idx="181">
                  <c:v>42682</c:v>
                </c:pt>
                <c:pt idx="182">
                  <c:v>42683</c:v>
                </c:pt>
                <c:pt idx="183">
                  <c:v>42684</c:v>
                </c:pt>
                <c:pt idx="184">
                  <c:v>42685</c:v>
                </c:pt>
                <c:pt idx="185">
                  <c:v>42688</c:v>
                </c:pt>
                <c:pt idx="186">
                  <c:v>42689</c:v>
                </c:pt>
                <c:pt idx="187">
                  <c:v>42690</c:v>
                </c:pt>
                <c:pt idx="188">
                  <c:v>42691</c:v>
                </c:pt>
                <c:pt idx="189">
                  <c:v>42692</c:v>
                </c:pt>
                <c:pt idx="190">
                  <c:v>42695</c:v>
                </c:pt>
                <c:pt idx="191">
                  <c:v>42696</c:v>
                </c:pt>
                <c:pt idx="192">
                  <c:v>42697</c:v>
                </c:pt>
                <c:pt idx="193">
                  <c:v>42699</c:v>
                </c:pt>
                <c:pt idx="194">
                  <c:v>42702</c:v>
                </c:pt>
                <c:pt idx="195">
                  <c:v>42703</c:v>
                </c:pt>
                <c:pt idx="196">
                  <c:v>42704</c:v>
                </c:pt>
                <c:pt idx="197">
                  <c:v>42705</c:v>
                </c:pt>
                <c:pt idx="198">
                  <c:v>42706</c:v>
                </c:pt>
                <c:pt idx="199">
                  <c:v>42709</c:v>
                </c:pt>
                <c:pt idx="200">
                  <c:v>42710</c:v>
                </c:pt>
                <c:pt idx="201">
                  <c:v>42711</c:v>
                </c:pt>
                <c:pt idx="202">
                  <c:v>42712</c:v>
                </c:pt>
                <c:pt idx="203">
                  <c:v>42713</c:v>
                </c:pt>
                <c:pt idx="204">
                  <c:v>42716</c:v>
                </c:pt>
                <c:pt idx="205">
                  <c:v>42717</c:v>
                </c:pt>
              </c:numCache>
            </c:numRef>
          </c:xVal>
          <c:yVal>
            <c:numRef>
              <c:f>'Detektor 2'!$AD$6:$AD$211</c:f>
              <c:numCache>
                <c:formatCode>0</c:formatCode>
                <c:ptCount val="206"/>
                <c:pt idx="0">
                  <c:v>56.152346055705905</c:v>
                </c:pt>
                <c:pt idx="1">
                  <c:v>55.546368860294301</c:v>
                </c:pt>
                <c:pt idx="2">
                  <c:v>56.274427879417708</c:v>
                </c:pt>
                <c:pt idx="3">
                  <c:v>56.418154425641823</c:v>
                </c:pt>
                <c:pt idx="4">
                  <c:v>56.562248053698106</c:v>
                </c:pt>
                <c:pt idx="5">
                  <c:v>56.706709701124332</c:v>
                </c:pt>
                <c:pt idx="6">
                  <c:v>55.964120167430316</c:v>
                </c:pt>
                <c:pt idx="7">
                  <c:v>56.69150265964597</c:v>
                </c:pt>
                <c:pt idx="8">
                  <c:v>56.836294427142668</c:v>
                </c:pt>
                <c:pt idx="9">
                  <c:v>56.686215292429949</c:v>
                </c:pt>
                <c:pt idx="10">
                  <c:v>56.538050290083319</c:v>
                </c:pt>
                <c:pt idx="11">
                  <c:v>56.104757825448701</c:v>
                </c:pt>
                <c:pt idx="12">
                  <c:v>56.824954116838377</c:v>
                </c:pt>
                <c:pt idx="13">
                  <c:v>56.970086723287203</c:v>
                </c:pt>
                <c:pt idx="14">
                  <c:v>56.824183931245145</c:v>
                </c:pt>
                <c:pt idx="15">
                  <c:v>56.258795599793238</c:v>
                </c:pt>
                <c:pt idx="16">
                  <c:v>57.26140326976121</c:v>
                </c:pt>
                <c:pt idx="17">
                  <c:v>57.11771295100818</c:v>
                </c:pt>
                <c:pt idx="18">
                  <c:v>57.263593272141946</c:v>
                </c:pt>
                <c:pt idx="19">
                  <c:v>57.121354486586235</c:v>
                </c:pt>
                <c:pt idx="20">
                  <c:v>56.425952130011623</c:v>
                </c:pt>
                <c:pt idx="21">
                  <c:v>57.425163064996987</c:v>
                </c:pt>
                <c:pt idx="22">
                  <c:v>57.286819570189046</c:v>
                </c:pt>
                <c:pt idx="23">
                  <c:v>56.605967997664472</c:v>
                </c:pt>
                <c:pt idx="24">
                  <c:v>57.30691916306737</c:v>
                </c:pt>
                <c:pt idx="25">
                  <c:v>57.45328272243934</c:v>
                </c:pt>
                <c:pt idx="26">
                  <c:v>57.600020098652699</c:v>
                </c:pt>
                <c:pt idx="27">
                  <c:v>57.747132246446682</c:v>
                </c:pt>
                <c:pt idx="28">
                  <c:v>57.071674462870043</c:v>
                </c:pt>
                <c:pt idx="29">
                  <c:v>57.640690926530453</c:v>
                </c:pt>
                <c:pt idx="30">
                  <c:v>57.787906948816683</c:v>
                </c:pt>
                <c:pt idx="31">
                  <c:v>57.003641051491414</c:v>
                </c:pt>
                <c:pt idx="32">
                  <c:v>57.969553905657584</c:v>
                </c:pt>
                <c:pt idx="33">
                  <c:v>57.840859330565578</c:v>
                </c:pt>
                <c:pt idx="34">
                  <c:v>58.266043940950937</c:v>
                </c:pt>
                <c:pt idx="35">
                  <c:v>58.13669114690537</c:v>
                </c:pt>
                <c:pt idx="36">
                  <c:v>57.220876448144828</c:v>
                </c:pt>
                <c:pt idx="37">
                  <c:v>58.178817708283354</c:v>
                </c:pt>
                <c:pt idx="38">
                  <c:v>58.053570525401412</c:v>
                </c:pt>
                <c:pt idx="39">
                  <c:v>58.201841054343504</c:v>
                </c:pt>
                <c:pt idx="40">
                  <c:v>58.350490270583428</c:v>
                </c:pt>
                <c:pt idx="41">
                  <c:v>57.450125238076033</c:v>
                </c:pt>
                <c:pt idx="42">
                  <c:v>58.130158758777455</c:v>
                </c:pt>
                <c:pt idx="43">
                  <c:v>58.278624896323286</c:v>
                </c:pt>
                <c:pt idx="44">
                  <c:v>58.158219205914911</c:v>
                </c:pt>
                <c:pt idx="45">
                  <c:v>57.319831497009147</c:v>
                </c:pt>
                <c:pt idx="46">
                  <c:v>58.24985841715587</c:v>
                </c:pt>
                <c:pt idx="47">
                  <c:v>58.134383075357576</c:v>
                </c:pt>
                <c:pt idx="48">
                  <c:v>58.547782092850234</c:v>
                </c:pt>
                <c:pt idx="49">
                  <c:v>57.686470923648201</c:v>
                </c:pt>
                <c:pt idx="50">
                  <c:v>58.352492693336195</c:v>
                </c:pt>
                <c:pt idx="51">
                  <c:v>58.501526678299165</c:v>
                </c:pt>
                <c:pt idx="52">
                  <c:v>58.38910674107214</c:v>
                </c:pt>
                <c:pt idx="53">
                  <c:v>58.538234239391414</c:v>
                </c:pt>
                <c:pt idx="54">
                  <c:v>57.699960340725511</c:v>
                </c:pt>
                <c:pt idx="55">
                  <c:v>58.356995824646013</c:v>
                </c:pt>
                <c:pt idx="56">
                  <c:v>58.506041310738979</c:v>
                </c:pt>
                <c:pt idx="57">
                  <c:v>58.398206641185318</c:v>
                </c:pt>
                <c:pt idx="58">
                  <c:v>58.547357380917497</c:v>
                </c:pt>
                <c:pt idx="59">
                  <c:v>57.979907742665972</c:v>
                </c:pt>
                <c:pt idx="60">
                  <c:v>58.633450918471318</c:v>
                </c:pt>
                <c:pt idx="61">
                  <c:v>58.783202479016211</c:v>
                </c:pt>
                <c:pt idx="62">
                  <c:v>58.678213840585151</c:v>
                </c:pt>
                <c:pt idx="63">
                  <c:v>58.828079726951501</c:v>
                </c:pt>
                <c:pt idx="64">
                  <c:v>58.669439901691398</c:v>
                </c:pt>
                <c:pt idx="65">
                  <c:v>58.669439901691398</c:v>
                </c:pt>
                <c:pt idx="66">
                  <c:v>58.819283379159387</c:v>
                </c:pt>
                <c:pt idx="67">
                  <c:v>58.969509561282074</c:v>
                </c:pt>
                <c:pt idx="68">
                  <c:v>58.868544449219748</c:v>
                </c:pt>
                <c:pt idx="69">
                  <c:v>57.843888198691104</c:v>
                </c:pt>
                <c:pt idx="70">
                  <c:v>59.120996865183436</c:v>
                </c:pt>
                <c:pt idx="71">
                  <c:v>58.970384765669287</c:v>
                </c:pt>
                <c:pt idx="72">
                  <c:v>58.195620346368756</c:v>
                </c:pt>
                <c:pt idx="73">
                  <c:v>58.642660142714277</c:v>
                </c:pt>
                <c:pt idx="74">
                  <c:v>59.282372184088189</c:v>
                </c:pt>
                <c:pt idx="75">
                  <c:v>59.433781108657762</c:v>
                </c:pt>
                <c:pt idx="76">
                  <c:v>59.093133953137261</c:v>
                </c:pt>
                <c:pt idx="77">
                  <c:v>59.48988553095991</c:v>
                </c:pt>
                <c:pt idx="78">
                  <c:v>58.490668241472335</c:v>
                </c:pt>
                <c:pt idx="79">
                  <c:v>59.361039415250616</c:v>
                </c:pt>
                <c:pt idx="80">
                  <c:v>59.512649258245538</c:v>
                </c:pt>
                <c:pt idx="81">
                  <c:v>59.421117148602931</c:v>
                </c:pt>
                <c:pt idx="82">
                  <c:v>58.362986005656722</c:v>
                </c:pt>
                <c:pt idx="83">
                  <c:v>59.455789481023402</c:v>
                </c:pt>
                <c:pt idx="84">
                  <c:v>59.848967801547694</c:v>
                </c:pt>
                <c:pt idx="85">
                  <c:v>59.519881467947549</c:v>
                </c:pt>
                <c:pt idx="86">
                  <c:v>59.671896998223353</c:v>
                </c:pt>
                <c:pt idx="87">
                  <c:v>58.715447022136111</c:v>
                </c:pt>
                <c:pt idx="88">
                  <c:v>59.330747196845493</c:v>
                </c:pt>
                <c:pt idx="89">
                  <c:v>59.482279672622425</c:v>
                </c:pt>
                <c:pt idx="90">
                  <c:v>59.399418855125148</c:v>
                </c:pt>
                <c:pt idx="91">
                  <c:v>59.551126720339894</c:v>
                </c:pt>
                <c:pt idx="92">
                  <c:v>58.324839921241647</c:v>
                </c:pt>
                <c:pt idx="93">
                  <c:v>59.611425912120964</c:v>
                </c:pt>
                <c:pt idx="94">
                  <c:v>59.532033097473132</c:v>
                </c:pt>
                <c:pt idx="95">
                  <c:v>59.684079663368628</c:v>
                </c:pt>
                <c:pt idx="96">
                  <c:v>58.775677107470671</c:v>
                </c:pt>
                <c:pt idx="97">
                  <c:v>59.603099870970361</c:v>
                </c:pt>
                <c:pt idx="98">
                  <c:v>59.755327943498479</c:v>
                </c:pt>
                <c:pt idx="99">
                  <c:v>59.679288533102692</c:v>
                </c:pt>
                <c:pt idx="100">
                  <c:v>59.83171119371783</c:v>
                </c:pt>
                <c:pt idx="101">
                  <c:v>58.941513259771433</c:v>
                </c:pt>
                <c:pt idx="102">
                  <c:v>59.761018242729293</c:v>
                </c:pt>
                <c:pt idx="103">
                  <c:v>59.913649643429942</c:v>
                </c:pt>
                <c:pt idx="104">
                  <c:v>59.840856317083428</c:v>
                </c:pt>
                <c:pt idx="105">
                  <c:v>59.933010101505836</c:v>
                </c:pt>
                <c:pt idx="106">
                  <c:v>60.086080774479406</c:v>
                </c:pt>
                <c:pt idx="107">
                  <c:v>60.016432978184262</c:v>
                </c:pt>
                <c:pt idx="108">
                  <c:v>59.947688240676399</c:v>
                </c:pt>
                <c:pt idx="109">
                  <c:v>59.09970627016444</c:v>
                </c:pt>
                <c:pt idx="110">
                  <c:v>60.052363167063646</c:v>
                </c:pt>
                <c:pt idx="111">
                  <c:v>59.986808712477227</c:v>
                </c:pt>
                <c:pt idx="112">
                  <c:v>60.140016788687696</c:v>
                </c:pt>
                <c:pt idx="113">
                  <c:v>59.308000076117928</c:v>
                </c:pt>
                <c:pt idx="114">
                  <c:v>60.318095024827002</c:v>
                </c:pt>
                <c:pt idx="115">
                  <c:v>60.254623499431972</c:v>
                </c:pt>
                <c:pt idx="116">
                  <c:v>60.191997605497946</c:v>
                </c:pt>
                <c:pt idx="117">
                  <c:v>60.345729740184517</c:v>
                </c:pt>
                <c:pt idx="118">
                  <c:v>60.256408887326408</c:v>
                </c:pt>
                <c:pt idx="119">
                  <c:v>59.352036630999741</c:v>
                </c:pt>
                <c:pt idx="120">
                  <c:v>60.487034386296578</c:v>
                </c:pt>
                <c:pt idx="121">
                  <c:v>60.375663947738865</c:v>
                </c:pt>
                <c:pt idx="122">
                  <c:v>59.754262943231225</c:v>
                </c:pt>
                <c:pt idx="123">
                  <c:v>60.522358704643544</c:v>
                </c:pt>
                <c:pt idx="124">
                  <c:v>59.269421440730312</c:v>
                </c:pt>
                <c:pt idx="125">
                  <c:v>60.625272909437243</c:v>
                </c:pt>
                <c:pt idx="126">
                  <c:v>60.780111642011093</c:v>
                </c:pt>
                <c:pt idx="127">
                  <c:v>60.491309012364432</c:v>
                </c:pt>
                <c:pt idx="128">
                  <c:v>60.445654423611479</c:v>
                </c:pt>
                <c:pt idx="129">
                  <c:v>60.400692186843912</c:v>
                </c:pt>
                <c:pt idx="130">
                  <c:v>60.554957333637795</c:v>
                </c:pt>
                <c:pt idx="131">
                  <c:v>59.64667755491481</c:v>
                </c:pt>
                <c:pt idx="132">
                  <c:v>60.931349059212387</c:v>
                </c:pt>
                <c:pt idx="133">
                  <c:v>60.887989162547107</c:v>
                </c:pt>
                <c:pt idx="134">
                  <c:v>60.648395327546588</c:v>
                </c:pt>
                <c:pt idx="135">
                  <c:v>59.571960414976068</c:v>
                </c:pt>
                <c:pt idx="136">
                  <c:v>60.681226087128223</c:v>
                </c:pt>
                <c:pt idx="137">
                  <c:v>60.836207725765881</c:v>
                </c:pt>
                <c:pt idx="138">
                  <c:v>60.796723897529816</c:v>
                </c:pt>
                <c:pt idx="139">
                  <c:v>60.757885869636219</c:v>
                </c:pt>
                <c:pt idx="140">
                  <c:v>59.889492089303317</c:v>
                </c:pt>
                <c:pt idx="141">
                  <c:v>60.992490407384274</c:v>
                </c:pt>
                <c:pt idx="142">
                  <c:v>60.383913686460048</c:v>
                </c:pt>
                <c:pt idx="143">
                  <c:v>61.111052093849644</c:v>
                </c:pt>
                <c:pt idx="144">
                  <c:v>61.07446758516798</c:v>
                </c:pt>
                <c:pt idx="145">
                  <c:v>59.849760599091006</c:v>
                </c:pt>
                <c:pt idx="146">
                  <c:v>60.745685135217968</c:v>
                </c:pt>
                <c:pt idx="147">
                  <c:v>60.745685135217968</c:v>
                </c:pt>
                <c:pt idx="148">
                  <c:v>60.900831404162901</c:v>
                </c:pt>
                <c:pt idx="149">
                  <c:v>61.056373921248159</c:v>
                </c:pt>
                <c:pt idx="150">
                  <c:v>61.212313698503166</c:v>
                </c:pt>
                <c:pt idx="151">
                  <c:v>61.178655368418788</c:v>
                </c:pt>
                <c:pt idx="152">
                  <c:v>60.007078835993354</c:v>
                </c:pt>
                <c:pt idx="153">
                  <c:v>61.06364707132537</c:v>
                </c:pt>
                <c:pt idx="154">
                  <c:v>61.219605424419889</c:v>
                </c:pt>
                <c:pt idx="155">
                  <c:v>61.192201734173466</c:v>
                </c:pt>
                <c:pt idx="156">
                  <c:v>61.165358603485046</c:v>
                </c:pt>
                <c:pt idx="157">
                  <c:v>60.88391397182734</c:v>
                </c:pt>
                <c:pt idx="158">
                  <c:v>60.860412069323552</c:v>
                </c:pt>
                <c:pt idx="159">
                  <c:v>61.195309740573187</c:v>
                </c:pt>
                <c:pt idx="160">
                  <c:v>61.351604364002753</c:v>
                </c:pt>
                <c:pt idx="161">
                  <c:v>59.885417995663126</c:v>
                </c:pt>
                <c:pt idx="162">
                  <c:v>61.082512632074859</c:v>
                </c:pt>
                <c:pt idx="163">
                  <c:v>61.238519168367155</c:v>
                </c:pt>
                <c:pt idx="164">
                  <c:v>61.217482172635947</c:v>
                </c:pt>
                <c:pt idx="165">
                  <c:v>61.021110244505948</c:v>
                </c:pt>
                <c:pt idx="166">
                  <c:v>59.939690133741266</c:v>
                </c:pt>
                <c:pt idx="167">
                  <c:v>61.27610713230667</c:v>
                </c:pt>
                <c:pt idx="168">
                  <c:v>61.432608114654393</c:v>
                </c:pt>
                <c:pt idx="169">
                  <c:v>61.240559746734434</c:v>
                </c:pt>
                <c:pt idx="170">
                  <c:v>60.010962509019009</c:v>
                </c:pt>
                <c:pt idx="171">
                  <c:v>61.347236841937153</c:v>
                </c:pt>
                <c:pt idx="172">
                  <c:v>61.331639605126966</c:v>
                </c:pt>
                <c:pt idx="173">
                  <c:v>61.316527440221691</c:v>
                </c:pt>
                <c:pt idx="174">
                  <c:v>61.30189730720619</c:v>
                </c:pt>
                <c:pt idx="175">
                  <c:v>60.098738930942915</c:v>
                </c:pt>
                <c:pt idx="176">
                  <c:v>61.248137555934214</c:v>
                </c:pt>
                <c:pt idx="177">
                  <c:v>61.2358732374921</c:v>
                </c:pt>
                <c:pt idx="178">
                  <c:v>61.056794568056397</c:v>
                </c:pt>
                <c:pt idx="179">
                  <c:v>61.380441544093152</c:v>
                </c:pt>
                <c:pt idx="180">
                  <c:v>60.688065393148392</c:v>
                </c:pt>
                <c:pt idx="181">
                  <c:v>61.337723560547197</c:v>
                </c:pt>
                <c:pt idx="182">
                  <c:v>61.494381913067407</c:v>
                </c:pt>
                <c:pt idx="183">
                  <c:v>61.319087597328625</c:v>
                </c:pt>
                <c:pt idx="184">
                  <c:v>61.4756983530499</c:v>
                </c:pt>
                <c:pt idx="185">
                  <c:v>60.322004597002547</c:v>
                </c:pt>
                <c:pt idx="186">
                  <c:v>61.443685873748443</c:v>
                </c:pt>
                <c:pt idx="187">
                  <c:v>61.111721088429981</c:v>
                </c:pt>
                <c:pt idx="188">
                  <c:v>61.430316288234657</c:v>
                </c:pt>
                <c:pt idx="189">
                  <c:v>61.424281995347329</c:v>
                </c:pt>
                <c:pt idx="190">
                  <c:v>60.145847337903938</c:v>
                </c:pt>
                <c:pt idx="191">
                  <c:v>61.404425559531965</c:v>
                </c:pt>
                <c:pt idx="192">
                  <c:v>61.400519925567231</c:v>
                </c:pt>
                <c:pt idx="193">
                  <c:v>60.144212932624335</c:v>
                </c:pt>
                <c:pt idx="194">
                  <c:v>60.147083143138154</c:v>
                </c:pt>
                <c:pt idx="195">
                  <c:v>61.544013978675636</c:v>
                </c:pt>
                <c:pt idx="196">
                  <c:v>61.542584295022635</c:v>
                </c:pt>
                <c:pt idx="197">
                  <c:v>60.003022306525317</c:v>
                </c:pt>
                <c:pt idx="198">
                  <c:v>61.698740300238498</c:v>
                </c:pt>
                <c:pt idx="199">
                  <c:v>60.167119280140675</c:v>
                </c:pt>
                <c:pt idx="200">
                  <c:v>61.542474717886513</c:v>
                </c:pt>
                <c:pt idx="201">
                  <c:v>61.543848798744271</c:v>
                </c:pt>
                <c:pt idx="202">
                  <c:v>61.701033601193728</c:v>
                </c:pt>
                <c:pt idx="203">
                  <c:v>61.702804694887199</c:v>
                </c:pt>
                <c:pt idx="204">
                  <c:v>60.205326485146522</c:v>
                </c:pt>
                <c:pt idx="205">
                  <c:v>61.71378551495151</c:v>
                </c:pt>
              </c:numCache>
            </c:numRef>
          </c:yVal>
          <c:smooth val="0"/>
        </c:ser>
        <c:ser>
          <c:idx val="1"/>
          <c:order val="2"/>
          <c:tx>
            <c:v>Åtgärdsnivå</c:v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Övrigt!$G$24:$G$25</c:f>
              <c:numCache>
                <c:formatCode>m/d/yyyy</c:formatCode>
                <c:ptCount val="2"/>
                <c:pt idx="0">
                  <c:v>42383</c:v>
                </c:pt>
                <c:pt idx="1">
                  <c:v>42717</c:v>
                </c:pt>
              </c:numCache>
            </c:numRef>
          </c:xVal>
          <c:yVal>
            <c:numRef>
              <c:f>Övrigt!$H$24:$H$25</c:f>
              <c:numCache>
                <c:formatCode>General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151808"/>
        <c:axId val="92153344"/>
      </c:scatterChart>
      <c:valAx>
        <c:axId val="92151808"/>
        <c:scaling>
          <c:orientation val="minMax"/>
          <c:min val="42400"/>
        </c:scaling>
        <c:delete val="0"/>
        <c:axPos val="b"/>
        <c:numFmt formatCode="[$-41D]mmm/yy;@" sourceLinked="0"/>
        <c:majorTickMark val="out"/>
        <c:minorTickMark val="none"/>
        <c:tickLblPos val="nextTo"/>
        <c:txPr>
          <a:bodyPr rot="-1860000"/>
          <a:lstStyle/>
          <a:p>
            <a:pPr>
              <a:defRPr/>
            </a:pPr>
            <a:endParaRPr lang="sv-SE"/>
          </a:p>
        </c:txPr>
        <c:crossAx val="92153344"/>
        <c:crosses val="autoZero"/>
        <c:crossBetween val="midCat"/>
      </c:valAx>
      <c:valAx>
        <c:axId val="9215334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crossAx val="92151808"/>
        <c:crosses val="autoZero"/>
        <c:crossBetween val="midCat"/>
        <c:majorUnit val="1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sv-SE">
                <a:latin typeface="Courier New" panose="02070309020205020404" pitchFamily="49" charset="0"/>
                <a:cs typeface="Courier New" panose="02070309020205020404" pitchFamily="49" charset="0"/>
              </a:rPr>
              <a:t>Uniformitet CFOV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Detektor 1 IU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w="19050">
                <a:solidFill>
                  <a:schemeClr val="tx1"/>
                </a:solidFill>
              </a:ln>
            </c:spPr>
          </c:marker>
          <c:trendline>
            <c:name>Detektor 1 IU (Veckotrend)</c:name>
            <c:spPr>
              <a:ln w="50800">
                <a:solidFill>
                  <a:schemeClr val="accent1"/>
                </a:solidFill>
              </a:ln>
            </c:spPr>
            <c:trendlineType val="movingAvg"/>
            <c:period val="5"/>
            <c:dispRSqr val="0"/>
            <c:dispEq val="0"/>
          </c:trendline>
          <c:xVal>
            <c:numRef>
              <c:f>'Detektor 1'!$C$6:$C$211</c:f>
              <c:numCache>
                <c:formatCode>m/d/yyyy</c:formatCode>
                <c:ptCount val="206"/>
                <c:pt idx="0">
                  <c:v>42383</c:v>
                </c:pt>
                <c:pt idx="1">
                  <c:v>42387</c:v>
                </c:pt>
                <c:pt idx="2">
                  <c:v>42388</c:v>
                </c:pt>
                <c:pt idx="3">
                  <c:v>42389</c:v>
                </c:pt>
                <c:pt idx="4">
                  <c:v>42390</c:v>
                </c:pt>
                <c:pt idx="5">
                  <c:v>42391</c:v>
                </c:pt>
                <c:pt idx="6">
                  <c:v>42394</c:v>
                </c:pt>
                <c:pt idx="7">
                  <c:v>42395</c:v>
                </c:pt>
                <c:pt idx="8">
                  <c:v>42396</c:v>
                </c:pt>
                <c:pt idx="9">
                  <c:v>42397</c:v>
                </c:pt>
                <c:pt idx="10">
                  <c:v>42398</c:v>
                </c:pt>
                <c:pt idx="11">
                  <c:v>42401</c:v>
                </c:pt>
                <c:pt idx="12">
                  <c:v>42402</c:v>
                </c:pt>
                <c:pt idx="13">
                  <c:v>42403</c:v>
                </c:pt>
                <c:pt idx="14">
                  <c:v>42404</c:v>
                </c:pt>
                <c:pt idx="15">
                  <c:v>42408</c:v>
                </c:pt>
                <c:pt idx="16">
                  <c:v>42409</c:v>
                </c:pt>
                <c:pt idx="17">
                  <c:v>42410</c:v>
                </c:pt>
                <c:pt idx="18">
                  <c:v>42411</c:v>
                </c:pt>
                <c:pt idx="19">
                  <c:v>42412</c:v>
                </c:pt>
                <c:pt idx="20">
                  <c:v>42415</c:v>
                </c:pt>
                <c:pt idx="21">
                  <c:v>42418</c:v>
                </c:pt>
                <c:pt idx="22">
                  <c:v>42419</c:v>
                </c:pt>
                <c:pt idx="23">
                  <c:v>42422</c:v>
                </c:pt>
                <c:pt idx="24">
                  <c:v>42423</c:v>
                </c:pt>
                <c:pt idx="25">
                  <c:v>42424</c:v>
                </c:pt>
                <c:pt idx="26">
                  <c:v>42425</c:v>
                </c:pt>
                <c:pt idx="27">
                  <c:v>42426</c:v>
                </c:pt>
                <c:pt idx="28">
                  <c:v>42429</c:v>
                </c:pt>
                <c:pt idx="29">
                  <c:v>42431</c:v>
                </c:pt>
                <c:pt idx="30">
                  <c:v>42432</c:v>
                </c:pt>
                <c:pt idx="31">
                  <c:v>42436</c:v>
                </c:pt>
                <c:pt idx="32">
                  <c:v>42437</c:v>
                </c:pt>
                <c:pt idx="33">
                  <c:v>42438</c:v>
                </c:pt>
                <c:pt idx="34">
                  <c:v>42439</c:v>
                </c:pt>
                <c:pt idx="35">
                  <c:v>42440</c:v>
                </c:pt>
                <c:pt idx="36">
                  <c:v>42443</c:v>
                </c:pt>
                <c:pt idx="37">
                  <c:v>42444</c:v>
                </c:pt>
                <c:pt idx="38">
                  <c:v>42445</c:v>
                </c:pt>
                <c:pt idx="39">
                  <c:v>42446</c:v>
                </c:pt>
                <c:pt idx="40">
                  <c:v>42447</c:v>
                </c:pt>
                <c:pt idx="41">
                  <c:v>42450</c:v>
                </c:pt>
                <c:pt idx="42">
                  <c:v>42451</c:v>
                </c:pt>
                <c:pt idx="43">
                  <c:v>42452</c:v>
                </c:pt>
                <c:pt idx="44">
                  <c:v>42453</c:v>
                </c:pt>
                <c:pt idx="45">
                  <c:v>42458</c:v>
                </c:pt>
                <c:pt idx="46">
                  <c:v>42459</c:v>
                </c:pt>
                <c:pt idx="47">
                  <c:v>42460</c:v>
                </c:pt>
                <c:pt idx="48">
                  <c:v>42461</c:v>
                </c:pt>
                <c:pt idx="49">
                  <c:v>42464</c:v>
                </c:pt>
                <c:pt idx="50">
                  <c:v>42465</c:v>
                </c:pt>
                <c:pt idx="51">
                  <c:v>42466</c:v>
                </c:pt>
                <c:pt idx="52">
                  <c:v>42467</c:v>
                </c:pt>
                <c:pt idx="53">
                  <c:v>42468</c:v>
                </c:pt>
                <c:pt idx="54">
                  <c:v>42471</c:v>
                </c:pt>
                <c:pt idx="55">
                  <c:v>42472</c:v>
                </c:pt>
                <c:pt idx="56">
                  <c:v>42473</c:v>
                </c:pt>
                <c:pt idx="57">
                  <c:v>42474</c:v>
                </c:pt>
                <c:pt idx="58">
                  <c:v>42475</c:v>
                </c:pt>
                <c:pt idx="59">
                  <c:v>42478</c:v>
                </c:pt>
                <c:pt idx="60">
                  <c:v>42479</c:v>
                </c:pt>
                <c:pt idx="61">
                  <c:v>42480</c:v>
                </c:pt>
                <c:pt idx="62">
                  <c:v>42481</c:v>
                </c:pt>
                <c:pt idx="63">
                  <c:v>42482</c:v>
                </c:pt>
                <c:pt idx="64">
                  <c:v>42486</c:v>
                </c:pt>
                <c:pt idx="65">
                  <c:v>42486</c:v>
                </c:pt>
                <c:pt idx="66">
                  <c:v>42487</c:v>
                </c:pt>
                <c:pt idx="67">
                  <c:v>42488</c:v>
                </c:pt>
                <c:pt idx="68">
                  <c:v>42489</c:v>
                </c:pt>
                <c:pt idx="69">
                  <c:v>42492</c:v>
                </c:pt>
                <c:pt idx="70">
                  <c:v>42494</c:v>
                </c:pt>
                <c:pt idx="71">
                  <c:v>42493</c:v>
                </c:pt>
                <c:pt idx="72">
                  <c:v>42496</c:v>
                </c:pt>
                <c:pt idx="73">
                  <c:v>42499</c:v>
                </c:pt>
                <c:pt idx="74">
                  <c:v>42500</c:v>
                </c:pt>
                <c:pt idx="75">
                  <c:v>42501</c:v>
                </c:pt>
                <c:pt idx="76">
                  <c:v>42502</c:v>
                </c:pt>
                <c:pt idx="77">
                  <c:v>42503</c:v>
                </c:pt>
                <c:pt idx="78">
                  <c:v>42506</c:v>
                </c:pt>
                <c:pt idx="79">
                  <c:v>42507</c:v>
                </c:pt>
                <c:pt idx="80">
                  <c:v>42508</c:v>
                </c:pt>
                <c:pt idx="81">
                  <c:v>42509</c:v>
                </c:pt>
                <c:pt idx="82">
                  <c:v>42513</c:v>
                </c:pt>
                <c:pt idx="83">
                  <c:v>42514</c:v>
                </c:pt>
                <c:pt idx="84">
                  <c:v>42515</c:v>
                </c:pt>
                <c:pt idx="85">
                  <c:v>42516</c:v>
                </c:pt>
                <c:pt idx="86">
                  <c:v>42517</c:v>
                </c:pt>
                <c:pt idx="87">
                  <c:v>42520</c:v>
                </c:pt>
                <c:pt idx="88">
                  <c:v>42521</c:v>
                </c:pt>
                <c:pt idx="89">
                  <c:v>42522</c:v>
                </c:pt>
                <c:pt idx="90">
                  <c:v>42523</c:v>
                </c:pt>
                <c:pt idx="91">
                  <c:v>42524</c:v>
                </c:pt>
                <c:pt idx="92">
                  <c:v>42528</c:v>
                </c:pt>
                <c:pt idx="93">
                  <c:v>42529</c:v>
                </c:pt>
                <c:pt idx="94">
                  <c:v>42530</c:v>
                </c:pt>
                <c:pt idx="95">
                  <c:v>42531</c:v>
                </c:pt>
                <c:pt idx="96">
                  <c:v>42534</c:v>
                </c:pt>
                <c:pt idx="97">
                  <c:v>42535</c:v>
                </c:pt>
                <c:pt idx="98">
                  <c:v>42536</c:v>
                </c:pt>
                <c:pt idx="99">
                  <c:v>42537</c:v>
                </c:pt>
                <c:pt idx="100">
                  <c:v>42538</c:v>
                </c:pt>
                <c:pt idx="101">
                  <c:v>42541</c:v>
                </c:pt>
                <c:pt idx="102">
                  <c:v>42542</c:v>
                </c:pt>
                <c:pt idx="103">
                  <c:v>42543</c:v>
                </c:pt>
                <c:pt idx="104">
                  <c:v>42544</c:v>
                </c:pt>
                <c:pt idx="105">
                  <c:v>42549</c:v>
                </c:pt>
                <c:pt idx="106">
                  <c:v>42550</c:v>
                </c:pt>
                <c:pt idx="107">
                  <c:v>42551</c:v>
                </c:pt>
                <c:pt idx="108">
                  <c:v>42552</c:v>
                </c:pt>
                <c:pt idx="109">
                  <c:v>42555</c:v>
                </c:pt>
                <c:pt idx="110">
                  <c:v>42557</c:v>
                </c:pt>
                <c:pt idx="111">
                  <c:v>42558</c:v>
                </c:pt>
                <c:pt idx="112">
                  <c:v>42559</c:v>
                </c:pt>
                <c:pt idx="113">
                  <c:v>42562</c:v>
                </c:pt>
                <c:pt idx="114">
                  <c:v>42563</c:v>
                </c:pt>
                <c:pt idx="115">
                  <c:v>42564</c:v>
                </c:pt>
                <c:pt idx="116">
                  <c:v>42565</c:v>
                </c:pt>
                <c:pt idx="117">
                  <c:v>42566</c:v>
                </c:pt>
                <c:pt idx="118">
                  <c:v>42571</c:v>
                </c:pt>
                <c:pt idx="119">
                  <c:v>42576</c:v>
                </c:pt>
                <c:pt idx="120">
                  <c:v>42578</c:v>
                </c:pt>
                <c:pt idx="121">
                  <c:v>42580</c:v>
                </c:pt>
                <c:pt idx="122">
                  <c:v>42584</c:v>
                </c:pt>
                <c:pt idx="123">
                  <c:v>42585</c:v>
                </c:pt>
                <c:pt idx="124">
                  <c:v>42590</c:v>
                </c:pt>
                <c:pt idx="125">
                  <c:v>42591</c:v>
                </c:pt>
                <c:pt idx="126">
                  <c:v>42592</c:v>
                </c:pt>
                <c:pt idx="127">
                  <c:v>42598</c:v>
                </c:pt>
                <c:pt idx="128">
                  <c:v>42599</c:v>
                </c:pt>
                <c:pt idx="129">
                  <c:v>42600</c:v>
                </c:pt>
                <c:pt idx="130">
                  <c:v>42601</c:v>
                </c:pt>
                <c:pt idx="131">
                  <c:v>42604</c:v>
                </c:pt>
                <c:pt idx="132">
                  <c:v>42606</c:v>
                </c:pt>
                <c:pt idx="133">
                  <c:v>42607</c:v>
                </c:pt>
                <c:pt idx="134">
                  <c:v>42608</c:v>
                </c:pt>
                <c:pt idx="135">
                  <c:v>42611</c:v>
                </c:pt>
                <c:pt idx="136">
                  <c:v>42612</c:v>
                </c:pt>
                <c:pt idx="137">
                  <c:v>42613</c:v>
                </c:pt>
                <c:pt idx="138">
                  <c:v>42614</c:v>
                </c:pt>
                <c:pt idx="139">
                  <c:v>42615</c:v>
                </c:pt>
                <c:pt idx="140">
                  <c:v>42618</c:v>
                </c:pt>
                <c:pt idx="141">
                  <c:v>42619</c:v>
                </c:pt>
                <c:pt idx="142">
                  <c:v>42620</c:v>
                </c:pt>
                <c:pt idx="143">
                  <c:v>42621</c:v>
                </c:pt>
                <c:pt idx="144">
                  <c:v>42622</c:v>
                </c:pt>
                <c:pt idx="145">
                  <c:v>42625</c:v>
                </c:pt>
                <c:pt idx="146">
                  <c:v>42626</c:v>
                </c:pt>
                <c:pt idx="147">
                  <c:v>42626</c:v>
                </c:pt>
                <c:pt idx="148">
                  <c:v>42627</c:v>
                </c:pt>
                <c:pt idx="149">
                  <c:v>42628</c:v>
                </c:pt>
                <c:pt idx="150">
                  <c:v>42629</c:v>
                </c:pt>
                <c:pt idx="151">
                  <c:v>42636</c:v>
                </c:pt>
                <c:pt idx="152">
                  <c:v>42639</c:v>
                </c:pt>
                <c:pt idx="153">
                  <c:v>42640</c:v>
                </c:pt>
                <c:pt idx="154">
                  <c:v>42641</c:v>
                </c:pt>
                <c:pt idx="155">
                  <c:v>42642</c:v>
                </c:pt>
                <c:pt idx="156">
                  <c:v>42643</c:v>
                </c:pt>
                <c:pt idx="157">
                  <c:v>42647</c:v>
                </c:pt>
                <c:pt idx="158">
                  <c:v>42648</c:v>
                </c:pt>
                <c:pt idx="159">
                  <c:v>42649</c:v>
                </c:pt>
                <c:pt idx="160">
                  <c:v>42650</c:v>
                </c:pt>
                <c:pt idx="161">
                  <c:v>42653</c:v>
                </c:pt>
                <c:pt idx="162">
                  <c:v>42654</c:v>
                </c:pt>
                <c:pt idx="163">
                  <c:v>42655</c:v>
                </c:pt>
                <c:pt idx="164">
                  <c:v>42656</c:v>
                </c:pt>
                <c:pt idx="165">
                  <c:v>42657</c:v>
                </c:pt>
                <c:pt idx="166">
                  <c:v>42660</c:v>
                </c:pt>
                <c:pt idx="167">
                  <c:v>42662</c:v>
                </c:pt>
                <c:pt idx="168">
                  <c:v>42663</c:v>
                </c:pt>
                <c:pt idx="169">
                  <c:v>42664</c:v>
                </c:pt>
                <c:pt idx="170">
                  <c:v>42667</c:v>
                </c:pt>
                <c:pt idx="171">
                  <c:v>42668</c:v>
                </c:pt>
                <c:pt idx="172">
                  <c:v>42669</c:v>
                </c:pt>
                <c:pt idx="173">
                  <c:v>42670</c:v>
                </c:pt>
                <c:pt idx="174">
                  <c:v>42671</c:v>
                </c:pt>
                <c:pt idx="175">
                  <c:v>42674</c:v>
                </c:pt>
                <c:pt idx="176">
                  <c:v>42675</c:v>
                </c:pt>
                <c:pt idx="177">
                  <c:v>42676</c:v>
                </c:pt>
                <c:pt idx="178">
                  <c:v>42677</c:v>
                </c:pt>
                <c:pt idx="179">
                  <c:v>42678</c:v>
                </c:pt>
                <c:pt idx="180">
                  <c:v>42681</c:v>
                </c:pt>
                <c:pt idx="181">
                  <c:v>42682</c:v>
                </c:pt>
                <c:pt idx="182">
                  <c:v>42683</c:v>
                </c:pt>
                <c:pt idx="183">
                  <c:v>42684</c:v>
                </c:pt>
                <c:pt idx="184">
                  <c:v>42685</c:v>
                </c:pt>
                <c:pt idx="185">
                  <c:v>42688</c:v>
                </c:pt>
                <c:pt idx="186">
                  <c:v>42689</c:v>
                </c:pt>
                <c:pt idx="187">
                  <c:v>42690</c:v>
                </c:pt>
                <c:pt idx="188">
                  <c:v>42691</c:v>
                </c:pt>
                <c:pt idx="189">
                  <c:v>42692</c:v>
                </c:pt>
                <c:pt idx="190">
                  <c:v>42695</c:v>
                </c:pt>
                <c:pt idx="191">
                  <c:v>42696</c:v>
                </c:pt>
                <c:pt idx="192">
                  <c:v>42697</c:v>
                </c:pt>
                <c:pt idx="193">
                  <c:v>42699</c:v>
                </c:pt>
                <c:pt idx="194">
                  <c:v>42702</c:v>
                </c:pt>
                <c:pt idx="195">
                  <c:v>42703</c:v>
                </c:pt>
                <c:pt idx="196">
                  <c:v>42704</c:v>
                </c:pt>
                <c:pt idx="197">
                  <c:v>42705</c:v>
                </c:pt>
                <c:pt idx="198">
                  <c:v>42706</c:v>
                </c:pt>
                <c:pt idx="199">
                  <c:v>42709</c:v>
                </c:pt>
                <c:pt idx="200">
                  <c:v>42710</c:v>
                </c:pt>
                <c:pt idx="201">
                  <c:v>42711</c:v>
                </c:pt>
                <c:pt idx="202">
                  <c:v>42712</c:v>
                </c:pt>
                <c:pt idx="203">
                  <c:v>42713</c:v>
                </c:pt>
                <c:pt idx="204">
                  <c:v>42716</c:v>
                </c:pt>
                <c:pt idx="205">
                  <c:v>42717</c:v>
                </c:pt>
              </c:numCache>
            </c:numRef>
          </c:xVal>
          <c:yVal>
            <c:numRef>
              <c:f>'Detektor 1'!$AA$6:$AA$211</c:f>
              <c:numCache>
                <c:formatCode>0.00%</c:formatCode>
                <c:ptCount val="206"/>
                <c:pt idx="0">
                  <c:v>6.0359999999999997E-2</c:v>
                </c:pt>
                <c:pt idx="1">
                  <c:v>6.4390000000000003E-2</c:v>
                </c:pt>
                <c:pt idx="2">
                  <c:v>5.323E-2</c:v>
                </c:pt>
                <c:pt idx="3">
                  <c:v>5.951E-2</c:v>
                </c:pt>
                <c:pt idx="4">
                  <c:v>5.5480000000000002E-2</c:v>
                </c:pt>
                <c:pt idx="5">
                  <c:v>5.6439999999999997E-2</c:v>
                </c:pt>
                <c:pt idx="6">
                  <c:v>6.8790000000000004E-2</c:v>
                </c:pt>
                <c:pt idx="7">
                  <c:v>5.6000000000000001E-2</c:v>
                </c:pt>
                <c:pt idx="8">
                  <c:v>5.7639999999999997E-2</c:v>
                </c:pt>
                <c:pt idx="9">
                  <c:v>5.7509999999999999E-2</c:v>
                </c:pt>
                <c:pt idx="10">
                  <c:v>5.5550000000000002E-2</c:v>
                </c:pt>
                <c:pt idx="11">
                  <c:v>6.3979999999999995E-2</c:v>
                </c:pt>
                <c:pt idx="12">
                  <c:v>6.173E-2</c:v>
                </c:pt>
                <c:pt idx="13">
                  <c:v>5.9400000000000001E-2</c:v>
                </c:pt>
                <c:pt idx="14">
                  <c:v>5.1279999999999999E-2</c:v>
                </c:pt>
                <c:pt idx="15">
                  <c:v>5.6779999999999997E-2</c:v>
                </c:pt>
                <c:pt idx="16">
                  <c:v>5.885E-2</c:v>
                </c:pt>
                <c:pt idx="17">
                  <c:v>5.4859999999999999E-2</c:v>
                </c:pt>
                <c:pt idx="18">
                  <c:v>6.9349999999999995E-2</c:v>
                </c:pt>
                <c:pt idx="19">
                  <c:v>5.7840000000000003E-2</c:v>
                </c:pt>
                <c:pt idx="20">
                  <c:v>6.3780000000000003E-2</c:v>
                </c:pt>
                <c:pt idx="21">
                  <c:v>6.5659999999999996E-2</c:v>
                </c:pt>
                <c:pt idx="22">
                  <c:v>6.6500000000000004E-2</c:v>
                </c:pt>
                <c:pt idx="23">
                  <c:v>6.2890000000000001E-2</c:v>
                </c:pt>
                <c:pt idx="24">
                  <c:v>5.8569999999999997E-2</c:v>
                </c:pt>
                <c:pt idx="25">
                  <c:v>5.4330000000000003E-2</c:v>
                </c:pt>
                <c:pt idx="26">
                  <c:v>6.0819999999999999E-2</c:v>
                </c:pt>
                <c:pt idx="27">
                  <c:v>5.7389999999999997E-2</c:v>
                </c:pt>
                <c:pt idx="28">
                  <c:v>5.4399999999999997E-2</c:v>
                </c:pt>
                <c:pt idx="29">
                  <c:v>6.9409999999999999E-2</c:v>
                </c:pt>
                <c:pt idx="30">
                  <c:v>5.7299999999999997E-2</c:v>
                </c:pt>
                <c:pt idx="31">
                  <c:v>6.0389999999999999E-2</c:v>
                </c:pt>
                <c:pt idx="32">
                  <c:v>5.8549999999999998E-2</c:v>
                </c:pt>
                <c:pt idx="33">
                  <c:v>6.1210000000000001E-2</c:v>
                </c:pt>
                <c:pt idx="34">
                  <c:v>6.7879999999999996E-2</c:v>
                </c:pt>
                <c:pt idx="35">
                  <c:v>5.4289999999999998E-2</c:v>
                </c:pt>
                <c:pt idx="36">
                  <c:v>5.9400000000000001E-2</c:v>
                </c:pt>
                <c:pt idx="37">
                  <c:v>5.919E-2</c:v>
                </c:pt>
                <c:pt idx="38">
                  <c:v>6.2710000000000002E-2</c:v>
                </c:pt>
                <c:pt idx="39">
                  <c:v>5.7430000000000002E-2</c:v>
                </c:pt>
                <c:pt idx="40">
                  <c:v>6.3130000000000006E-2</c:v>
                </c:pt>
                <c:pt idx="41">
                  <c:v>6.2799999999999995E-2</c:v>
                </c:pt>
                <c:pt idx="42">
                  <c:v>5.5070000000000001E-2</c:v>
                </c:pt>
                <c:pt idx="43">
                  <c:v>6.5729999999999997E-2</c:v>
                </c:pt>
                <c:pt idx="44">
                  <c:v>6.1990000000000003E-2</c:v>
                </c:pt>
                <c:pt idx="45">
                  <c:v>6.2649999999999997E-2</c:v>
                </c:pt>
                <c:pt idx="46">
                  <c:v>5.8650000000000001E-2</c:v>
                </c:pt>
                <c:pt idx="47">
                  <c:v>6.2670000000000003E-2</c:v>
                </c:pt>
                <c:pt idx="48">
                  <c:v>5.9889999999999999E-2</c:v>
                </c:pt>
                <c:pt idx="49">
                  <c:v>6.0670000000000002E-2</c:v>
                </c:pt>
                <c:pt idx="50">
                  <c:v>7.0360000000000006E-2</c:v>
                </c:pt>
                <c:pt idx="51">
                  <c:v>5.6939999999999998E-2</c:v>
                </c:pt>
                <c:pt idx="52">
                  <c:v>6.2850000000000003E-2</c:v>
                </c:pt>
                <c:pt idx="53">
                  <c:v>5.62E-2</c:v>
                </c:pt>
                <c:pt idx="54">
                  <c:v>6.4380000000000007E-2</c:v>
                </c:pt>
                <c:pt idx="55">
                  <c:v>5.9470000000000002E-2</c:v>
                </c:pt>
                <c:pt idx="56">
                  <c:v>5.2479999999999999E-2</c:v>
                </c:pt>
                <c:pt idx="57">
                  <c:v>5.4829999999999997E-2</c:v>
                </c:pt>
                <c:pt idx="58">
                  <c:v>6.6820000000000004E-2</c:v>
                </c:pt>
                <c:pt idx="59">
                  <c:v>6.182E-2</c:v>
                </c:pt>
                <c:pt idx="60">
                  <c:v>5.1950000000000003E-2</c:v>
                </c:pt>
                <c:pt idx="61">
                  <c:v>5.944E-2</c:v>
                </c:pt>
                <c:pt idx="62">
                  <c:v>6.0400000000000002E-2</c:v>
                </c:pt>
                <c:pt idx="63">
                  <c:v>5.5109999999999999E-2</c:v>
                </c:pt>
                <c:pt idx="64">
                  <c:v>7.0010000000000003E-2</c:v>
                </c:pt>
                <c:pt idx="65">
                  <c:v>5.3960000000000001E-2</c:v>
                </c:pt>
                <c:pt idx="66">
                  <c:v>6.1429999999999998E-2</c:v>
                </c:pt>
                <c:pt idx="67">
                  <c:v>6.5379999999999994E-2</c:v>
                </c:pt>
                <c:pt idx="68">
                  <c:v>6.497E-2</c:v>
                </c:pt>
                <c:pt idx="69">
                  <c:v>6.3350000000000004E-2</c:v>
                </c:pt>
                <c:pt idx="70">
                  <c:v>5.9020000000000003E-2</c:v>
                </c:pt>
                <c:pt idx="71">
                  <c:v>6.8580000000000002E-2</c:v>
                </c:pt>
                <c:pt idx="72">
                  <c:v>6.5540000000000001E-2</c:v>
                </c:pt>
                <c:pt idx="73">
                  <c:v>6.6919999999999993E-2</c:v>
                </c:pt>
                <c:pt idx="74">
                  <c:v>5.8959999999999999E-2</c:v>
                </c:pt>
                <c:pt idx="75">
                  <c:v>5.2040000000000003E-2</c:v>
                </c:pt>
                <c:pt idx="76">
                  <c:v>5.3030000000000001E-2</c:v>
                </c:pt>
                <c:pt idx="77">
                  <c:v>5.3129999999999997E-2</c:v>
                </c:pt>
                <c:pt idx="78">
                  <c:v>5.6489999999999999E-2</c:v>
                </c:pt>
                <c:pt idx="79">
                  <c:v>5.9279999999999999E-2</c:v>
                </c:pt>
                <c:pt idx="80">
                  <c:v>6.6820000000000004E-2</c:v>
                </c:pt>
                <c:pt idx="81">
                  <c:v>5.9459999999999999E-2</c:v>
                </c:pt>
                <c:pt idx="82">
                  <c:v>5.3150000000000003E-2</c:v>
                </c:pt>
                <c:pt idx="83">
                  <c:v>5.1720000000000002E-2</c:v>
                </c:pt>
                <c:pt idx="84">
                  <c:v>5.8119999999999998E-2</c:v>
                </c:pt>
                <c:pt idx="85">
                  <c:v>6.166E-2</c:v>
                </c:pt>
                <c:pt idx="86">
                  <c:v>6.2759999999999996E-2</c:v>
                </c:pt>
                <c:pt idx="87">
                  <c:v>6.54E-2</c:v>
                </c:pt>
                <c:pt idx="88">
                  <c:v>6.3100000000000003E-2</c:v>
                </c:pt>
                <c:pt idx="89">
                  <c:v>5.475E-2</c:v>
                </c:pt>
                <c:pt idx="90">
                  <c:v>5.3429999999999998E-2</c:v>
                </c:pt>
                <c:pt idx="91">
                  <c:v>6.3420000000000004E-2</c:v>
                </c:pt>
                <c:pt idx="92">
                  <c:v>6.6030000000000005E-2</c:v>
                </c:pt>
                <c:pt idx="93">
                  <c:v>6.13E-2</c:v>
                </c:pt>
                <c:pt idx="94">
                  <c:v>5.9760000000000001E-2</c:v>
                </c:pt>
                <c:pt idx="95">
                  <c:v>5.432E-2</c:v>
                </c:pt>
                <c:pt idx="96">
                  <c:v>6.5500000000000003E-2</c:v>
                </c:pt>
                <c:pt idx="97">
                  <c:v>6.2920000000000004E-2</c:v>
                </c:pt>
                <c:pt idx="98">
                  <c:v>5.67E-2</c:v>
                </c:pt>
                <c:pt idx="99">
                  <c:v>5.9130000000000002E-2</c:v>
                </c:pt>
                <c:pt idx="100">
                  <c:v>6.105E-2</c:v>
                </c:pt>
                <c:pt idx="101">
                  <c:v>6.6379999999999995E-2</c:v>
                </c:pt>
                <c:pt idx="102">
                  <c:v>5.6829999999999999E-2</c:v>
                </c:pt>
                <c:pt idx="103">
                  <c:v>6.1449999999999998E-2</c:v>
                </c:pt>
                <c:pt idx="104">
                  <c:v>5.824E-2</c:v>
                </c:pt>
                <c:pt idx="105">
                  <c:v>6.1039999999999997E-2</c:v>
                </c:pt>
                <c:pt idx="106">
                  <c:v>6.3750000000000001E-2</c:v>
                </c:pt>
                <c:pt idx="107">
                  <c:v>6.4170000000000005E-2</c:v>
                </c:pt>
                <c:pt idx="108">
                  <c:v>5.8549999999999998E-2</c:v>
                </c:pt>
                <c:pt idx="109">
                  <c:v>6.028E-2</c:v>
                </c:pt>
                <c:pt idx="110">
                  <c:v>5.602E-2</c:v>
                </c:pt>
                <c:pt idx="111">
                  <c:v>6.6180000000000003E-2</c:v>
                </c:pt>
                <c:pt idx="112">
                  <c:v>5.6180000000000001E-2</c:v>
                </c:pt>
                <c:pt idx="113">
                  <c:v>6.0690000000000001E-2</c:v>
                </c:pt>
                <c:pt idx="114">
                  <c:v>5.8930000000000003E-2</c:v>
                </c:pt>
                <c:pt idx="115">
                  <c:v>6.4409999999999995E-2</c:v>
                </c:pt>
                <c:pt idx="116">
                  <c:v>5.0849999999999999E-2</c:v>
                </c:pt>
                <c:pt idx="117">
                  <c:v>5.391E-2</c:v>
                </c:pt>
                <c:pt idx="118">
                  <c:v>5.7930000000000002E-2</c:v>
                </c:pt>
                <c:pt idx="119">
                  <c:v>7.0510000000000003E-2</c:v>
                </c:pt>
                <c:pt idx="120">
                  <c:v>5.6030000000000003E-2</c:v>
                </c:pt>
                <c:pt idx="121">
                  <c:v>7.2330000000000005E-2</c:v>
                </c:pt>
                <c:pt idx="122">
                  <c:v>6.1400000000000003E-2</c:v>
                </c:pt>
                <c:pt idx="123">
                  <c:v>6.1210000000000001E-2</c:v>
                </c:pt>
                <c:pt idx="124">
                  <c:v>5.4489999999999997E-2</c:v>
                </c:pt>
                <c:pt idx="125">
                  <c:v>5.6370000000000003E-2</c:v>
                </c:pt>
                <c:pt idx="126">
                  <c:v>6.472E-2</c:v>
                </c:pt>
                <c:pt idx="127">
                  <c:v>5.2720000000000003E-2</c:v>
                </c:pt>
                <c:pt idx="128">
                  <c:v>5.9549999999999999E-2</c:v>
                </c:pt>
                <c:pt idx="129">
                  <c:v>6.1940000000000002E-2</c:v>
                </c:pt>
                <c:pt idx="130">
                  <c:v>6.2109999999999999E-2</c:v>
                </c:pt>
                <c:pt idx="131">
                  <c:v>6.8049999999999999E-2</c:v>
                </c:pt>
                <c:pt idx="132">
                  <c:v>6.4869999999999997E-2</c:v>
                </c:pt>
                <c:pt idx="133">
                  <c:v>6.3399999999999998E-2</c:v>
                </c:pt>
                <c:pt idx="134">
                  <c:v>6.0440000000000001E-2</c:v>
                </c:pt>
                <c:pt idx="135">
                  <c:v>6.2350000000000003E-2</c:v>
                </c:pt>
                <c:pt idx="136">
                  <c:v>5.6300000000000003E-2</c:v>
                </c:pt>
                <c:pt idx="137">
                  <c:v>7.1559999999999999E-2</c:v>
                </c:pt>
                <c:pt idx="138">
                  <c:v>5.6890000000000003E-2</c:v>
                </c:pt>
                <c:pt idx="139">
                  <c:v>6.6970000000000002E-2</c:v>
                </c:pt>
                <c:pt idx="140">
                  <c:v>5.6759999999999998E-2</c:v>
                </c:pt>
                <c:pt idx="141">
                  <c:v>5.3179999999999998E-2</c:v>
                </c:pt>
                <c:pt idx="142">
                  <c:v>6.3109999999999999E-2</c:v>
                </c:pt>
                <c:pt idx="143">
                  <c:v>6.1580000000000003E-2</c:v>
                </c:pt>
                <c:pt idx="144">
                  <c:v>6.0999999999999999E-2</c:v>
                </c:pt>
                <c:pt idx="145">
                  <c:v>5.4829999999999997E-2</c:v>
                </c:pt>
                <c:pt idx="146">
                  <c:v>6.608E-2</c:v>
                </c:pt>
                <c:pt idx="147">
                  <c:v>6.608E-2</c:v>
                </c:pt>
                <c:pt idx="148">
                  <c:v>6.3710000000000003E-2</c:v>
                </c:pt>
                <c:pt idx="149">
                  <c:v>8.0060000000000006E-2</c:v>
                </c:pt>
                <c:pt idx="150">
                  <c:v>5.8779999999999999E-2</c:v>
                </c:pt>
                <c:pt idx="151">
                  <c:v>5.3400000000000003E-2</c:v>
                </c:pt>
                <c:pt idx="152">
                  <c:v>6.0900000000000003E-2</c:v>
                </c:pt>
                <c:pt idx="153">
                  <c:v>6.1039999999999997E-2</c:v>
                </c:pt>
                <c:pt idx="154">
                  <c:v>6.5449999999999994E-2</c:v>
                </c:pt>
                <c:pt idx="155">
                  <c:v>5.8909999999999997E-2</c:v>
                </c:pt>
                <c:pt idx="156">
                  <c:v>6.7500000000000004E-2</c:v>
                </c:pt>
                <c:pt idx="157">
                  <c:v>6.1469999999999997E-2</c:v>
                </c:pt>
                <c:pt idx="158">
                  <c:v>6.2280000000000002E-2</c:v>
                </c:pt>
                <c:pt idx="159">
                  <c:v>5.4519999999999999E-2</c:v>
                </c:pt>
                <c:pt idx="160">
                  <c:v>5.8560000000000001E-2</c:v>
                </c:pt>
                <c:pt idx="161">
                  <c:v>6.1589999999999999E-2</c:v>
                </c:pt>
                <c:pt idx="162">
                  <c:v>5.6500000000000002E-2</c:v>
                </c:pt>
                <c:pt idx="163">
                  <c:v>5.9150000000000001E-2</c:v>
                </c:pt>
                <c:pt idx="164">
                  <c:v>6.0859999999999997E-2</c:v>
                </c:pt>
                <c:pt idx="165">
                  <c:v>6.0310000000000002E-2</c:v>
                </c:pt>
                <c:pt idx="166">
                  <c:v>6.404E-2</c:v>
                </c:pt>
                <c:pt idx="167">
                  <c:v>5.1200000000000002E-2</c:v>
                </c:pt>
                <c:pt idx="168">
                  <c:v>5.7849999999999999E-2</c:v>
                </c:pt>
                <c:pt idx="169">
                  <c:v>6.3960000000000003E-2</c:v>
                </c:pt>
                <c:pt idx="170">
                  <c:v>6.9169999999999995E-2</c:v>
                </c:pt>
                <c:pt idx="171">
                  <c:v>6.1199999999999997E-2</c:v>
                </c:pt>
                <c:pt idx="172">
                  <c:v>5.7579999999999999E-2</c:v>
                </c:pt>
                <c:pt idx="173">
                  <c:v>5.3069999999999999E-2</c:v>
                </c:pt>
                <c:pt idx="174">
                  <c:v>5.7090000000000002E-2</c:v>
                </c:pt>
                <c:pt idx="175">
                  <c:v>6.2350000000000003E-2</c:v>
                </c:pt>
                <c:pt idx="176">
                  <c:v>5.9900000000000002E-2</c:v>
                </c:pt>
                <c:pt idx="177">
                  <c:v>5.4960000000000002E-2</c:v>
                </c:pt>
                <c:pt idx="178">
                  <c:v>6.0100000000000001E-2</c:v>
                </c:pt>
                <c:pt idx="179">
                  <c:v>5.9459999999999999E-2</c:v>
                </c:pt>
                <c:pt idx="180">
                  <c:v>6.6600000000000006E-2</c:v>
                </c:pt>
                <c:pt idx="181">
                  <c:v>6.5379999999999994E-2</c:v>
                </c:pt>
                <c:pt idx="182">
                  <c:v>5.8470000000000001E-2</c:v>
                </c:pt>
                <c:pt idx="183">
                  <c:v>5.8709999999999998E-2</c:v>
                </c:pt>
                <c:pt idx="184">
                  <c:v>5.5390000000000002E-2</c:v>
                </c:pt>
                <c:pt idx="185">
                  <c:v>7.8189999999999996E-2</c:v>
                </c:pt>
                <c:pt idx="186">
                  <c:v>6.1800000000000001E-2</c:v>
                </c:pt>
                <c:pt idx="187">
                  <c:v>5.432E-2</c:v>
                </c:pt>
                <c:pt idx="188">
                  <c:v>5.8130000000000001E-2</c:v>
                </c:pt>
                <c:pt idx="189">
                  <c:v>6.0929999999999998E-2</c:v>
                </c:pt>
                <c:pt idx="190">
                  <c:v>6.8059999999999996E-2</c:v>
                </c:pt>
                <c:pt idx="191">
                  <c:v>5.7680000000000002E-2</c:v>
                </c:pt>
                <c:pt idx="192">
                  <c:v>6.0150000000000002E-2</c:v>
                </c:pt>
                <c:pt idx="193">
                  <c:v>5.6590000000000001E-2</c:v>
                </c:pt>
                <c:pt idx="194">
                  <c:v>6.6269999999999996E-2</c:v>
                </c:pt>
                <c:pt idx="195">
                  <c:v>5.722E-2</c:v>
                </c:pt>
                <c:pt idx="196">
                  <c:v>6.2609999999999999E-2</c:v>
                </c:pt>
                <c:pt idx="197">
                  <c:v>5.1060000000000001E-2</c:v>
                </c:pt>
                <c:pt idx="198">
                  <c:v>7.3810000000000001E-2</c:v>
                </c:pt>
                <c:pt idx="199">
                  <c:v>6.9459999999999994E-2</c:v>
                </c:pt>
                <c:pt idx="200">
                  <c:v>5.7570000000000003E-2</c:v>
                </c:pt>
                <c:pt idx="201">
                  <c:v>5.5329999999999997E-2</c:v>
                </c:pt>
                <c:pt idx="202">
                  <c:v>5.9839999999999997E-2</c:v>
                </c:pt>
                <c:pt idx="203">
                  <c:v>6.0589999999999998E-2</c:v>
                </c:pt>
                <c:pt idx="204">
                  <c:v>6.293E-2</c:v>
                </c:pt>
                <c:pt idx="205">
                  <c:v>6.3780000000000003E-2</c:v>
                </c:pt>
              </c:numCache>
            </c:numRef>
          </c:yVal>
          <c:smooth val="0"/>
        </c:ser>
        <c:ser>
          <c:idx val="3"/>
          <c:order val="1"/>
          <c:tx>
            <c:v>Detektor 2 IU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/>
              </a:solidFill>
              <a:ln w="19050">
                <a:solidFill>
                  <a:schemeClr val="tx1"/>
                </a:solidFill>
              </a:ln>
            </c:spPr>
          </c:marker>
          <c:trendline>
            <c:name>Detektor 2 IU (Veckotrend)</c:name>
            <c:spPr>
              <a:ln w="50800">
                <a:solidFill>
                  <a:schemeClr val="accent2"/>
                </a:solidFill>
              </a:ln>
            </c:spPr>
            <c:trendlineType val="movingAvg"/>
            <c:period val="5"/>
            <c:dispRSqr val="0"/>
            <c:dispEq val="0"/>
          </c:trendline>
          <c:xVal>
            <c:numRef>
              <c:f>'Detektor 2'!$C$6:$C$211</c:f>
              <c:numCache>
                <c:formatCode>m/d/yyyy</c:formatCode>
                <c:ptCount val="206"/>
                <c:pt idx="0">
                  <c:v>42383</c:v>
                </c:pt>
                <c:pt idx="1">
                  <c:v>42387</c:v>
                </c:pt>
                <c:pt idx="2">
                  <c:v>42388</c:v>
                </c:pt>
                <c:pt idx="3">
                  <c:v>42389</c:v>
                </c:pt>
                <c:pt idx="4">
                  <c:v>42390</c:v>
                </c:pt>
                <c:pt idx="5">
                  <c:v>42391</c:v>
                </c:pt>
                <c:pt idx="6">
                  <c:v>42394</c:v>
                </c:pt>
                <c:pt idx="7">
                  <c:v>42395</c:v>
                </c:pt>
                <c:pt idx="8">
                  <c:v>42396</c:v>
                </c:pt>
                <c:pt idx="9">
                  <c:v>42397</c:v>
                </c:pt>
                <c:pt idx="10">
                  <c:v>42398</c:v>
                </c:pt>
                <c:pt idx="11">
                  <c:v>42401</c:v>
                </c:pt>
                <c:pt idx="12">
                  <c:v>42402</c:v>
                </c:pt>
                <c:pt idx="13">
                  <c:v>42403</c:v>
                </c:pt>
                <c:pt idx="14">
                  <c:v>42404</c:v>
                </c:pt>
                <c:pt idx="15">
                  <c:v>42408</c:v>
                </c:pt>
                <c:pt idx="16">
                  <c:v>42409</c:v>
                </c:pt>
                <c:pt idx="17">
                  <c:v>42410</c:v>
                </c:pt>
                <c:pt idx="18">
                  <c:v>42411</c:v>
                </c:pt>
                <c:pt idx="19">
                  <c:v>42412</c:v>
                </c:pt>
                <c:pt idx="20">
                  <c:v>42415</c:v>
                </c:pt>
                <c:pt idx="21">
                  <c:v>42418</c:v>
                </c:pt>
                <c:pt idx="22">
                  <c:v>42419</c:v>
                </c:pt>
                <c:pt idx="23">
                  <c:v>42422</c:v>
                </c:pt>
                <c:pt idx="24">
                  <c:v>42423</c:v>
                </c:pt>
                <c:pt idx="25">
                  <c:v>42424</c:v>
                </c:pt>
                <c:pt idx="26">
                  <c:v>42425</c:v>
                </c:pt>
                <c:pt idx="27">
                  <c:v>42426</c:v>
                </c:pt>
                <c:pt idx="28">
                  <c:v>42429</c:v>
                </c:pt>
                <c:pt idx="29">
                  <c:v>42431</c:v>
                </c:pt>
                <c:pt idx="30">
                  <c:v>42432</c:v>
                </c:pt>
                <c:pt idx="31">
                  <c:v>42436</c:v>
                </c:pt>
                <c:pt idx="32">
                  <c:v>42437</c:v>
                </c:pt>
                <c:pt idx="33">
                  <c:v>42438</c:v>
                </c:pt>
                <c:pt idx="34">
                  <c:v>42439</c:v>
                </c:pt>
                <c:pt idx="35">
                  <c:v>42440</c:v>
                </c:pt>
                <c:pt idx="36">
                  <c:v>42443</c:v>
                </c:pt>
                <c:pt idx="37">
                  <c:v>42444</c:v>
                </c:pt>
                <c:pt idx="38">
                  <c:v>42445</c:v>
                </c:pt>
                <c:pt idx="39">
                  <c:v>42446</c:v>
                </c:pt>
                <c:pt idx="40">
                  <c:v>42447</c:v>
                </c:pt>
                <c:pt idx="41">
                  <c:v>42450</c:v>
                </c:pt>
                <c:pt idx="42">
                  <c:v>42451</c:v>
                </c:pt>
                <c:pt idx="43">
                  <c:v>42452</c:v>
                </c:pt>
                <c:pt idx="44">
                  <c:v>42453</c:v>
                </c:pt>
                <c:pt idx="45">
                  <c:v>42458</c:v>
                </c:pt>
                <c:pt idx="46">
                  <c:v>42459</c:v>
                </c:pt>
                <c:pt idx="47">
                  <c:v>42460</c:v>
                </c:pt>
                <c:pt idx="48">
                  <c:v>42461</c:v>
                </c:pt>
                <c:pt idx="49">
                  <c:v>42464</c:v>
                </c:pt>
                <c:pt idx="50">
                  <c:v>42465</c:v>
                </c:pt>
                <c:pt idx="51">
                  <c:v>42466</c:v>
                </c:pt>
                <c:pt idx="52">
                  <c:v>42467</c:v>
                </c:pt>
                <c:pt idx="53">
                  <c:v>42468</c:v>
                </c:pt>
                <c:pt idx="54">
                  <c:v>42471</c:v>
                </c:pt>
                <c:pt idx="55">
                  <c:v>42472</c:v>
                </c:pt>
                <c:pt idx="56">
                  <c:v>42473</c:v>
                </c:pt>
                <c:pt idx="57">
                  <c:v>42474</c:v>
                </c:pt>
                <c:pt idx="58">
                  <c:v>42475</c:v>
                </c:pt>
                <c:pt idx="59">
                  <c:v>42478</c:v>
                </c:pt>
                <c:pt idx="60">
                  <c:v>42479</c:v>
                </c:pt>
                <c:pt idx="61">
                  <c:v>42480</c:v>
                </c:pt>
                <c:pt idx="62">
                  <c:v>42481</c:v>
                </c:pt>
                <c:pt idx="63">
                  <c:v>42482</c:v>
                </c:pt>
                <c:pt idx="64">
                  <c:v>42486</c:v>
                </c:pt>
                <c:pt idx="65">
                  <c:v>42486</c:v>
                </c:pt>
                <c:pt idx="66">
                  <c:v>42487</c:v>
                </c:pt>
                <c:pt idx="67">
                  <c:v>42488</c:v>
                </c:pt>
                <c:pt idx="68">
                  <c:v>42489</c:v>
                </c:pt>
                <c:pt idx="69">
                  <c:v>42492</c:v>
                </c:pt>
                <c:pt idx="70">
                  <c:v>42494</c:v>
                </c:pt>
                <c:pt idx="71">
                  <c:v>42493</c:v>
                </c:pt>
                <c:pt idx="72">
                  <c:v>42496</c:v>
                </c:pt>
                <c:pt idx="73">
                  <c:v>42499</c:v>
                </c:pt>
                <c:pt idx="74">
                  <c:v>42500</c:v>
                </c:pt>
                <c:pt idx="75">
                  <c:v>42501</c:v>
                </c:pt>
                <c:pt idx="76">
                  <c:v>42502</c:v>
                </c:pt>
                <c:pt idx="77">
                  <c:v>42503</c:v>
                </c:pt>
                <c:pt idx="78">
                  <c:v>42506</c:v>
                </c:pt>
                <c:pt idx="79">
                  <c:v>42507</c:v>
                </c:pt>
                <c:pt idx="80">
                  <c:v>42508</c:v>
                </c:pt>
                <c:pt idx="81">
                  <c:v>42509</c:v>
                </c:pt>
                <c:pt idx="82">
                  <c:v>42513</c:v>
                </c:pt>
                <c:pt idx="83">
                  <c:v>42514</c:v>
                </c:pt>
                <c:pt idx="84">
                  <c:v>42515</c:v>
                </c:pt>
                <c:pt idx="85">
                  <c:v>42516</c:v>
                </c:pt>
                <c:pt idx="86">
                  <c:v>42517</c:v>
                </c:pt>
                <c:pt idx="87">
                  <c:v>42520</c:v>
                </c:pt>
                <c:pt idx="88">
                  <c:v>42521</c:v>
                </c:pt>
                <c:pt idx="89">
                  <c:v>42522</c:v>
                </c:pt>
                <c:pt idx="90">
                  <c:v>42523</c:v>
                </c:pt>
                <c:pt idx="91">
                  <c:v>42524</c:v>
                </c:pt>
                <c:pt idx="92">
                  <c:v>42528</c:v>
                </c:pt>
                <c:pt idx="93">
                  <c:v>42529</c:v>
                </c:pt>
                <c:pt idx="94">
                  <c:v>42530</c:v>
                </c:pt>
                <c:pt idx="95">
                  <c:v>42531</c:v>
                </c:pt>
                <c:pt idx="96">
                  <c:v>42534</c:v>
                </c:pt>
                <c:pt idx="97">
                  <c:v>42535</c:v>
                </c:pt>
                <c:pt idx="98">
                  <c:v>42536</c:v>
                </c:pt>
                <c:pt idx="99">
                  <c:v>42537</c:v>
                </c:pt>
                <c:pt idx="100">
                  <c:v>42538</c:v>
                </c:pt>
                <c:pt idx="101">
                  <c:v>42541</c:v>
                </c:pt>
                <c:pt idx="102">
                  <c:v>42542</c:v>
                </c:pt>
                <c:pt idx="103">
                  <c:v>42543</c:v>
                </c:pt>
                <c:pt idx="104">
                  <c:v>42544</c:v>
                </c:pt>
                <c:pt idx="105">
                  <c:v>42549</c:v>
                </c:pt>
                <c:pt idx="106">
                  <c:v>42550</c:v>
                </c:pt>
                <c:pt idx="107">
                  <c:v>42551</c:v>
                </c:pt>
                <c:pt idx="108">
                  <c:v>42552</c:v>
                </c:pt>
                <c:pt idx="109">
                  <c:v>42555</c:v>
                </c:pt>
                <c:pt idx="110">
                  <c:v>42557</c:v>
                </c:pt>
                <c:pt idx="111">
                  <c:v>42558</c:v>
                </c:pt>
                <c:pt idx="112">
                  <c:v>42559</c:v>
                </c:pt>
                <c:pt idx="113">
                  <c:v>42562</c:v>
                </c:pt>
                <c:pt idx="114">
                  <c:v>42563</c:v>
                </c:pt>
                <c:pt idx="115">
                  <c:v>42564</c:v>
                </c:pt>
                <c:pt idx="116">
                  <c:v>42565</c:v>
                </c:pt>
                <c:pt idx="117">
                  <c:v>42566</c:v>
                </c:pt>
                <c:pt idx="118">
                  <c:v>42571</c:v>
                </c:pt>
                <c:pt idx="119">
                  <c:v>42576</c:v>
                </c:pt>
                <c:pt idx="120">
                  <c:v>42578</c:v>
                </c:pt>
                <c:pt idx="121">
                  <c:v>42580</c:v>
                </c:pt>
                <c:pt idx="122">
                  <c:v>42584</c:v>
                </c:pt>
                <c:pt idx="123">
                  <c:v>42585</c:v>
                </c:pt>
                <c:pt idx="124">
                  <c:v>42590</c:v>
                </c:pt>
                <c:pt idx="125">
                  <c:v>42591</c:v>
                </c:pt>
                <c:pt idx="126">
                  <c:v>42592</c:v>
                </c:pt>
                <c:pt idx="127">
                  <c:v>42598</c:v>
                </c:pt>
                <c:pt idx="128">
                  <c:v>42599</c:v>
                </c:pt>
                <c:pt idx="129">
                  <c:v>42600</c:v>
                </c:pt>
                <c:pt idx="130">
                  <c:v>42601</c:v>
                </c:pt>
                <c:pt idx="131">
                  <c:v>42604</c:v>
                </c:pt>
                <c:pt idx="132">
                  <c:v>42606</c:v>
                </c:pt>
                <c:pt idx="133">
                  <c:v>42607</c:v>
                </c:pt>
                <c:pt idx="134">
                  <c:v>42608</c:v>
                </c:pt>
                <c:pt idx="135">
                  <c:v>42611</c:v>
                </c:pt>
                <c:pt idx="136">
                  <c:v>42612</c:v>
                </c:pt>
                <c:pt idx="137">
                  <c:v>42613</c:v>
                </c:pt>
                <c:pt idx="138">
                  <c:v>42614</c:v>
                </c:pt>
                <c:pt idx="139">
                  <c:v>42615</c:v>
                </c:pt>
                <c:pt idx="140">
                  <c:v>42618</c:v>
                </c:pt>
                <c:pt idx="141">
                  <c:v>42619</c:v>
                </c:pt>
                <c:pt idx="142">
                  <c:v>42620</c:v>
                </c:pt>
                <c:pt idx="143">
                  <c:v>42621</c:v>
                </c:pt>
                <c:pt idx="144">
                  <c:v>42622</c:v>
                </c:pt>
                <c:pt idx="145">
                  <c:v>42625</c:v>
                </c:pt>
                <c:pt idx="146">
                  <c:v>42626</c:v>
                </c:pt>
                <c:pt idx="147">
                  <c:v>42626</c:v>
                </c:pt>
                <c:pt idx="148">
                  <c:v>42627</c:v>
                </c:pt>
                <c:pt idx="149">
                  <c:v>42628</c:v>
                </c:pt>
                <c:pt idx="150">
                  <c:v>42629</c:v>
                </c:pt>
                <c:pt idx="151">
                  <c:v>42636</c:v>
                </c:pt>
                <c:pt idx="152">
                  <c:v>42639</c:v>
                </c:pt>
                <c:pt idx="153">
                  <c:v>42640</c:v>
                </c:pt>
                <c:pt idx="154">
                  <c:v>42641</c:v>
                </c:pt>
                <c:pt idx="155">
                  <c:v>42642</c:v>
                </c:pt>
                <c:pt idx="156">
                  <c:v>42643</c:v>
                </c:pt>
                <c:pt idx="157">
                  <c:v>42647</c:v>
                </c:pt>
                <c:pt idx="158">
                  <c:v>42648</c:v>
                </c:pt>
                <c:pt idx="159">
                  <c:v>42649</c:v>
                </c:pt>
                <c:pt idx="160">
                  <c:v>42650</c:v>
                </c:pt>
                <c:pt idx="161">
                  <c:v>42653</c:v>
                </c:pt>
                <c:pt idx="162">
                  <c:v>42654</c:v>
                </c:pt>
                <c:pt idx="163">
                  <c:v>42655</c:v>
                </c:pt>
                <c:pt idx="164">
                  <c:v>42656</c:v>
                </c:pt>
                <c:pt idx="165">
                  <c:v>42657</c:v>
                </c:pt>
                <c:pt idx="166">
                  <c:v>42660</c:v>
                </c:pt>
                <c:pt idx="167">
                  <c:v>42662</c:v>
                </c:pt>
                <c:pt idx="168">
                  <c:v>42663</c:v>
                </c:pt>
                <c:pt idx="169">
                  <c:v>42664</c:v>
                </c:pt>
                <c:pt idx="170">
                  <c:v>42667</c:v>
                </c:pt>
                <c:pt idx="171">
                  <c:v>42668</c:v>
                </c:pt>
                <c:pt idx="172">
                  <c:v>42669</c:v>
                </c:pt>
                <c:pt idx="173">
                  <c:v>42670</c:v>
                </c:pt>
                <c:pt idx="174">
                  <c:v>42671</c:v>
                </c:pt>
                <c:pt idx="175">
                  <c:v>42674</c:v>
                </c:pt>
                <c:pt idx="176">
                  <c:v>42675</c:v>
                </c:pt>
                <c:pt idx="177">
                  <c:v>42676</c:v>
                </c:pt>
                <c:pt idx="178">
                  <c:v>42677</c:v>
                </c:pt>
                <c:pt idx="179">
                  <c:v>42678</c:v>
                </c:pt>
                <c:pt idx="180">
                  <c:v>42681</c:v>
                </c:pt>
                <c:pt idx="181">
                  <c:v>42682</c:v>
                </c:pt>
                <c:pt idx="182">
                  <c:v>42683</c:v>
                </c:pt>
                <c:pt idx="183">
                  <c:v>42684</c:v>
                </c:pt>
                <c:pt idx="184">
                  <c:v>42685</c:v>
                </c:pt>
                <c:pt idx="185">
                  <c:v>42688</c:v>
                </c:pt>
                <c:pt idx="186">
                  <c:v>42689</c:v>
                </c:pt>
                <c:pt idx="187">
                  <c:v>42690</c:v>
                </c:pt>
                <c:pt idx="188">
                  <c:v>42691</c:v>
                </c:pt>
                <c:pt idx="189">
                  <c:v>42692</c:v>
                </c:pt>
                <c:pt idx="190">
                  <c:v>42695</c:v>
                </c:pt>
                <c:pt idx="191">
                  <c:v>42696</c:v>
                </c:pt>
                <c:pt idx="192">
                  <c:v>42697</c:v>
                </c:pt>
                <c:pt idx="193">
                  <c:v>42699</c:v>
                </c:pt>
                <c:pt idx="194">
                  <c:v>42702</c:v>
                </c:pt>
                <c:pt idx="195">
                  <c:v>42703</c:v>
                </c:pt>
                <c:pt idx="196">
                  <c:v>42704</c:v>
                </c:pt>
                <c:pt idx="197">
                  <c:v>42705</c:v>
                </c:pt>
                <c:pt idx="198">
                  <c:v>42706</c:v>
                </c:pt>
                <c:pt idx="199">
                  <c:v>42709</c:v>
                </c:pt>
                <c:pt idx="200">
                  <c:v>42710</c:v>
                </c:pt>
                <c:pt idx="201">
                  <c:v>42711</c:v>
                </c:pt>
                <c:pt idx="202">
                  <c:v>42712</c:v>
                </c:pt>
                <c:pt idx="203">
                  <c:v>42713</c:v>
                </c:pt>
                <c:pt idx="204">
                  <c:v>42716</c:v>
                </c:pt>
                <c:pt idx="205">
                  <c:v>42717</c:v>
                </c:pt>
              </c:numCache>
            </c:numRef>
          </c:xVal>
          <c:yVal>
            <c:numRef>
              <c:f>'Detektor 2'!$AA$6:$AA$211</c:f>
              <c:numCache>
                <c:formatCode>0.00%</c:formatCode>
                <c:ptCount val="206"/>
                <c:pt idx="0">
                  <c:v>6.3659999999999994E-2</c:v>
                </c:pt>
                <c:pt idx="1">
                  <c:v>7.8600000000000003E-2</c:v>
                </c:pt>
                <c:pt idx="2">
                  <c:v>6.8129999999999996E-2</c:v>
                </c:pt>
                <c:pt idx="3">
                  <c:v>5.9569999999999998E-2</c:v>
                </c:pt>
                <c:pt idx="4">
                  <c:v>5.9650000000000002E-2</c:v>
                </c:pt>
                <c:pt idx="5">
                  <c:v>6.3750000000000001E-2</c:v>
                </c:pt>
                <c:pt idx="6">
                  <c:v>5.849E-2</c:v>
                </c:pt>
                <c:pt idx="7">
                  <c:v>5.253E-2</c:v>
                </c:pt>
                <c:pt idx="8">
                  <c:v>5.9760000000000001E-2</c:v>
                </c:pt>
                <c:pt idx="9">
                  <c:v>5.5890000000000002E-2</c:v>
                </c:pt>
                <c:pt idx="10">
                  <c:v>5.6000000000000001E-2</c:v>
                </c:pt>
                <c:pt idx="11">
                  <c:v>6.3640000000000002E-2</c:v>
                </c:pt>
                <c:pt idx="12">
                  <c:v>5.9470000000000002E-2</c:v>
                </c:pt>
                <c:pt idx="13">
                  <c:v>6.8479999999999999E-2</c:v>
                </c:pt>
                <c:pt idx="14">
                  <c:v>6.7460000000000006E-2</c:v>
                </c:pt>
                <c:pt idx="15">
                  <c:v>6.4100000000000004E-2</c:v>
                </c:pt>
                <c:pt idx="16">
                  <c:v>6.3070000000000001E-2</c:v>
                </c:pt>
                <c:pt idx="17">
                  <c:v>5.7939999999999998E-2</c:v>
                </c:pt>
                <c:pt idx="18">
                  <c:v>5.9490000000000001E-2</c:v>
                </c:pt>
                <c:pt idx="19">
                  <c:v>7.3880000000000001E-2</c:v>
                </c:pt>
                <c:pt idx="20">
                  <c:v>6.3170000000000004E-2</c:v>
                </c:pt>
                <c:pt idx="21">
                  <c:v>6.3329999999999997E-2</c:v>
                </c:pt>
                <c:pt idx="22">
                  <c:v>6.404E-2</c:v>
                </c:pt>
                <c:pt idx="23">
                  <c:v>5.987E-2</c:v>
                </c:pt>
                <c:pt idx="24">
                  <c:v>5.5440000000000003E-2</c:v>
                </c:pt>
                <c:pt idx="25">
                  <c:v>6.8010000000000001E-2</c:v>
                </c:pt>
                <c:pt idx="26">
                  <c:v>5.9580000000000001E-2</c:v>
                </c:pt>
                <c:pt idx="27">
                  <c:v>5.4420000000000003E-2</c:v>
                </c:pt>
                <c:pt idx="28">
                  <c:v>4.9820000000000003E-2</c:v>
                </c:pt>
                <c:pt idx="29">
                  <c:v>6.7239999999999994E-2</c:v>
                </c:pt>
                <c:pt idx="30">
                  <c:v>5.543E-2</c:v>
                </c:pt>
                <c:pt idx="31">
                  <c:v>6.037E-2</c:v>
                </c:pt>
                <c:pt idx="32">
                  <c:v>6.1609999999999998E-2</c:v>
                </c:pt>
                <c:pt idx="33">
                  <c:v>6.0080000000000001E-2</c:v>
                </c:pt>
                <c:pt idx="34">
                  <c:v>6.4899999999999999E-2</c:v>
                </c:pt>
                <c:pt idx="35">
                  <c:v>6.5909999999999996E-2</c:v>
                </c:pt>
                <c:pt idx="36">
                  <c:v>5.9479999999999998E-2</c:v>
                </c:pt>
                <c:pt idx="37">
                  <c:v>6.096E-2</c:v>
                </c:pt>
                <c:pt idx="38">
                  <c:v>6.0639999999999999E-2</c:v>
                </c:pt>
                <c:pt idx="39">
                  <c:v>6.1789999999999998E-2</c:v>
                </c:pt>
                <c:pt idx="40">
                  <c:v>5.364E-2</c:v>
                </c:pt>
                <c:pt idx="41">
                  <c:v>5.8590000000000003E-2</c:v>
                </c:pt>
                <c:pt idx="42">
                  <c:v>5.7119999999999997E-2</c:v>
                </c:pt>
                <c:pt idx="43">
                  <c:v>5.6009999999999997E-2</c:v>
                </c:pt>
                <c:pt idx="44">
                  <c:v>5.5980000000000002E-2</c:v>
                </c:pt>
                <c:pt idx="45">
                  <c:v>5.6910000000000002E-2</c:v>
                </c:pt>
                <c:pt idx="46">
                  <c:v>6.9430000000000006E-2</c:v>
                </c:pt>
                <c:pt idx="47">
                  <c:v>7.1580000000000005E-2</c:v>
                </c:pt>
                <c:pt idx="48">
                  <c:v>6.1490000000000003E-2</c:v>
                </c:pt>
                <c:pt idx="49">
                  <c:v>6.0539999999999997E-2</c:v>
                </c:pt>
                <c:pt idx="50">
                  <c:v>6.3600000000000004E-2</c:v>
                </c:pt>
                <c:pt idx="51">
                  <c:v>5.5570000000000001E-2</c:v>
                </c:pt>
                <c:pt idx="52">
                  <c:v>6.4060000000000006E-2</c:v>
                </c:pt>
                <c:pt idx="53">
                  <c:v>6.9260000000000002E-2</c:v>
                </c:pt>
                <c:pt idx="54">
                  <c:v>5.892E-2</c:v>
                </c:pt>
                <c:pt idx="55">
                  <c:v>5.7200000000000001E-2</c:v>
                </c:pt>
                <c:pt idx="56">
                  <c:v>6.9930000000000006E-2</c:v>
                </c:pt>
                <c:pt idx="57">
                  <c:v>6.9260000000000002E-2</c:v>
                </c:pt>
                <c:pt idx="58">
                  <c:v>5.7020000000000001E-2</c:v>
                </c:pt>
                <c:pt idx="59">
                  <c:v>6.0179999999999997E-2</c:v>
                </c:pt>
                <c:pt idx="60">
                  <c:v>5.4919999999999997E-2</c:v>
                </c:pt>
                <c:pt idx="61">
                  <c:v>6.6699999999999995E-2</c:v>
                </c:pt>
                <c:pt idx="62">
                  <c:v>6.3509999999999997E-2</c:v>
                </c:pt>
                <c:pt idx="63">
                  <c:v>6.0999999999999999E-2</c:v>
                </c:pt>
                <c:pt idx="64">
                  <c:v>6.019E-2</c:v>
                </c:pt>
                <c:pt idx="65">
                  <c:v>6.8260000000000001E-2</c:v>
                </c:pt>
                <c:pt idx="66">
                  <c:v>5.9670000000000001E-2</c:v>
                </c:pt>
                <c:pt idx="67">
                  <c:v>5.4649999999999997E-2</c:v>
                </c:pt>
                <c:pt idx="68">
                  <c:v>6.4649999999999999E-2</c:v>
                </c:pt>
                <c:pt idx="69">
                  <c:v>5.774E-2</c:v>
                </c:pt>
                <c:pt idx="70">
                  <c:v>6.0040000000000003E-2</c:v>
                </c:pt>
                <c:pt idx="71">
                  <c:v>6.13E-2</c:v>
                </c:pt>
                <c:pt idx="72">
                  <c:v>6.8959999999999994E-2</c:v>
                </c:pt>
                <c:pt idx="73">
                  <c:v>5.4949999999999999E-2</c:v>
                </c:pt>
                <c:pt idx="74">
                  <c:v>6.4579999999999999E-2</c:v>
                </c:pt>
                <c:pt idx="75">
                  <c:v>5.2990000000000002E-2</c:v>
                </c:pt>
                <c:pt idx="76">
                  <c:v>5.6649999999999999E-2</c:v>
                </c:pt>
                <c:pt idx="77">
                  <c:v>5.5669999999999997E-2</c:v>
                </c:pt>
                <c:pt idx="78">
                  <c:v>6.139E-2</c:v>
                </c:pt>
                <c:pt idx="79">
                  <c:v>6.2460000000000002E-2</c:v>
                </c:pt>
                <c:pt idx="80">
                  <c:v>5.1360000000000003E-2</c:v>
                </c:pt>
                <c:pt idx="81">
                  <c:v>6.114E-2</c:v>
                </c:pt>
                <c:pt idx="82">
                  <c:v>5.5879999999999999E-2</c:v>
                </c:pt>
                <c:pt idx="83">
                  <c:v>5.8430000000000003E-2</c:v>
                </c:pt>
                <c:pt idx="84">
                  <c:v>6.7419999999999994E-2</c:v>
                </c:pt>
                <c:pt idx="85">
                  <c:v>5.6710000000000003E-2</c:v>
                </c:pt>
                <c:pt idx="86">
                  <c:v>5.1839999999999997E-2</c:v>
                </c:pt>
                <c:pt idx="87">
                  <c:v>5.466E-2</c:v>
                </c:pt>
                <c:pt idx="88">
                  <c:v>5.604E-2</c:v>
                </c:pt>
                <c:pt idx="89">
                  <c:v>5.9569999999999998E-2</c:v>
                </c:pt>
                <c:pt idx="90">
                  <c:v>6.2080000000000003E-2</c:v>
                </c:pt>
                <c:pt idx="91">
                  <c:v>5.7259999999999998E-2</c:v>
                </c:pt>
                <c:pt idx="92">
                  <c:v>6.5229999999999996E-2</c:v>
                </c:pt>
                <c:pt idx="93">
                  <c:v>5.3809999999999997E-2</c:v>
                </c:pt>
                <c:pt idx="94">
                  <c:v>5.3249999999999999E-2</c:v>
                </c:pt>
                <c:pt idx="95">
                  <c:v>5.6860000000000001E-2</c:v>
                </c:pt>
                <c:pt idx="96">
                  <c:v>5.1650000000000001E-2</c:v>
                </c:pt>
                <c:pt idx="97">
                  <c:v>5.672E-2</c:v>
                </c:pt>
                <c:pt idx="98">
                  <c:v>6.268E-2</c:v>
                </c:pt>
                <c:pt idx="99">
                  <c:v>5.364E-2</c:v>
                </c:pt>
                <c:pt idx="100">
                  <c:v>6.3479999999999995E-2</c:v>
                </c:pt>
                <c:pt idx="101">
                  <c:v>6.1060000000000003E-2</c:v>
                </c:pt>
                <c:pt idx="102">
                  <c:v>5.7410000000000003E-2</c:v>
                </c:pt>
                <c:pt idx="103">
                  <c:v>6.0510000000000001E-2</c:v>
                </c:pt>
                <c:pt idx="104">
                  <c:v>5.6890000000000003E-2</c:v>
                </c:pt>
                <c:pt idx="105">
                  <c:v>5.8529999999999999E-2</c:v>
                </c:pt>
                <c:pt idx="106">
                  <c:v>6.1760000000000002E-2</c:v>
                </c:pt>
                <c:pt idx="107">
                  <c:v>5.9240000000000001E-2</c:v>
                </c:pt>
                <c:pt idx="108">
                  <c:v>6.5799999999999997E-2</c:v>
                </c:pt>
                <c:pt idx="109">
                  <c:v>5.4379999999999998E-2</c:v>
                </c:pt>
                <c:pt idx="110">
                  <c:v>5.6030000000000003E-2</c:v>
                </c:pt>
                <c:pt idx="111">
                  <c:v>6.028E-2</c:v>
                </c:pt>
                <c:pt idx="112">
                  <c:v>6.2869999999999995E-2</c:v>
                </c:pt>
                <c:pt idx="113">
                  <c:v>6.2710000000000002E-2</c:v>
                </c:pt>
                <c:pt idx="114">
                  <c:v>6.4310000000000006E-2</c:v>
                </c:pt>
                <c:pt idx="115">
                  <c:v>4.9340000000000002E-2</c:v>
                </c:pt>
                <c:pt idx="116">
                  <c:v>5.4730000000000001E-2</c:v>
                </c:pt>
                <c:pt idx="117">
                  <c:v>6.0609999999999997E-2</c:v>
                </c:pt>
                <c:pt idx="118">
                  <c:v>6.2390000000000001E-2</c:v>
                </c:pt>
                <c:pt idx="119">
                  <c:v>6.0990000000000003E-2</c:v>
                </c:pt>
                <c:pt idx="120">
                  <c:v>6.7760000000000001E-2</c:v>
                </c:pt>
                <c:pt idx="121">
                  <c:v>5.586E-2</c:v>
                </c:pt>
                <c:pt idx="122">
                  <c:v>5.7209999999999997E-2</c:v>
                </c:pt>
                <c:pt idx="123">
                  <c:v>5.2699999999999997E-2</c:v>
                </c:pt>
                <c:pt idx="124">
                  <c:v>7.1749999999999994E-2</c:v>
                </c:pt>
                <c:pt idx="125">
                  <c:v>5.6829999999999999E-2</c:v>
                </c:pt>
                <c:pt idx="126">
                  <c:v>5.3319999999999999E-2</c:v>
                </c:pt>
                <c:pt idx="127">
                  <c:v>6.3960000000000003E-2</c:v>
                </c:pt>
                <c:pt idx="128">
                  <c:v>6.6680000000000003E-2</c:v>
                </c:pt>
                <c:pt idx="129">
                  <c:v>5.3069999999999999E-2</c:v>
                </c:pt>
                <c:pt idx="130">
                  <c:v>6.1039999999999997E-2</c:v>
                </c:pt>
                <c:pt idx="131">
                  <c:v>6.7049999999999998E-2</c:v>
                </c:pt>
                <c:pt idx="132">
                  <c:v>6.0760000000000002E-2</c:v>
                </c:pt>
                <c:pt idx="133">
                  <c:v>5.475E-2</c:v>
                </c:pt>
                <c:pt idx="134">
                  <c:v>5.6230000000000002E-2</c:v>
                </c:pt>
                <c:pt idx="135">
                  <c:v>6.6489999999999994E-2</c:v>
                </c:pt>
                <c:pt idx="136">
                  <c:v>5.9409999999999998E-2</c:v>
                </c:pt>
                <c:pt idx="137">
                  <c:v>7.0279999999999995E-2</c:v>
                </c:pt>
                <c:pt idx="138">
                  <c:v>5.1330000000000001E-2</c:v>
                </c:pt>
                <c:pt idx="139">
                  <c:v>5.858E-2</c:v>
                </c:pt>
                <c:pt idx="140">
                  <c:v>6.1559999999999997E-2</c:v>
                </c:pt>
                <c:pt idx="141">
                  <c:v>5.8009999999999999E-2</c:v>
                </c:pt>
                <c:pt idx="142">
                  <c:v>4.8590000000000001E-2</c:v>
                </c:pt>
                <c:pt idx="143">
                  <c:v>5.4989999999999997E-2</c:v>
                </c:pt>
                <c:pt idx="144">
                  <c:v>6.0760000000000002E-2</c:v>
                </c:pt>
                <c:pt idx="145">
                  <c:v>5.2699999999999997E-2</c:v>
                </c:pt>
                <c:pt idx="146">
                  <c:v>6.583E-2</c:v>
                </c:pt>
                <c:pt idx="147">
                  <c:v>6.583E-2</c:v>
                </c:pt>
                <c:pt idx="148">
                  <c:v>6.1749999999999999E-2</c:v>
                </c:pt>
                <c:pt idx="149">
                  <c:v>4.9689999999999998E-2</c:v>
                </c:pt>
                <c:pt idx="150">
                  <c:v>5.4879999999999998E-2</c:v>
                </c:pt>
                <c:pt idx="151">
                  <c:v>5.5199999999999999E-2</c:v>
                </c:pt>
                <c:pt idx="152">
                  <c:v>7.1340000000000001E-2</c:v>
                </c:pt>
                <c:pt idx="153">
                  <c:v>6.991E-2</c:v>
                </c:pt>
                <c:pt idx="154">
                  <c:v>4.861E-2</c:v>
                </c:pt>
                <c:pt idx="155">
                  <c:v>6.1899999999999997E-2</c:v>
                </c:pt>
                <c:pt idx="156">
                  <c:v>5.849E-2</c:v>
                </c:pt>
                <c:pt idx="157">
                  <c:v>5.4469999999999998E-2</c:v>
                </c:pt>
                <c:pt idx="158">
                  <c:v>5.1150000000000001E-2</c:v>
                </c:pt>
                <c:pt idx="159">
                  <c:v>6.0060000000000002E-2</c:v>
                </c:pt>
                <c:pt idx="160">
                  <c:v>5.3620000000000001E-2</c:v>
                </c:pt>
                <c:pt idx="161">
                  <c:v>6.2969999999999998E-2</c:v>
                </c:pt>
                <c:pt idx="162">
                  <c:v>6.0089999999999998E-2</c:v>
                </c:pt>
                <c:pt idx="163">
                  <c:v>5.7700000000000001E-2</c:v>
                </c:pt>
                <c:pt idx="164">
                  <c:v>6.0749999999999998E-2</c:v>
                </c:pt>
                <c:pt idx="165">
                  <c:v>5.8889999999999998E-2</c:v>
                </c:pt>
                <c:pt idx="166">
                  <c:v>5.9650000000000002E-2</c:v>
                </c:pt>
                <c:pt idx="167">
                  <c:v>5.7579999999999999E-2</c:v>
                </c:pt>
                <c:pt idx="168">
                  <c:v>6.5699999999999995E-2</c:v>
                </c:pt>
                <c:pt idx="169">
                  <c:v>5.713E-2</c:v>
                </c:pt>
                <c:pt idx="170">
                  <c:v>5.7500000000000002E-2</c:v>
                </c:pt>
                <c:pt idx="171">
                  <c:v>5.3780000000000001E-2</c:v>
                </c:pt>
                <c:pt idx="172">
                  <c:v>5.5809999999999998E-2</c:v>
                </c:pt>
                <c:pt idx="173">
                  <c:v>6.3009999999999997E-2</c:v>
                </c:pt>
                <c:pt idx="174">
                  <c:v>6.5070000000000003E-2</c:v>
                </c:pt>
                <c:pt idx="175">
                  <c:v>5.595E-2</c:v>
                </c:pt>
                <c:pt idx="176">
                  <c:v>5.7079999999999999E-2</c:v>
                </c:pt>
                <c:pt idx="177">
                  <c:v>5.6059999999999999E-2</c:v>
                </c:pt>
                <c:pt idx="178">
                  <c:v>5.9339999999999997E-2</c:v>
                </c:pt>
                <c:pt idx="179">
                  <c:v>5.6649999999999999E-2</c:v>
                </c:pt>
                <c:pt idx="180">
                  <c:v>5.8930000000000003E-2</c:v>
                </c:pt>
                <c:pt idx="181">
                  <c:v>5.772E-2</c:v>
                </c:pt>
                <c:pt idx="182">
                  <c:v>5.1249999999999997E-2</c:v>
                </c:pt>
                <c:pt idx="183">
                  <c:v>5.8529999999999999E-2</c:v>
                </c:pt>
                <c:pt idx="184">
                  <c:v>5.3089999999999998E-2</c:v>
                </c:pt>
                <c:pt idx="185">
                  <c:v>5.3269999999999998E-2</c:v>
                </c:pt>
                <c:pt idx="186">
                  <c:v>5.8659999999999997E-2</c:v>
                </c:pt>
                <c:pt idx="187">
                  <c:v>6.232E-2</c:v>
                </c:pt>
                <c:pt idx="188">
                  <c:v>5.926E-2</c:v>
                </c:pt>
                <c:pt idx="189">
                  <c:v>5.7660000000000003E-2</c:v>
                </c:pt>
                <c:pt idx="190">
                  <c:v>6.2289999999999998E-2</c:v>
                </c:pt>
                <c:pt idx="191">
                  <c:v>6.3740000000000005E-2</c:v>
                </c:pt>
                <c:pt idx="192">
                  <c:v>5.2670000000000002E-2</c:v>
                </c:pt>
                <c:pt idx="193">
                  <c:v>6.3420000000000004E-2</c:v>
                </c:pt>
                <c:pt idx="194">
                  <c:v>7.3529999999999998E-2</c:v>
                </c:pt>
                <c:pt idx="195">
                  <c:v>5.2069999999999998E-2</c:v>
                </c:pt>
                <c:pt idx="196">
                  <c:v>5.2909999999999999E-2</c:v>
                </c:pt>
                <c:pt idx="197">
                  <c:v>6.2740000000000004E-2</c:v>
                </c:pt>
                <c:pt idx="198">
                  <c:v>5.8220000000000001E-2</c:v>
                </c:pt>
                <c:pt idx="199">
                  <c:v>5.4039999999999998E-2</c:v>
                </c:pt>
                <c:pt idx="200">
                  <c:v>5.5300000000000002E-2</c:v>
                </c:pt>
                <c:pt idx="201">
                  <c:v>5.9659999999999998E-2</c:v>
                </c:pt>
                <c:pt idx="202">
                  <c:v>6.3789999999999999E-2</c:v>
                </c:pt>
                <c:pt idx="203">
                  <c:v>6.3409999999999994E-2</c:v>
                </c:pt>
                <c:pt idx="204">
                  <c:v>7.2340000000000002E-2</c:v>
                </c:pt>
                <c:pt idx="205">
                  <c:v>5.5629999999999999E-2</c:v>
                </c:pt>
              </c:numCache>
            </c:numRef>
          </c:yVal>
          <c:smooth val="0"/>
        </c:ser>
        <c:ser>
          <c:idx val="1"/>
          <c:order val="2"/>
          <c:tx>
            <c:v>Åtgärdsnivå</c:v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Övrigt!$G$21:$G$22</c:f>
              <c:numCache>
                <c:formatCode>m/d/yyyy</c:formatCode>
                <c:ptCount val="2"/>
                <c:pt idx="0">
                  <c:v>42383</c:v>
                </c:pt>
                <c:pt idx="1">
                  <c:v>42717</c:v>
                </c:pt>
              </c:numCache>
            </c:numRef>
          </c:xVal>
          <c:yVal>
            <c:numRef>
              <c:f>Övrigt!$H$21:$H$22</c:f>
              <c:numCache>
                <c:formatCode>General</c:formatCode>
                <c:ptCount val="2"/>
                <c:pt idx="0">
                  <c:v>0.08</c:v>
                </c:pt>
                <c:pt idx="1">
                  <c:v>0.08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202496"/>
        <c:axId val="92204032"/>
      </c:scatterChart>
      <c:valAx>
        <c:axId val="92202496"/>
        <c:scaling>
          <c:orientation val="minMax"/>
          <c:min val="42400"/>
        </c:scaling>
        <c:delete val="0"/>
        <c:axPos val="b"/>
        <c:numFmt formatCode="[$-41D]mmm/yy;@" sourceLinked="0"/>
        <c:majorTickMark val="out"/>
        <c:minorTickMark val="none"/>
        <c:tickLblPos val="nextTo"/>
        <c:txPr>
          <a:bodyPr rot="-1860000"/>
          <a:lstStyle/>
          <a:p>
            <a:pPr>
              <a:defRPr/>
            </a:pPr>
            <a:endParaRPr lang="sv-SE"/>
          </a:p>
        </c:txPr>
        <c:crossAx val="92204032"/>
        <c:crosses val="autoZero"/>
        <c:crossBetween val="midCat"/>
      </c:valAx>
      <c:valAx>
        <c:axId val="92204032"/>
        <c:scaling>
          <c:orientation val="minMax"/>
          <c:max val="0.11000000000000001"/>
        </c:scaling>
        <c:delete val="0"/>
        <c:axPos val="l"/>
        <c:numFmt formatCode="0.0%" sourceLinked="0"/>
        <c:majorTickMark val="out"/>
        <c:minorTickMark val="none"/>
        <c:tickLblPos val="nextTo"/>
        <c:crossAx val="922024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13607</xdr:colOff>
      <xdr:row>5</xdr:row>
      <xdr:rowOff>172809</xdr:rowOff>
    </xdr:from>
    <xdr:to>
      <xdr:col>17</xdr:col>
      <xdr:colOff>748393</xdr:colOff>
      <xdr:row>20</xdr:row>
      <xdr:rowOff>149678</xdr:rowOff>
    </xdr:to>
    <xdr:graphicFrame macro="">
      <xdr:nvGraphicFramePr>
        <xdr:cNvPr id="3" name="Diagra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13607</xdr:colOff>
      <xdr:row>38</xdr:row>
      <xdr:rowOff>22412</xdr:rowOff>
    </xdr:from>
    <xdr:to>
      <xdr:col>17</xdr:col>
      <xdr:colOff>748393</xdr:colOff>
      <xdr:row>54</xdr:row>
      <xdr:rowOff>144958</xdr:rowOff>
    </xdr:to>
    <xdr:graphicFrame macro="">
      <xdr:nvGraphicFramePr>
        <xdr:cNvPr id="28" name="Diagram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13607</xdr:colOff>
      <xdr:row>21</xdr:row>
      <xdr:rowOff>95250</xdr:rowOff>
    </xdr:from>
    <xdr:to>
      <xdr:col>17</xdr:col>
      <xdr:colOff>748393</xdr:colOff>
      <xdr:row>37</xdr:row>
      <xdr:rowOff>43544</xdr:rowOff>
    </xdr:to>
    <xdr:graphicFrame macro="">
      <xdr:nvGraphicFramePr>
        <xdr:cNvPr id="6" name="Diagra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184150</xdr:colOff>
      <xdr:row>24</xdr:row>
      <xdr:rowOff>9525</xdr:rowOff>
    </xdr:from>
    <xdr:to>
      <xdr:col>8</xdr:col>
      <xdr:colOff>161290</xdr:colOff>
      <xdr:row>53</xdr:row>
      <xdr:rowOff>85725</xdr:rowOff>
    </xdr:to>
    <xdr:pic>
      <xdr:nvPicPr>
        <xdr:cNvPr id="4" name="screenShot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5524500"/>
          <a:ext cx="7825740" cy="60198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" name="DetectorTable1" displayName="DetectorTable1" ref="B5:AD211" totalsRowShown="0" headerRowDxfId="43" dataDxfId="42">
  <autoFilter ref="B5:AD211"/>
  <tableColumns count="29">
    <tableColumn id="28" name="Station Name" dataDxfId="41"/>
    <tableColumn id="1" name="Datum" dataDxfId="40"/>
    <tableColumn id="2" name="Tid" dataDxfId="39"/>
    <tableColumn id="3" name="Kollimator" dataDxfId="38"/>
    <tableColumn id="4" name="Ewin low (keV)" dataDxfId="37"/>
    <tableColumn id="5" name="Ewin high (keV)" dataDxfId="36"/>
    <tableColumn id="6" name="Seriebeskrivning" dataDxfId="35"/>
    <tableColumn id="7" name="Insamlade pulser" dataDxfId="34"/>
    <tableColumn id="8" name="Mättid (s)" dataDxfId="33"/>
    <tableColumn id="9" name="Pixelstorlek (mm)" dataDxfId="32"/>
    <tableColumn id="10" name="UFOV bredd (mm)" dataDxfId="31"/>
    <tableColumn id="11" name="UFOV höjd (mm)" dataDxfId="30"/>
    <tableColumn id="12" name="UFOV min " dataDxfId="29"/>
    <tableColumn id="13" name="UFOV max" dataDxfId="28"/>
    <tableColumn id="14" name="UFOV mean" dataDxfId="27"/>
    <tableColumn id="15" name="UFOV stdev" dataDxfId="26"/>
    <tableColumn id="16" name="UFOV IU (%)" dataDxfId="25"/>
    <tableColumn id="17" name="UFOV DUx (%)" dataDxfId="24"/>
    <tableColumn id="18" name="UFOV DUy (%)" dataDxfId="23"/>
    <tableColumn id="19" name="CFOV bredd (mm)" dataDxfId="22"/>
    <tableColumn id="20" name="CFOV höjd (mm)" dataDxfId="21"/>
    <tableColumn id="21" name="CFOV min " dataDxfId="20"/>
    <tableColumn id="22" name="CFOV max" dataDxfId="19"/>
    <tableColumn id="23" name="CFOV mean" dataDxfId="18"/>
    <tableColumn id="24" name="CFOV stdev" dataDxfId="17"/>
    <tableColumn id="25" name="CFOV IU (%)" dataDxfId="16"/>
    <tableColumn id="26" name="CFOV DUx (%)" dataDxfId="15"/>
    <tableColumn id="27" name="CFOV DUy (%)" dataDxfId="14"/>
    <tableColumn id="30" name="Känslighet (cps/MBq)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DetectorTable2" displayName="DetectorTable2" ref="B5:AD211" totalsRowShown="0">
  <autoFilter ref="B5:AD211"/>
  <sortState ref="B6:AD34">
    <sortCondition ref="L5:L34"/>
  </sortState>
  <tableColumns count="29">
    <tableColumn id="28" name="Station Name"/>
    <tableColumn id="1" name="Datum"/>
    <tableColumn id="2" name="Tid" dataDxfId="12"/>
    <tableColumn id="3" name="Kollimator" dataDxfId="11"/>
    <tableColumn id="4" name="Ewin low (keV)"/>
    <tableColumn id="5" name="Ewin high (keV)"/>
    <tableColumn id="6" name="Seriebeskrivning"/>
    <tableColumn id="7" name="Insamlade pulser"/>
    <tableColumn id="8" name="Mättid (s)"/>
    <tableColumn id="9" name="Pixelstorlek (mm)"/>
    <tableColumn id="10" name="UFOV bredd (mm)"/>
    <tableColumn id="11" name="UFOV höjd (mm)"/>
    <tableColumn id="12" name="UFOV min "/>
    <tableColumn id="13" name="UFOV max"/>
    <tableColumn id="14" name="UFOV mean"/>
    <tableColumn id="15" name="UFOV stdev"/>
    <tableColumn id="16" name="UFOV IU (%)" dataDxfId="10"/>
    <tableColumn id="17" name="UFOV DUx (%)" dataDxfId="9"/>
    <tableColumn id="18" name="UFOV DUy (%)" dataDxfId="8"/>
    <tableColumn id="19" name="CFOV bredd (mm)"/>
    <tableColumn id="20" name="CFOV höjd (mm)"/>
    <tableColumn id="21" name="CFOV min "/>
    <tableColumn id="22" name="CFOV max"/>
    <tableColumn id="23" name="CFOV mean" dataDxfId="7"/>
    <tableColumn id="24" name="CFOV stdev" dataDxfId="6"/>
    <tableColumn id="25" name="CFOV IU (%)" dataDxfId="5"/>
    <tableColumn id="26" name="CFOV DUx (%)" dataDxfId="4"/>
    <tableColumn id="27" name="CFOV DUy (%)" dataDxfId="3"/>
    <tableColumn id="29" name="Känslighet (cps/MBq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B1:U61"/>
  <sheetViews>
    <sheetView showGridLines="0" tabSelected="1" zoomScale="85" zoomScaleNormal="85" workbookViewId="0">
      <selection activeCell="AH20" sqref="AH20"/>
    </sheetView>
  </sheetViews>
  <sheetFormatPr defaultRowHeight="15" x14ac:dyDescent="0.25"/>
  <cols>
    <col min="1" max="1" width="4.85546875" customWidth="1"/>
    <col min="2" max="2" width="2.85546875" customWidth="1"/>
    <col min="3" max="3" width="35.85546875" customWidth="1"/>
    <col min="4" max="5" width="18.42578125" customWidth="1"/>
    <col min="6" max="6" width="5.28515625" customWidth="1"/>
    <col min="7" max="8" width="18.42578125" customWidth="1"/>
    <col min="15" max="15" width="12" customWidth="1"/>
    <col min="16" max="16" width="32.28515625" customWidth="1"/>
    <col min="17" max="17" width="15.140625" customWidth="1"/>
    <col min="18" max="18" width="13.28515625" customWidth="1"/>
    <col min="19" max="19" width="2.5703125" customWidth="1"/>
    <col min="20" max="20" width="2.42578125" customWidth="1"/>
    <col min="21" max="21" width="14.85546875" customWidth="1"/>
  </cols>
  <sheetData>
    <row r="1" spans="2:21" ht="15.75" thickBot="1" x14ac:dyDescent="0.3"/>
    <row r="2" spans="2:21" ht="15" customHeight="1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</row>
    <row r="3" spans="2:21" ht="15" customHeight="1" x14ac:dyDescent="0.25">
      <c r="B3" s="5"/>
      <c r="C3" s="44" t="s">
        <v>52</v>
      </c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7"/>
    </row>
    <row r="4" spans="2:21" ht="24.75" customHeight="1" x14ac:dyDescent="0.25">
      <c r="B4" s="5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7"/>
    </row>
    <row r="5" spans="2:21" x14ac:dyDescent="0.25">
      <c r="B5" s="5"/>
      <c r="I5" s="6"/>
      <c r="J5" s="6"/>
      <c r="K5" s="6"/>
      <c r="L5" s="6"/>
      <c r="M5" s="6"/>
      <c r="N5" s="6"/>
      <c r="O5" s="6"/>
      <c r="P5" s="6"/>
      <c r="Q5" s="6"/>
      <c r="R5" s="6"/>
      <c r="S5" s="7"/>
    </row>
    <row r="6" spans="2:21" ht="18" customHeight="1" x14ac:dyDescent="0.3">
      <c r="B6" s="5"/>
      <c r="C6" s="25" t="s">
        <v>32</v>
      </c>
      <c r="D6" s="47" t="s">
        <v>42</v>
      </c>
      <c r="E6" s="47"/>
      <c r="F6" s="26"/>
      <c r="G6" s="26"/>
      <c r="H6" s="26"/>
      <c r="I6" s="6"/>
      <c r="J6" s="6"/>
      <c r="K6" s="6"/>
      <c r="L6" s="6"/>
      <c r="M6" s="6"/>
      <c r="N6" s="6"/>
      <c r="O6" s="6"/>
      <c r="Q6" s="11"/>
      <c r="R6" s="11"/>
      <c r="S6" s="7"/>
    </row>
    <row r="7" spans="2:21" ht="18" customHeight="1" x14ac:dyDescent="0.3">
      <c r="B7" s="5"/>
      <c r="C7" s="25" t="s">
        <v>33</v>
      </c>
      <c r="D7" s="48">
        <v>42717</v>
      </c>
      <c r="E7" s="48"/>
      <c r="F7" s="26"/>
      <c r="G7" s="26"/>
      <c r="H7" s="26"/>
      <c r="I7" s="6"/>
      <c r="J7" s="6"/>
      <c r="K7" s="6"/>
      <c r="L7" s="6"/>
      <c r="M7" s="6"/>
      <c r="N7" s="6"/>
      <c r="O7" s="6"/>
      <c r="Q7" s="11"/>
      <c r="R7" s="11"/>
      <c r="S7" s="7"/>
      <c r="T7" s="1"/>
      <c r="U7" s="1"/>
    </row>
    <row r="8" spans="2:21" ht="18" customHeight="1" x14ac:dyDescent="0.3">
      <c r="B8" s="5"/>
      <c r="C8" s="25" t="s">
        <v>34</v>
      </c>
      <c r="D8" s="45">
        <v>0.28966435185185185</v>
      </c>
      <c r="E8" s="45"/>
      <c r="F8" s="26"/>
      <c r="G8" s="26"/>
      <c r="H8" s="26"/>
      <c r="J8" s="6"/>
      <c r="K8" s="6"/>
      <c r="L8" s="6"/>
      <c r="M8" s="6"/>
      <c r="N8" s="6"/>
      <c r="O8" s="6"/>
      <c r="Q8" s="11"/>
      <c r="R8" s="11"/>
      <c r="S8" s="7"/>
      <c r="T8" s="1"/>
      <c r="U8" s="1"/>
    </row>
    <row r="9" spans="2:21" ht="18" customHeight="1" x14ac:dyDescent="0.3">
      <c r="B9" s="5"/>
      <c r="C9" s="25" t="s">
        <v>53</v>
      </c>
      <c r="D9" s="27" t="s">
        <v>43</v>
      </c>
      <c r="E9" s="27"/>
      <c r="F9" s="26"/>
      <c r="G9" s="26"/>
      <c r="H9" s="26"/>
      <c r="J9" s="6"/>
      <c r="K9" s="6"/>
      <c r="L9" s="6"/>
      <c r="M9" s="6"/>
      <c r="N9" s="6"/>
      <c r="O9" s="6"/>
      <c r="Q9" s="11"/>
      <c r="R9" s="11"/>
      <c r="S9" s="7"/>
      <c r="T9" s="1"/>
      <c r="U9" s="1"/>
    </row>
    <row r="10" spans="2:21" ht="18" customHeight="1" thickBot="1" x14ac:dyDescent="0.35">
      <c r="B10" s="5"/>
      <c r="C10" s="28"/>
      <c r="D10" s="28"/>
      <c r="E10" s="28"/>
      <c r="F10" s="28"/>
      <c r="G10" s="28"/>
      <c r="H10" s="28"/>
      <c r="J10" s="6"/>
      <c r="K10" s="6"/>
      <c r="L10" s="6"/>
      <c r="M10" s="6"/>
      <c r="N10" s="6"/>
      <c r="O10" s="6"/>
      <c r="P10" s="11"/>
      <c r="Q10" s="11"/>
      <c r="R10" s="11"/>
      <c r="S10" s="7"/>
      <c r="T10" s="1"/>
      <c r="U10" s="1"/>
    </row>
    <row r="11" spans="2:21" ht="24.75" customHeight="1" x14ac:dyDescent="0.3">
      <c r="B11" s="5"/>
      <c r="C11" s="29"/>
      <c r="D11" s="46" t="s">
        <v>30</v>
      </c>
      <c r="E11" s="46"/>
      <c r="F11" s="30"/>
      <c r="G11" s="46" t="s">
        <v>31</v>
      </c>
      <c r="H11" s="46"/>
      <c r="I11" s="11"/>
      <c r="J11" s="6"/>
      <c r="K11" s="6"/>
      <c r="L11" s="6"/>
      <c r="M11" s="6"/>
      <c r="N11" s="6"/>
      <c r="O11" s="6"/>
      <c r="P11" s="11"/>
      <c r="Q11" s="11"/>
      <c r="R11" s="11"/>
      <c r="S11" s="7"/>
      <c r="T11" s="1"/>
      <c r="U11" s="1"/>
    </row>
    <row r="12" spans="2:21" ht="18" customHeight="1" x14ac:dyDescent="0.3">
      <c r="B12" s="5"/>
      <c r="C12" s="31"/>
      <c r="D12" s="31" t="s">
        <v>28</v>
      </c>
      <c r="E12" s="31" t="s">
        <v>29</v>
      </c>
      <c r="F12" s="32"/>
      <c r="G12" s="31" t="s">
        <v>28</v>
      </c>
      <c r="H12" s="31" t="s">
        <v>29</v>
      </c>
      <c r="I12" s="11"/>
      <c r="J12" s="6"/>
      <c r="K12" s="6"/>
      <c r="L12" s="6"/>
      <c r="M12" s="6"/>
      <c r="N12" s="6"/>
      <c r="O12" s="6"/>
      <c r="S12" s="7"/>
      <c r="T12" s="1"/>
      <c r="U12" s="1"/>
    </row>
    <row r="13" spans="2:21" ht="18" customHeight="1" x14ac:dyDescent="0.3">
      <c r="B13" s="5"/>
      <c r="C13" s="25"/>
      <c r="D13" s="25"/>
      <c r="E13" s="25"/>
      <c r="F13" s="26"/>
      <c r="G13" s="25"/>
      <c r="H13" s="25"/>
      <c r="I13" s="11"/>
      <c r="J13" s="6"/>
      <c r="K13" s="6"/>
      <c r="L13" s="6"/>
      <c r="M13" s="6"/>
      <c r="N13" s="6"/>
      <c r="O13" s="6"/>
      <c r="S13" s="7"/>
      <c r="T13" s="1"/>
      <c r="U13" s="1"/>
    </row>
    <row r="14" spans="2:21" ht="18" customHeight="1" x14ac:dyDescent="0.3">
      <c r="B14" s="5"/>
      <c r="C14" s="25" t="s">
        <v>49</v>
      </c>
      <c r="D14" s="33">
        <v>8.359</v>
      </c>
      <c r="E14" s="33">
        <v>6.3780000000000001</v>
      </c>
      <c r="F14" s="34"/>
      <c r="G14" s="33">
        <v>7.580000000000001</v>
      </c>
      <c r="H14" s="33">
        <v>5.5629999999999997</v>
      </c>
      <c r="I14" s="11"/>
      <c r="J14" s="6"/>
      <c r="K14" s="6"/>
      <c r="L14" s="6"/>
      <c r="M14" s="6"/>
      <c r="N14" s="6"/>
      <c r="O14" s="6"/>
      <c r="S14" s="7"/>
    </row>
    <row r="15" spans="2:21" ht="18" customHeight="1" x14ac:dyDescent="0.3">
      <c r="B15" s="5"/>
      <c r="C15" s="25" t="s">
        <v>50</v>
      </c>
      <c r="D15" s="33">
        <v>4.1520000000000001</v>
      </c>
      <c r="E15" s="33">
        <v>3.5389999999999997</v>
      </c>
      <c r="F15" s="34"/>
      <c r="G15" s="33">
        <v>4.8550000000000004</v>
      </c>
      <c r="H15" s="33">
        <v>4.0469999999999997</v>
      </c>
      <c r="I15" s="11"/>
      <c r="J15" s="6"/>
      <c r="K15" s="6"/>
      <c r="L15" s="6"/>
      <c r="M15" s="6"/>
      <c r="N15" s="6"/>
      <c r="O15" s="6"/>
      <c r="S15" s="7"/>
    </row>
    <row r="16" spans="2:21" ht="18" customHeight="1" x14ac:dyDescent="0.3">
      <c r="B16" s="5"/>
      <c r="C16" s="25" t="s">
        <v>51</v>
      </c>
      <c r="D16" s="33">
        <v>4.3549999999999995</v>
      </c>
      <c r="E16" s="33">
        <v>3.2840000000000003</v>
      </c>
      <c r="F16" s="34"/>
      <c r="G16" s="33">
        <v>5.1390000000000002</v>
      </c>
      <c r="H16" s="33">
        <v>3.8660000000000001</v>
      </c>
      <c r="I16" s="11"/>
      <c r="J16" s="6"/>
      <c r="K16" s="6"/>
      <c r="L16" s="6"/>
      <c r="M16" s="6"/>
      <c r="N16" s="6"/>
      <c r="O16" s="6"/>
      <c r="S16" s="7"/>
    </row>
    <row r="17" spans="2:21" ht="18" customHeight="1" x14ac:dyDescent="0.3">
      <c r="B17" s="5"/>
      <c r="C17" s="25"/>
      <c r="D17" s="25"/>
      <c r="E17" s="25"/>
      <c r="F17" s="26"/>
      <c r="G17" s="25"/>
      <c r="H17" s="25"/>
      <c r="I17" s="11"/>
      <c r="J17" s="6"/>
      <c r="K17" s="6"/>
      <c r="L17" s="6"/>
      <c r="M17" s="6"/>
      <c r="N17" s="6"/>
      <c r="O17" s="6"/>
      <c r="S17" s="7"/>
    </row>
    <row r="18" spans="2:21" ht="18" customHeight="1" x14ac:dyDescent="0.3">
      <c r="B18" s="5"/>
      <c r="C18" s="25" t="s">
        <v>48</v>
      </c>
      <c r="D18" s="41">
        <v>4.0000010000000001</v>
      </c>
      <c r="E18" s="41"/>
      <c r="F18" s="35"/>
      <c r="G18" s="41">
        <v>4.0000010000000001</v>
      </c>
      <c r="H18" s="41"/>
      <c r="I18" s="11"/>
      <c r="J18" s="6"/>
      <c r="K18" s="6"/>
      <c r="L18" s="6"/>
      <c r="M18" s="6"/>
      <c r="N18" s="6"/>
      <c r="O18" s="6"/>
      <c r="S18" s="7"/>
    </row>
    <row r="19" spans="2:21" ht="18" customHeight="1" x14ac:dyDescent="0.3">
      <c r="B19" s="5"/>
      <c r="C19" s="25" t="s">
        <v>35</v>
      </c>
      <c r="D19" s="42">
        <v>412</v>
      </c>
      <c r="E19" s="42"/>
      <c r="F19" s="36"/>
      <c r="G19" s="42">
        <v>401</v>
      </c>
      <c r="H19" s="42"/>
      <c r="I19" s="6"/>
      <c r="J19" s="6"/>
      <c r="K19" s="6"/>
      <c r="L19" s="6"/>
      <c r="M19" s="6"/>
      <c r="N19" s="6"/>
      <c r="O19" s="6"/>
      <c r="S19" s="7"/>
    </row>
    <row r="20" spans="2:21" ht="18" customHeight="1" x14ac:dyDescent="0.3">
      <c r="B20" s="5"/>
      <c r="C20" s="25" t="s">
        <v>36</v>
      </c>
      <c r="D20" s="43">
        <v>60.066087357998917</v>
      </c>
      <c r="E20" s="43"/>
      <c r="F20" s="34"/>
      <c r="G20" s="43">
        <v>61.71378551495151</v>
      </c>
      <c r="H20" s="43"/>
      <c r="I20" s="6"/>
      <c r="J20" s="6"/>
      <c r="K20" s="6"/>
      <c r="L20" s="6"/>
      <c r="M20" s="6"/>
      <c r="N20" s="6"/>
      <c r="O20" s="6"/>
      <c r="S20" s="7"/>
    </row>
    <row r="21" spans="2:21" ht="18" customHeight="1" thickBot="1" x14ac:dyDescent="0.3">
      <c r="B21" s="5"/>
      <c r="C21" s="28"/>
      <c r="D21" s="28"/>
      <c r="E21" s="28"/>
      <c r="F21" s="28"/>
      <c r="G21" s="28"/>
      <c r="H21" s="28"/>
      <c r="I21" s="6"/>
      <c r="J21" s="6"/>
      <c r="K21" s="6"/>
      <c r="L21" s="6"/>
      <c r="M21" s="6"/>
      <c r="N21" s="6"/>
      <c r="O21" s="6"/>
      <c r="P21" s="11"/>
      <c r="Q21" s="11"/>
      <c r="R21" s="11"/>
      <c r="S21" s="7"/>
    </row>
    <row r="22" spans="2:21" ht="18" customHeight="1" x14ac:dyDescent="0.25"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12"/>
      <c r="Q22" s="12"/>
      <c r="R22" s="12"/>
      <c r="S22" s="7"/>
    </row>
    <row r="23" spans="2:21" ht="18" customHeight="1" x14ac:dyDescent="0.25"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12"/>
      <c r="Q23" s="12"/>
      <c r="R23" s="12"/>
      <c r="S23" s="7"/>
    </row>
    <row r="24" spans="2:21" ht="18" customHeight="1" x14ac:dyDescent="0.25"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S24" s="7"/>
    </row>
    <row r="25" spans="2:21" ht="18" customHeight="1" x14ac:dyDescent="0.3"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S25" s="7"/>
      <c r="T25" s="1"/>
      <c r="U25" s="1"/>
    </row>
    <row r="26" spans="2:21" ht="18" customHeight="1" x14ac:dyDescent="0.3"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S26" s="7"/>
      <c r="T26" s="1"/>
      <c r="U26" s="1"/>
    </row>
    <row r="27" spans="2:21" ht="18" customHeight="1" x14ac:dyDescent="0.3"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S27" s="7"/>
      <c r="T27" s="1"/>
      <c r="U27" s="1"/>
    </row>
    <row r="28" spans="2:21" ht="18" customHeight="1" x14ac:dyDescent="0.3"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S28" s="7"/>
      <c r="T28" s="1"/>
      <c r="U28" s="1"/>
    </row>
    <row r="29" spans="2:21" ht="18" customHeight="1" x14ac:dyDescent="0.3"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S29" s="7"/>
      <c r="T29" s="1"/>
      <c r="U29" s="1"/>
    </row>
    <row r="30" spans="2:21" ht="18" customHeight="1" x14ac:dyDescent="0.3"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S30" s="7"/>
      <c r="T30" s="1"/>
      <c r="U30" s="1"/>
    </row>
    <row r="31" spans="2:21" ht="18" customHeight="1" x14ac:dyDescent="0.3"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S31" s="7"/>
      <c r="T31" s="1"/>
      <c r="U31" s="1"/>
    </row>
    <row r="32" spans="2:21" ht="18" customHeight="1" x14ac:dyDescent="0.25"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S32" s="7"/>
    </row>
    <row r="33" spans="2:19" ht="18" customHeight="1" x14ac:dyDescent="0.25"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7"/>
    </row>
    <row r="34" spans="2:19" ht="18" customHeight="1" x14ac:dyDescent="0.25"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7"/>
    </row>
    <row r="35" spans="2:19" x14ac:dyDescent="0.25"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7"/>
    </row>
    <row r="36" spans="2:19" x14ac:dyDescent="0.25"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7"/>
    </row>
    <row r="37" spans="2:19" x14ac:dyDescent="0.25"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7"/>
    </row>
    <row r="38" spans="2:19" x14ac:dyDescent="0.25"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7"/>
    </row>
    <row r="39" spans="2:19" ht="18" customHeight="1" x14ac:dyDescent="0.25"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7"/>
    </row>
    <row r="40" spans="2:19" x14ac:dyDescent="0.25"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7"/>
    </row>
    <row r="41" spans="2:19" x14ac:dyDescent="0.25"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7"/>
    </row>
    <row r="42" spans="2:19" x14ac:dyDescent="0.25"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7"/>
    </row>
    <row r="43" spans="2:19" x14ac:dyDescent="0.25"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7"/>
    </row>
    <row r="44" spans="2:19" x14ac:dyDescent="0.25"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7"/>
    </row>
    <row r="45" spans="2:19" x14ac:dyDescent="0.25"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7"/>
    </row>
    <row r="46" spans="2:19" x14ac:dyDescent="0.25"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7"/>
    </row>
    <row r="47" spans="2:19" x14ac:dyDescent="0.25"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7"/>
    </row>
    <row r="48" spans="2:19" x14ac:dyDescent="0.25"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7"/>
    </row>
    <row r="49" spans="2:19" x14ac:dyDescent="0.25"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7"/>
    </row>
    <row r="50" spans="2:19" x14ac:dyDescent="0.25">
      <c r="B50" s="5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7"/>
    </row>
    <row r="51" spans="2:19" x14ac:dyDescent="0.25">
      <c r="B51" s="5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7"/>
    </row>
    <row r="52" spans="2:19" x14ac:dyDescent="0.25">
      <c r="B52" s="5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7"/>
    </row>
    <row r="53" spans="2:19" x14ac:dyDescent="0.25">
      <c r="B53" s="5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7"/>
    </row>
    <row r="54" spans="2:19" x14ac:dyDescent="0.25">
      <c r="B54" s="5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7"/>
    </row>
    <row r="55" spans="2:19" x14ac:dyDescent="0.25">
      <c r="B55" s="5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7"/>
    </row>
    <row r="56" spans="2:19" x14ac:dyDescent="0.25">
      <c r="B56" s="5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7"/>
    </row>
    <row r="57" spans="2:19" x14ac:dyDescent="0.25">
      <c r="B57" s="5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7"/>
    </row>
    <row r="58" spans="2:19" x14ac:dyDescent="0.25">
      <c r="B58" s="5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7"/>
    </row>
    <row r="59" spans="2:19" ht="15.75" thickBot="1" x14ac:dyDescent="0.3">
      <c r="B59" s="8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10"/>
    </row>
    <row r="61" spans="2:19" ht="12" customHeight="1" x14ac:dyDescent="0.25"/>
  </sheetData>
  <sheetProtection sheet="1" objects="1" scenarios="1"/>
  <mergeCells count="12">
    <mergeCell ref="C3:R4"/>
    <mergeCell ref="D8:E8"/>
    <mergeCell ref="D11:E11"/>
    <mergeCell ref="G11:H11"/>
    <mergeCell ref="D6:E6"/>
    <mergeCell ref="D7:E7"/>
    <mergeCell ref="D18:E18"/>
    <mergeCell ref="D19:E19"/>
    <mergeCell ref="D20:E20"/>
    <mergeCell ref="G18:H18"/>
    <mergeCell ref="G19:H19"/>
    <mergeCell ref="G20:H20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" operator="greaterThan" id="{7E1CA35C-5902-46D8-BB20-AA6D8A00680B}">
            <xm:f>(Övrigt!$D$18*100)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D14 G14</xm:sqref>
        </x14:conditionalFormatting>
        <x14:conditionalFormatting xmlns:xm="http://schemas.microsoft.com/office/excel/2006/main">
          <x14:cfRule type="cellIs" priority="2" operator="greaterThan" id="{39210DA1-9C65-4484-B9EF-C06C49AD799C}">
            <xm:f>Övrigt!$D$19*100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E14 H14</xm:sqref>
        </x14:conditionalFormatting>
        <x14:conditionalFormatting xmlns:xm="http://schemas.microsoft.com/office/excel/2006/main">
          <x14:cfRule type="cellIs" priority="1" operator="lessThan" id="{71BD1A7C-D623-4976-A4F2-6A2930F8064D}">
            <xm:f>Övrigt!$D$20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D20:E20 G20:H20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B5:AE211"/>
  <sheetViews>
    <sheetView showGridLines="0" topLeftCell="A103" zoomScale="55" zoomScaleNormal="55" workbookViewId="0">
      <selection activeCell="AE174" sqref="AE174"/>
    </sheetView>
  </sheetViews>
  <sheetFormatPr defaultRowHeight="15" x14ac:dyDescent="0.25"/>
  <cols>
    <col min="2" max="2" width="24" customWidth="1"/>
    <col min="3" max="3" width="14" customWidth="1"/>
    <col min="4" max="4" width="15.140625" customWidth="1"/>
    <col min="5" max="5" width="15.7109375" customWidth="1"/>
    <col min="6" max="6" width="15.85546875" customWidth="1"/>
    <col min="7" max="7" width="16.28515625" customWidth="1"/>
    <col min="8" max="8" width="17" customWidth="1"/>
    <col min="9" max="9" width="23.140625" customWidth="1"/>
    <col min="10" max="10" width="14.5703125" customWidth="1"/>
    <col min="11" max="11" width="23.7109375" customWidth="1"/>
    <col min="12" max="12" width="17.28515625" customWidth="1"/>
    <col min="13" max="13" width="13.7109375" customWidth="1"/>
    <col min="14" max="14" width="13.5703125" customWidth="1"/>
    <col min="15" max="19" width="15.7109375" customWidth="1"/>
    <col min="20" max="20" width="18.140625" customWidth="1"/>
    <col min="21" max="21" width="17" customWidth="1"/>
    <col min="22" max="23" width="15.7109375" customWidth="1"/>
    <col min="24" max="24" width="13.42578125" customWidth="1"/>
    <col min="25" max="25" width="17.28515625" customWidth="1"/>
    <col min="26" max="26" width="13.28515625" customWidth="1"/>
    <col min="27" max="27" width="18.85546875" customWidth="1"/>
    <col min="28" max="29" width="20.140625" customWidth="1"/>
    <col min="30" max="30" width="14.140625" customWidth="1"/>
  </cols>
  <sheetData>
    <row r="5" spans="2:30" x14ac:dyDescent="0.25">
      <c r="B5" s="13" t="s">
        <v>0</v>
      </c>
      <c r="C5" s="13" t="s">
        <v>1</v>
      </c>
      <c r="D5" s="13" t="s">
        <v>2</v>
      </c>
      <c r="E5" s="13" t="s">
        <v>3</v>
      </c>
      <c r="F5" s="13" t="s">
        <v>4</v>
      </c>
      <c r="G5" s="13" t="s">
        <v>5</v>
      </c>
      <c r="H5" s="13" t="s">
        <v>6</v>
      </c>
      <c r="I5" s="13" t="s">
        <v>7</v>
      </c>
      <c r="J5" s="13" t="s">
        <v>8</v>
      </c>
      <c r="K5" s="13" t="s">
        <v>9</v>
      </c>
      <c r="L5" s="13" t="s">
        <v>10</v>
      </c>
      <c r="M5" s="13" t="s">
        <v>11</v>
      </c>
      <c r="N5" s="13" t="s">
        <v>12</v>
      </c>
      <c r="O5" s="13" t="s">
        <v>13</v>
      </c>
      <c r="P5" s="13" t="s">
        <v>14</v>
      </c>
      <c r="Q5" s="13" t="s">
        <v>15</v>
      </c>
      <c r="R5" s="13" t="s">
        <v>16</v>
      </c>
      <c r="S5" s="13" t="s">
        <v>17</v>
      </c>
      <c r="T5" s="13" t="s">
        <v>18</v>
      </c>
      <c r="U5" s="13" t="s">
        <v>19</v>
      </c>
      <c r="V5" s="13" t="s">
        <v>20</v>
      </c>
      <c r="W5" s="13" t="s">
        <v>21</v>
      </c>
      <c r="X5" s="13" t="s">
        <v>22</v>
      </c>
      <c r="Y5" s="13" t="s">
        <v>23</v>
      </c>
      <c r="Z5" s="13" t="s">
        <v>24</v>
      </c>
      <c r="AA5" s="13" t="s">
        <v>25</v>
      </c>
      <c r="AB5" s="13" t="s">
        <v>26</v>
      </c>
      <c r="AC5" s="13" t="s">
        <v>27</v>
      </c>
      <c r="AD5" s="13" t="s">
        <v>37</v>
      </c>
    </row>
    <row r="6" spans="2:30" x14ac:dyDescent="0.25">
      <c r="B6" s="13" t="s">
        <v>42</v>
      </c>
      <c r="C6" s="14">
        <v>42383</v>
      </c>
      <c r="D6" s="22">
        <v>0.29875000000000002</v>
      </c>
      <c r="E6" s="13" t="s">
        <v>43</v>
      </c>
      <c r="F6" s="13">
        <v>109.8</v>
      </c>
      <c r="G6" s="13">
        <v>134.19999999999999</v>
      </c>
      <c r="H6" s="13" t="s">
        <v>44</v>
      </c>
      <c r="I6" s="13">
        <v>4000001</v>
      </c>
      <c r="J6" s="17">
        <v>190</v>
      </c>
      <c r="K6" s="13">
        <v>6.4290000000000003</v>
      </c>
      <c r="L6" s="13">
        <v>501</v>
      </c>
      <c r="M6" s="13">
        <v>360</v>
      </c>
      <c r="N6" s="13">
        <v>726</v>
      </c>
      <c r="O6" s="13">
        <v>840</v>
      </c>
      <c r="P6" s="17">
        <v>785.572</v>
      </c>
      <c r="Q6" s="16">
        <v>17.059999999999999</v>
      </c>
      <c r="R6" s="18">
        <v>7.2209999999999996E-2</v>
      </c>
      <c r="S6" s="18">
        <v>4.7149999999999997E-2</v>
      </c>
      <c r="T6" s="18">
        <v>4.5690000000000001E-2</v>
      </c>
      <c r="U6" s="13">
        <v>376</v>
      </c>
      <c r="V6" s="13">
        <v>270</v>
      </c>
      <c r="W6" s="13">
        <v>744</v>
      </c>
      <c r="X6" s="13">
        <v>840</v>
      </c>
      <c r="Y6" s="17">
        <v>793.85199999999998</v>
      </c>
      <c r="Z6" s="16">
        <v>13.974</v>
      </c>
      <c r="AA6" s="18">
        <v>6.0359999999999997E-2</v>
      </c>
      <c r="AB6" s="18">
        <v>3.5349999999999999E-2</v>
      </c>
      <c r="AC6" s="18">
        <v>3.5749999999999997E-2</v>
      </c>
      <c r="AD6" s="16">
        <v>55.561268728803739</v>
      </c>
    </row>
    <row r="7" spans="2:30" x14ac:dyDescent="0.25">
      <c r="B7" s="13" t="s">
        <v>42</v>
      </c>
      <c r="C7" s="14">
        <v>42387</v>
      </c>
      <c r="D7" s="22">
        <v>0.30879629629629629</v>
      </c>
      <c r="E7" s="13" t="s">
        <v>43</v>
      </c>
      <c r="F7" s="13">
        <v>109.8</v>
      </c>
      <c r="G7" s="13">
        <v>134.19999999999999</v>
      </c>
      <c r="H7" s="13" t="s">
        <v>44</v>
      </c>
      <c r="I7" s="13">
        <v>4000001</v>
      </c>
      <c r="J7" s="17">
        <v>194</v>
      </c>
      <c r="K7" s="13">
        <v>6.4290000000000003</v>
      </c>
      <c r="L7" s="13">
        <v>501</v>
      </c>
      <c r="M7" s="13">
        <v>360</v>
      </c>
      <c r="N7" s="13">
        <v>716</v>
      </c>
      <c r="O7" s="13">
        <v>844</v>
      </c>
      <c r="P7" s="17">
        <v>784.81500000000005</v>
      </c>
      <c r="Q7" s="16">
        <v>18.225999999999999</v>
      </c>
      <c r="R7" s="18">
        <v>8.1850000000000006E-2</v>
      </c>
      <c r="S7" s="18">
        <v>5.4879999999999998E-2</v>
      </c>
      <c r="T7" s="18">
        <v>4.7300000000000002E-2</v>
      </c>
      <c r="U7" s="13">
        <v>376</v>
      </c>
      <c r="V7" s="13">
        <v>270</v>
      </c>
      <c r="W7" s="13">
        <v>742</v>
      </c>
      <c r="X7" s="13">
        <v>844</v>
      </c>
      <c r="Y7" s="17">
        <v>792.58600000000001</v>
      </c>
      <c r="Z7" s="16">
        <v>15.157</v>
      </c>
      <c r="AA7" s="18">
        <v>6.4390000000000003E-2</v>
      </c>
      <c r="AB7" s="18">
        <v>3.7859999999999998E-2</v>
      </c>
      <c r="AC7" s="18">
        <v>4.0550000000000003E-2</v>
      </c>
      <c r="AD7" s="16">
        <v>54.973725882353115</v>
      </c>
    </row>
    <row r="8" spans="2:30" x14ac:dyDescent="0.25">
      <c r="B8" s="13" t="s">
        <v>42</v>
      </c>
      <c r="C8" s="14">
        <v>42388</v>
      </c>
      <c r="D8" s="22">
        <v>0.31328703703703703</v>
      </c>
      <c r="E8" s="13" t="s">
        <v>43</v>
      </c>
      <c r="F8" s="13">
        <v>109.8</v>
      </c>
      <c r="G8" s="13">
        <v>134.19999999999999</v>
      </c>
      <c r="H8" s="13" t="s">
        <v>44</v>
      </c>
      <c r="I8" s="13">
        <v>4000001</v>
      </c>
      <c r="J8" s="17">
        <v>191</v>
      </c>
      <c r="K8" s="13">
        <v>6.4290000000000003</v>
      </c>
      <c r="L8" s="13">
        <v>501</v>
      </c>
      <c r="M8" s="13">
        <v>360</v>
      </c>
      <c r="N8" s="13">
        <v>723</v>
      </c>
      <c r="O8" s="13">
        <v>830</v>
      </c>
      <c r="P8" s="17">
        <v>784.84</v>
      </c>
      <c r="Q8" s="16">
        <v>15.948</v>
      </c>
      <c r="R8" s="18">
        <v>6.837E-2</v>
      </c>
      <c r="S8" s="18">
        <v>4.5249999999999999E-2</v>
      </c>
      <c r="T8" s="18">
        <v>5.1799999999999999E-2</v>
      </c>
      <c r="U8" s="13">
        <v>376</v>
      </c>
      <c r="V8" s="13">
        <v>270</v>
      </c>
      <c r="W8" s="13">
        <v>746</v>
      </c>
      <c r="X8" s="13">
        <v>830</v>
      </c>
      <c r="Y8" s="17">
        <v>792.01599999999996</v>
      </c>
      <c r="Z8" s="16">
        <v>13.266999999999999</v>
      </c>
      <c r="AA8" s="18">
        <v>5.323E-2</v>
      </c>
      <c r="AB8" s="18">
        <v>3.5060000000000001E-2</v>
      </c>
      <c r="AC8" s="18">
        <v>3.6330000000000001E-2</v>
      </c>
      <c r="AD8" s="16">
        <v>55.979797366960028</v>
      </c>
    </row>
    <row r="9" spans="2:30" x14ac:dyDescent="0.25">
      <c r="B9" s="13" t="s">
        <v>42</v>
      </c>
      <c r="C9" s="14">
        <v>42389</v>
      </c>
      <c r="D9" s="22">
        <v>0.31906249999999997</v>
      </c>
      <c r="E9" s="13" t="s">
        <v>43</v>
      </c>
      <c r="F9" s="13">
        <v>109.8</v>
      </c>
      <c r="G9" s="13">
        <v>134.19999999999999</v>
      </c>
      <c r="H9" s="13" t="s">
        <v>44</v>
      </c>
      <c r="I9" s="13">
        <v>4000001</v>
      </c>
      <c r="J9" s="17">
        <v>192</v>
      </c>
      <c r="K9" s="13">
        <v>6.4290000000000003</v>
      </c>
      <c r="L9" s="13">
        <v>501</v>
      </c>
      <c r="M9" s="13">
        <v>360</v>
      </c>
      <c r="N9" s="13">
        <v>717</v>
      </c>
      <c r="O9" s="13">
        <v>840</v>
      </c>
      <c r="P9" s="17">
        <v>784.62099999999998</v>
      </c>
      <c r="Q9" s="16">
        <v>17.023</v>
      </c>
      <c r="R9" s="18">
        <v>7.8890000000000002E-2</v>
      </c>
      <c r="S9" s="18">
        <v>4.2369999999999998E-2</v>
      </c>
      <c r="T9" s="18">
        <v>4.2599999999999999E-2</v>
      </c>
      <c r="U9" s="13">
        <v>376</v>
      </c>
      <c r="V9" s="13">
        <v>270</v>
      </c>
      <c r="W9" s="13">
        <v>746</v>
      </c>
      <c r="X9" s="13">
        <v>840</v>
      </c>
      <c r="Y9" s="17">
        <v>792.54300000000001</v>
      </c>
      <c r="Z9" s="16">
        <v>13.798999999999999</v>
      </c>
      <c r="AA9" s="18">
        <v>5.951E-2</v>
      </c>
      <c r="AB9" s="18">
        <v>3.5790000000000002E-2</v>
      </c>
      <c r="AC9" s="18">
        <v>3.4410000000000003E-2</v>
      </c>
      <c r="AD9" s="16">
        <v>55.830465317041394</v>
      </c>
    </row>
    <row r="10" spans="2:30" x14ac:dyDescent="0.25">
      <c r="B10" s="13" t="s">
        <v>42</v>
      </c>
      <c r="C10" s="14">
        <v>42390</v>
      </c>
      <c r="D10" s="22">
        <v>0.30160879629629628</v>
      </c>
      <c r="E10" s="13" t="s">
        <v>43</v>
      </c>
      <c r="F10" s="13">
        <v>109.8</v>
      </c>
      <c r="G10" s="13">
        <v>134.19999999999999</v>
      </c>
      <c r="H10" s="13" t="s">
        <v>44</v>
      </c>
      <c r="I10" s="13">
        <v>4000001</v>
      </c>
      <c r="J10" s="17">
        <v>192</v>
      </c>
      <c r="K10" s="13">
        <v>6.4290000000000003</v>
      </c>
      <c r="L10" s="13">
        <v>501</v>
      </c>
      <c r="M10" s="13">
        <v>360</v>
      </c>
      <c r="N10" s="13">
        <v>728</v>
      </c>
      <c r="O10" s="13">
        <v>838</v>
      </c>
      <c r="P10" s="17">
        <v>785.42499999999995</v>
      </c>
      <c r="Q10" s="16">
        <v>16.146999999999998</v>
      </c>
      <c r="R10" s="18">
        <v>6.9779999999999995E-2</v>
      </c>
      <c r="S10" s="18">
        <v>4.616E-2</v>
      </c>
      <c r="T10" s="18">
        <v>3.8699999999999998E-2</v>
      </c>
      <c r="U10" s="13">
        <v>376</v>
      </c>
      <c r="V10" s="13">
        <v>270</v>
      </c>
      <c r="W10" s="13">
        <v>750</v>
      </c>
      <c r="X10" s="13">
        <v>838</v>
      </c>
      <c r="Y10" s="17">
        <v>792.69799999999998</v>
      </c>
      <c r="Z10" s="16">
        <v>13.714</v>
      </c>
      <c r="AA10" s="18">
        <v>5.5480000000000002E-2</v>
      </c>
      <c r="AB10" s="18">
        <v>3.6490000000000002E-2</v>
      </c>
      <c r="AC10" s="18">
        <v>3.4049999999999997E-2</v>
      </c>
      <c r="AD10" s="16">
        <v>55.973057969805424</v>
      </c>
    </row>
    <row r="11" spans="2:30" x14ac:dyDescent="0.25">
      <c r="B11" s="13" t="s">
        <v>42</v>
      </c>
      <c r="C11" s="14">
        <v>42391</v>
      </c>
      <c r="D11" s="22">
        <v>0.32587962962962963</v>
      </c>
      <c r="E11" s="13" t="s">
        <v>43</v>
      </c>
      <c r="F11" s="13">
        <v>109.8</v>
      </c>
      <c r="G11" s="13">
        <v>134.19999999999999</v>
      </c>
      <c r="H11" s="13" t="s">
        <v>44</v>
      </c>
      <c r="I11" s="13">
        <v>4000001</v>
      </c>
      <c r="J11" s="17">
        <v>193</v>
      </c>
      <c r="K11" s="13">
        <v>6.4290000000000003</v>
      </c>
      <c r="L11" s="13">
        <v>501</v>
      </c>
      <c r="M11" s="13">
        <v>360</v>
      </c>
      <c r="N11" s="13">
        <v>725</v>
      </c>
      <c r="O11" s="13">
        <v>843</v>
      </c>
      <c r="P11" s="17">
        <v>785.226</v>
      </c>
      <c r="Q11" s="16">
        <v>17.417000000000002</v>
      </c>
      <c r="R11" s="18">
        <v>7.5259999999999994E-2</v>
      </c>
      <c r="S11" s="18">
        <v>4.2860000000000002E-2</v>
      </c>
      <c r="T11" s="18">
        <v>4.2130000000000001E-2</v>
      </c>
      <c r="U11" s="13">
        <v>376</v>
      </c>
      <c r="V11" s="13">
        <v>270</v>
      </c>
      <c r="W11" s="13">
        <v>753</v>
      </c>
      <c r="X11" s="13">
        <v>843</v>
      </c>
      <c r="Y11" s="17">
        <v>793.13800000000003</v>
      </c>
      <c r="Z11" s="16">
        <v>14.416</v>
      </c>
      <c r="AA11" s="18">
        <v>5.6439999999999997E-2</v>
      </c>
      <c r="AB11" s="18">
        <v>3.4229999999999997E-2</v>
      </c>
      <c r="AC11" s="18">
        <v>3.9960000000000002E-2</v>
      </c>
      <c r="AD11" s="16">
        <v>55.825258254992868</v>
      </c>
    </row>
    <row r="12" spans="2:30" x14ac:dyDescent="0.25">
      <c r="B12" s="13" t="s">
        <v>42</v>
      </c>
      <c r="C12" s="14">
        <v>42394</v>
      </c>
      <c r="D12" s="22">
        <v>0.30849537037037039</v>
      </c>
      <c r="E12" s="13" t="s">
        <v>43</v>
      </c>
      <c r="F12" s="13">
        <v>109.8</v>
      </c>
      <c r="G12" s="13">
        <v>134.19999999999999</v>
      </c>
      <c r="H12" s="13" t="s">
        <v>44</v>
      </c>
      <c r="I12" s="13">
        <v>4000001</v>
      </c>
      <c r="J12" s="17">
        <v>198</v>
      </c>
      <c r="K12" s="13">
        <v>6.4290000000000003</v>
      </c>
      <c r="L12" s="13">
        <v>501</v>
      </c>
      <c r="M12" s="13">
        <v>354</v>
      </c>
      <c r="N12" s="13">
        <v>724</v>
      </c>
      <c r="O12" s="13">
        <v>844</v>
      </c>
      <c r="P12" s="17">
        <v>787.93600000000004</v>
      </c>
      <c r="Q12" s="16">
        <v>18.259</v>
      </c>
      <c r="R12" s="18">
        <v>7.646E-2</v>
      </c>
      <c r="S12" s="18">
        <v>4.9459999999999997E-2</v>
      </c>
      <c r="T12" s="18">
        <v>4.9209999999999997E-2</v>
      </c>
      <c r="U12" s="13">
        <v>376</v>
      </c>
      <c r="V12" s="13">
        <v>265</v>
      </c>
      <c r="W12" s="13">
        <v>735</v>
      </c>
      <c r="X12" s="13">
        <v>844</v>
      </c>
      <c r="Y12" s="17">
        <v>795.99400000000003</v>
      </c>
      <c r="Z12" s="16">
        <v>15.379</v>
      </c>
      <c r="AA12" s="18">
        <v>6.8790000000000004E-2</v>
      </c>
      <c r="AB12" s="18">
        <v>4.9459999999999997E-2</v>
      </c>
      <c r="AC12" s="18">
        <v>4.9209999999999997E-2</v>
      </c>
      <c r="AD12" s="16">
        <v>54.833531881219599</v>
      </c>
    </row>
    <row r="13" spans="2:30" x14ac:dyDescent="0.25">
      <c r="B13" s="13" t="s">
        <v>42</v>
      </c>
      <c r="C13" s="14">
        <v>42395</v>
      </c>
      <c r="D13" s="22">
        <v>0.29954861111111114</v>
      </c>
      <c r="E13" s="13" t="s">
        <v>43</v>
      </c>
      <c r="F13" s="13">
        <v>109.8</v>
      </c>
      <c r="G13" s="13">
        <v>134.19999999999999</v>
      </c>
      <c r="H13" s="13" t="s">
        <v>44</v>
      </c>
      <c r="I13" s="13">
        <v>4000001</v>
      </c>
      <c r="J13" s="17">
        <v>194</v>
      </c>
      <c r="K13" s="13">
        <v>6.4290000000000003</v>
      </c>
      <c r="L13" s="13">
        <v>501</v>
      </c>
      <c r="M13" s="13">
        <v>360</v>
      </c>
      <c r="N13" s="13">
        <v>735</v>
      </c>
      <c r="O13" s="13">
        <v>839</v>
      </c>
      <c r="P13" s="17">
        <v>784.51499999999999</v>
      </c>
      <c r="Q13" s="16">
        <v>15.949</v>
      </c>
      <c r="R13" s="18">
        <v>6.6239999999999993E-2</v>
      </c>
      <c r="S13" s="18">
        <v>4.326E-2</v>
      </c>
      <c r="T13" s="18">
        <v>4.367E-2</v>
      </c>
      <c r="U13" s="13">
        <v>376</v>
      </c>
      <c r="V13" s="13">
        <v>270</v>
      </c>
      <c r="W13" s="13">
        <v>750</v>
      </c>
      <c r="X13" s="13">
        <v>839</v>
      </c>
      <c r="Y13" s="17">
        <v>791.31200000000001</v>
      </c>
      <c r="Z13" s="16">
        <v>13.391999999999999</v>
      </c>
      <c r="AA13" s="18">
        <v>5.6000000000000001E-2</v>
      </c>
      <c r="AB13" s="18">
        <v>3.8830000000000003E-2</v>
      </c>
      <c r="AC13" s="18">
        <v>3.8600000000000002E-2</v>
      </c>
      <c r="AD13" s="16">
        <v>56.107054178618682</v>
      </c>
    </row>
    <row r="14" spans="2:30" x14ac:dyDescent="0.25">
      <c r="B14" s="13" t="s">
        <v>42</v>
      </c>
      <c r="C14" s="14">
        <v>42396</v>
      </c>
      <c r="D14" s="22">
        <v>0.31211805555555555</v>
      </c>
      <c r="E14" s="13" t="s">
        <v>43</v>
      </c>
      <c r="F14" s="13">
        <v>109.8</v>
      </c>
      <c r="G14" s="13">
        <v>134.19999999999999</v>
      </c>
      <c r="H14" s="13" t="s">
        <v>44</v>
      </c>
      <c r="I14" s="13">
        <v>4000001</v>
      </c>
      <c r="J14" s="17">
        <v>195</v>
      </c>
      <c r="K14" s="13">
        <v>6.4290000000000003</v>
      </c>
      <c r="L14" s="13">
        <v>501</v>
      </c>
      <c r="M14" s="13">
        <v>360</v>
      </c>
      <c r="N14" s="13">
        <v>727</v>
      </c>
      <c r="O14" s="13">
        <v>836</v>
      </c>
      <c r="P14" s="17">
        <v>785.10199999999998</v>
      </c>
      <c r="Q14" s="16">
        <v>17.129000000000001</v>
      </c>
      <c r="R14" s="18">
        <v>6.9650000000000004E-2</v>
      </c>
      <c r="S14" s="18">
        <v>6.1580000000000003E-2</v>
      </c>
      <c r="T14" s="18">
        <v>5.1529999999999999E-2</v>
      </c>
      <c r="U14" s="13">
        <v>376</v>
      </c>
      <c r="V14" s="13">
        <v>270</v>
      </c>
      <c r="W14" s="13">
        <v>745</v>
      </c>
      <c r="X14" s="13">
        <v>836</v>
      </c>
      <c r="Y14" s="17">
        <v>792.33100000000002</v>
      </c>
      <c r="Z14" s="16">
        <v>14.093</v>
      </c>
      <c r="AA14" s="18">
        <v>5.7639999999999997E-2</v>
      </c>
      <c r="AB14" s="18">
        <v>3.5430000000000003E-2</v>
      </c>
      <c r="AC14" s="18">
        <v>3.3140000000000003E-2</v>
      </c>
      <c r="AD14" s="16">
        <v>55.961889897494316</v>
      </c>
    </row>
    <row r="15" spans="2:30" x14ac:dyDescent="0.25">
      <c r="B15" s="13" t="s">
        <v>42</v>
      </c>
      <c r="C15" s="14">
        <v>42397</v>
      </c>
      <c r="D15" s="22">
        <v>0.30918981481481483</v>
      </c>
      <c r="E15" s="13" t="s">
        <v>43</v>
      </c>
      <c r="F15" s="13">
        <v>109.8</v>
      </c>
      <c r="G15" s="13">
        <v>134.19999999999999</v>
      </c>
      <c r="H15" s="13" t="s">
        <v>44</v>
      </c>
      <c r="I15" s="13">
        <v>4000001</v>
      </c>
      <c r="J15" s="17">
        <v>195</v>
      </c>
      <c r="K15" s="13">
        <v>6.4290000000000003</v>
      </c>
      <c r="L15" s="13">
        <v>501</v>
      </c>
      <c r="M15" s="13">
        <v>360</v>
      </c>
      <c r="N15" s="13">
        <v>727</v>
      </c>
      <c r="O15" s="13">
        <v>841</v>
      </c>
      <c r="P15" s="17">
        <v>784.90700000000004</v>
      </c>
      <c r="Q15" s="16">
        <v>16.734999999999999</v>
      </c>
      <c r="R15" s="18">
        <v>7.2260000000000005E-2</v>
      </c>
      <c r="S15" s="18">
        <v>4.9149999999999999E-2</v>
      </c>
      <c r="T15" s="18">
        <v>4.5629999999999997E-2</v>
      </c>
      <c r="U15" s="13">
        <v>376</v>
      </c>
      <c r="V15" s="13">
        <v>270</v>
      </c>
      <c r="W15" s="13">
        <v>749</v>
      </c>
      <c r="X15" s="13">
        <v>841</v>
      </c>
      <c r="Y15" s="17">
        <v>792.32899999999995</v>
      </c>
      <c r="Z15" s="16">
        <v>13.599</v>
      </c>
      <c r="AA15" s="18">
        <v>5.7509999999999999E-2</v>
      </c>
      <c r="AB15" s="18">
        <v>3.798E-2</v>
      </c>
      <c r="AC15" s="18">
        <v>3.4619999999999998E-2</v>
      </c>
      <c r="AD15" s="16">
        <v>56.104818212507588</v>
      </c>
    </row>
    <row r="16" spans="2:30" x14ac:dyDescent="0.25">
      <c r="B16" s="13" t="s">
        <v>42</v>
      </c>
      <c r="C16" s="14">
        <v>42398</v>
      </c>
      <c r="D16" s="22">
        <v>0.31415509259259261</v>
      </c>
      <c r="E16" s="13" t="s">
        <v>43</v>
      </c>
      <c r="F16" s="13">
        <v>109.8</v>
      </c>
      <c r="G16" s="13">
        <v>134.19999999999999</v>
      </c>
      <c r="H16" s="13" t="s">
        <v>44</v>
      </c>
      <c r="I16" s="13">
        <v>4000001</v>
      </c>
      <c r="J16" s="17">
        <v>195</v>
      </c>
      <c r="K16" s="13">
        <v>6.4290000000000003</v>
      </c>
      <c r="L16" s="13">
        <v>501</v>
      </c>
      <c r="M16" s="13">
        <v>360</v>
      </c>
      <c r="N16" s="13">
        <v>714</v>
      </c>
      <c r="O16" s="13">
        <v>836</v>
      </c>
      <c r="P16" s="17">
        <v>784.75300000000004</v>
      </c>
      <c r="Q16" s="16">
        <v>17.091000000000001</v>
      </c>
      <c r="R16" s="18">
        <v>7.9009999999999997E-2</v>
      </c>
      <c r="S16" s="18">
        <v>4.9160000000000002E-2</v>
      </c>
      <c r="T16" s="18">
        <v>4.3549999999999998E-2</v>
      </c>
      <c r="U16" s="13">
        <v>376</v>
      </c>
      <c r="V16" s="13">
        <v>270</v>
      </c>
      <c r="W16" s="13">
        <v>748</v>
      </c>
      <c r="X16" s="13">
        <v>836</v>
      </c>
      <c r="Y16" s="17">
        <v>792.23699999999997</v>
      </c>
      <c r="Z16" s="16">
        <v>15.077</v>
      </c>
      <c r="AA16" s="18">
        <v>5.5550000000000002E-2</v>
      </c>
      <c r="AB16" s="18">
        <v>3.381E-2</v>
      </c>
      <c r="AC16" s="18">
        <v>4.3549999999999998E-2</v>
      </c>
      <c r="AD16" s="16">
        <v>56.248111570646984</v>
      </c>
    </row>
    <row r="17" spans="2:30" x14ac:dyDescent="0.25">
      <c r="B17" s="13" t="s">
        <v>42</v>
      </c>
      <c r="C17" s="14">
        <v>42401</v>
      </c>
      <c r="D17" s="22">
        <v>0.31122685185185184</v>
      </c>
      <c r="E17" s="13" t="s">
        <v>43</v>
      </c>
      <c r="F17" s="13">
        <v>109.8</v>
      </c>
      <c r="G17" s="13">
        <v>134.19999999999999</v>
      </c>
      <c r="H17" s="13" t="s">
        <v>44</v>
      </c>
      <c r="I17" s="13">
        <v>4000002</v>
      </c>
      <c r="J17" s="17">
        <v>200</v>
      </c>
      <c r="K17" s="13">
        <v>6.4290000000000003</v>
      </c>
      <c r="L17" s="13">
        <v>501</v>
      </c>
      <c r="M17" s="13">
        <v>360</v>
      </c>
      <c r="N17" s="13">
        <v>718</v>
      </c>
      <c r="O17" s="13">
        <v>843</v>
      </c>
      <c r="P17" s="17">
        <v>784.47799999999995</v>
      </c>
      <c r="Q17" s="16">
        <v>17.88</v>
      </c>
      <c r="R17" s="18">
        <v>8.0210000000000004E-2</v>
      </c>
      <c r="S17" s="18">
        <v>4.3639999999999998E-2</v>
      </c>
      <c r="T17" s="18">
        <v>4.0890000000000003E-2</v>
      </c>
      <c r="U17" s="13">
        <v>376</v>
      </c>
      <c r="V17" s="13">
        <v>270</v>
      </c>
      <c r="W17" s="13">
        <v>741</v>
      </c>
      <c r="X17" s="13">
        <v>843</v>
      </c>
      <c r="Y17" s="17">
        <v>792.18600000000004</v>
      </c>
      <c r="Z17" s="16">
        <v>15.617000000000001</v>
      </c>
      <c r="AA17" s="18">
        <v>6.3979999999999995E-2</v>
      </c>
      <c r="AB17" s="18">
        <v>4.3639999999999998E-2</v>
      </c>
      <c r="AC17" s="18">
        <v>4.0890000000000003E-2</v>
      </c>
      <c r="AD17" s="16">
        <v>55.263200273860136</v>
      </c>
    </row>
    <row r="18" spans="2:30" x14ac:dyDescent="0.25">
      <c r="B18" s="13" t="s">
        <v>42</v>
      </c>
      <c r="C18" s="14">
        <v>42402</v>
      </c>
      <c r="D18" s="22">
        <v>0.30469907407407409</v>
      </c>
      <c r="E18" s="13" t="s">
        <v>43</v>
      </c>
      <c r="F18" s="13">
        <v>109.8</v>
      </c>
      <c r="G18" s="13">
        <v>134.19999999999999</v>
      </c>
      <c r="H18" s="13" t="s">
        <v>44</v>
      </c>
      <c r="I18" s="13">
        <v>4000001</v>
      </c>
      <c r="J18" s="17">
        <v>197</v>
      </c>
      <c r="K18" s="13">
        <v>6.4290000000000003</v>
      </c>
      <c r="L18" s="13">
        <v>501</v>
      </c>
      <c r="M18" s="13">
        <v>360</v>
      </c>
      <c r="N18" s="13">
        <v>702</v>
      </c>
      <c r="O18" s="13">
        <v>838</v>
      </c>
      <c r="P18" s="17">
        <v>784.79300000000001</v>
      </c>
      <c r="Q18" s="16">
        <v>17.37</v>
      </c>
      <c r="R18" s="18">
        <v>8.8550000000000004E-2</v>
      </c>
      <c r="S18" s="18">
        <v>4.9340000000000002E-2</v>
      </c>
      <c r="T18" s="18">
        <v>5.5410000000000001E-2</v>
      </c>
      <c r="U18" s="13">
        <v>376</v>
      </c>
      <c r="V18" s="13">
        <v>270</v>
      </c>
      <c r="W18" s="13">
        <v>741</v>
      </c>
      <c r="X18" s="13">
        <v>838</v>
      </c>
      <c r="Y18" s="17">
        <v>792.02</v>
      </c>
      <c r="Z18" s="16">
        <v>14.871</v>
      </c>
      <c r="AA18" s="18">
        <v>6.173E-2</v>
      </c>
      <c r="AB18" s="18">
        <v>3.3829999999999999E-2</v>
      </c>
      <c r="AC18" s="18">
        <v>3.9870000000000003E-2</v>
      </c>
      <c r="AD18" s="16">
        <v>56.248051029357782</v>
      </c>
    </row>
    <row r="19" spans="2:30" x14ac:dyDescent="0.25">
      <c r="B19" s="13" t="s">
        <v>42</v>
      </c>
      <c r="C19" s="14">
        <v>42403</v>
      </c>
      <c r="D19" s="22">
        <v>0.30961805555555555</v>
      </c>
      <c r="E19" s="13" t="s">
        <v>43</v>
      </c>
      <c r="F19" s="13">
        <v>109.8</v>
      </c>
      <c r="G19" s="13">
        <v>134.19999999999999</v>
      </c>
      <c r="H19" s="13" t="s">
        <v>44</v>
      </c>
      <c r="I19" s="13">
        <v>4000001</v>
      </c>
      <c r="J19" s="17">
        <v>198</v>
      </c>
      <c r="K19" s="13">
        <v>6.4290000000000003</v>
      </c>
      <c r="L19" s="13">
        <v>501</v>
      </c>
      <c r="M19" s="13">
        <v>360</v>
      </c>
      <c r="N19" s="13">
        <v>715</v>
      </c>
      <c r="O19" s="13">
        <v>839</v>
      </c>
      <c r="P19" s="17">
        <v>784.93100000000004</v>
      </c>
      <c r="Q19" s="16">
        <v>16.524999999999999</v>
      </c>
      <c r="R19" s="18">
        <v>7.9890000000000003E-2</v>
      </c>
      <c r="S19" s="18">
        <v>4.5999999999999999E-2</v>
      </c>
      <c r="T19" s="18">
        <v>4.564E-2</v>
      </c>
      <c r="U19" s="13">
        <v>376</v>
      </c>
      <c r="V19" s="13">
        <v>270</v>
      </c>
      <c r="W19" s="13">
        <v>745</v>
      </c>
      <c r="X19" s="13">
        <v>839</v>
      </c>
      <c r="Y19" s="17">
        <v>792.15599999999995</v>
      </c>
      <c r="Z19" s="16">
        <v>14.423999999999999</v>
      </c>
      <c r="AA19" s="18">
        <v>5.9400000000000001E-2</v>
      </c>
      <c r="AB19" s="18">
        <v>4.3920000000000001E-2</v>
      </c>
      <c r="AC19" s="18">
        <v>3.7969999999999997E-2</v>
      </c>
      <c r="AD19" s="16">
        <v>56.106903591116193</v>
      </c>
    </row>
    <row r="20" spans="2:30" x14ac:dyDescent="0.25">
      <c r="B20" s="13" t="s">
        <v>42</v>
      </c>
      <c r="C20" s="14">
        <v>42404</v>
      </c>
      <c r="D20" s="22">
        <v>0.30799768518518517</v>
      </c>
      <c r="E20" s="13" t="s">
        <v>43</v>
      </c>
      <c r="F20" s="13">
        <v>109.8</v>
      </c>
      <c r="G20" s="13">
        <v>134.19999999999999</v>
      </c>
      <c r="H20" s="13" t="s">
        <v>44</v>
      </c>
      <c r="I20" s="13">
        <v>4000001</v>
      </c>
      <c r="J20" s="17">
        <v>198</v>
      </c>
      <c r="K20" s="13">
        <v>6.4290000000000003</v>
      </c>
      <c r="L20" s="13">
        <v>501</v>
      </c>
      <c r="M20" s="13">
        <v>360</v>
      </c>
      <c r="N20" s="13">
        <v>725</v>
      </c>
      <c r="O20" s="13">
        <v>836</v>
      </c>
      <c r="P20" s="17">
        <v>784.85299999999995</v>
      </c>
      <c r="Q20" s="16">
        <v>16.841999999999999</v>
      </c>
      <c r="R20" s="18">
        <v>7.0510000000000003E-2</v>
      </c>
      <c r="S20" s="18">
        <v>4.3490000000000001E-2</v>
      </c>
      <c r="T20" s="18">
        <v>4.1090000000000002E-2</v>
      </c>
      <c r="U20" s="13">
        <v>376</v>
      </c>
      <c r="V20" s="13">
        <v>270</v>
      </c>
      <c r="W20" s="13">
        <v>754</v>
      </c>
      <c r="X20" s="13">
        <v>836</v>
      </c>
      <c r="Y20" s="17">
        <v>792.68</v>
      </c>
      <c r="Z20" s="16">
        <v>13.304</v>
      </c>
      <c r="AA20" s="18">
        <v>5.1279999999999999E-2</v>
      </c>
      <c r="AB20" s="18">
        <v>3.347E-2</v>
      </c>
      <c r="AC20" s="18">
        <v>3.5830000000000001E-2</v>
      </c>
      <c r="AD20" s="16">
        <v>56.250202275373979</v>
      </c>
    </row>
    <row r="21" spans="2:30" x14ac:dyDescent="0.25">
      <c r="B21" s="13" t="s">
        <v>42</v>
      </c>
      <c r="C21" s="14">
        <v>42408</v>
      </c>
      <c r="D21" s="22">
        <v>0.3049189814814815</v>
      </c>
      <c r="E21" s="13" t="s">
        <v>43</v>
      </c>
      <c r="F21" s="13">
        <v>109.8</v>
      </c>
      <c r="G21" s="13">
        <v>134.19999999999999</v>
      </c>
      <c r="H21" s="13" t="s">
        <v>44</v>
      </c>
      <c r="I21" s="13">
        <v>4000001</v>
      </c>
      <c r="J21" s="17">
        <v>202</v>
      </c>
      <c r="K21" s="13">
        <v>6.4290000000000003</v>
      </c>
      <c r="L21" s="13">
        <v>501</v>
      </c>
      <c r="M21" s="13">
        <v>360</v>
      </c>
      <c r="N21" s="13">
        <v>713</v>
      </c>
      <c r="O21" s="13">
        <v>836</v>
      </c>
      <c r="P21" s="17">
        <v>784.39800000000002</v>
      </c>
      <c r="Q21" s="16">
        <v>18.149000000000001</v>
      </c>
      <c r="R21" s="18">
        <v>7.9829999999999998E-2</v>
      </c>
      <c r="S21" s="18">
        <v>4.1270000000000001E-2</v>
      </c>
      <c r="T21" s="18">
        <v>4.2549999999999998E-2</v>
      </c>
      <c r="U21" s="13">
        <v>376</v>
      </c>
      <c r="V21" s="13">
        <v>270</v>
      </c>
      <c r="W21" s="13">
        <v>746</v>
      </c>
      <c r="X21" s="13">
        <v>836</v>
      </c>
      <c r="Y21" s="17">
        <v>792.83799999999997</v>
      </c>
      <c r="Z21" s="16">
        <v>14.794</v>
      </c>
      <c r="AA21" s="18">
        <v>5.6779999999999997E-2</v>
      </c>
      <c r="AB21" s="18">
        <v>4.1270000000000001E-2</v>
      </c>
      <c r="AC21" s="18">
        <v>4.2549999999999998E-2</v>
      </c>
      <c r="AD21" s="16">
        <v>55.701777821577465</v>
      </c>
    </row>
    <row r="22" spans="2:30" x14ac:dyDescent="0.25">
      <c r="B22" s="13" t="s">
        <v>42</v>
      </c>
      <c r="C22" s="14">
        <v>42409</v>
      </c>
      <c r="D22" s="22">
        <v>0.31946759259259255</v>
      </c>
      <c r="E22" s="13" t="s">
        <v>43</v>
      </c>
      <c r="F22" s="13">
        <v>109.8</v>
      </c>
      <c r="G22" s="13">
        <v>134.19999999999999</v>
      </c>
      <c r="H22" s="13" t="s">
        <v>44</v>
      </c>
      <c r="I22" s="13">
        <v>4000001</v>
      </c>
      <c r="J22" s="17">
        <v>200</v>
      </c>
      <c r="K22" s="13">
        <v>6.4290000000000003</v>
      </c>
      <c r="L22" s="13">
        <v>501</v>
      </c>
      <c r="M22" s="13">
        <v>360</v>
      </c>
      <c r="N22" s="13">
        <v>727</v>
      </c>
      <c r="O22" s="13">
        <v>838</v>
      </c>
      <c r="P22" s="17">
        <v>784.88800000000003</v>
      </c>
      <c r="Q22" s="16">
        <v>16.343</v>
      </c>
      <c r="R22" s="18">
        <v>7.0639999999999994E-2</v>
      </c>
      <c r="S22" s="18">
        <v>4.1259999999999998E-2</v>
      </c>
      <c r="T22" s="18">
        <v>4.3700000000000003E-2</v>
      </c>
      <c r="U22" s="13">
        <v>376</v>
      </c>
      <c r="V22" s="13">
        <v>270</v>
      </c>
      <c r="W22" s="13">
        <v>745</v>
      </c>
      <c r="X22" s="13">
        <v>838</v>
      </c>
      <c r="Y22" s="17">
        <v>791.80499999999995</v>
      </c>
      <c r="Z22" s="16">
        <v>13.817</v>
      </c>
      <c r="AA22" s="18">
        <v>5.885E-2</v>
      </c>
      <c r="AB22" s="18">
        <v>4.1259999999999998E-2</v>
      </c>
      <c r="AC22" s="18">
        <v>3.8870000000000002E-2</v>
      </c>
      <c r="AD22" s="16">
        <v>56.402482220714795</v>
      </c>
    </row>
    <row r="23" spans="2:30" x14ac:dyDescent="0.25">
      <c r="B23" s="13" t="s">
        <v>42</v>
      </c>
      <c r="C23" s="14">
        <v>42410</v>
      </c>
      <c r="D23" s="22">
        <v>0.30770833333333331</v>
      </c>
      <c r="E23" s="13" t="s">
        <v>43</v>
      </c>
      <c r="F23" s="13">
        <v>109.8</v>
      </c>
      <c r="G23" s="13">
        <v>134.19999999999999</v>
      </c>
      <c r="H23" s="13" t="s">
        <v>44</v>
      </c>
      <c r="I23" s="13">
        <v>4000001</v>
      </c>
      <c r="J23" s="17">
        <v>201</v>
      </c>
      <c r="K23" s="13">
        <v>6.4290000000000003</v>
      </c>
      <c r="L23" s="13">
        <v>501</v>
      </c>
      <c r="M23" s="13">
        <v>360</v>
      </c>
      <c r="N23" s="13">
        <v>720</v>
      </c>
      <c r="O23" s="13">
        <v>837</v>
      </c>
      <c r="P23" s="17">
        <v>784.69399999999996</v>
      </c>
      <c r="Q23" s="16">
        <v>17.193999999999999</v>
      </c>
      <c r="R23" s="18">
        <v>7.5439999999999993E-2</v>
      </c>
      <c r="S23" s="18">
        <v>5.1409999999999997E-2</v>
      </c>
      <c r="T23" s="18">
        <v>4.0329999999999998E-2</v>
      </c>
      <c r="U23" s="13">
        <v>376</v>
      </c>
      <c r="V23" s="13">
        <v>270</v>
      </c>
      <c r="W23" s="13">
        <v>750</v>
      </c>
      <c r="X23" s="13">
        <v>837</v>
      </c>
      <c r="Y23" s="17">
        <v>792.74300000000005</v>
      </c>
      <c r="Z23" s="16">
        <v>14.164999999999999</v>
      </c>
      <c r="AA23" s="18">
        <v>5.4859999999999999E-2</v>
      </c>
      <c r="AB23" s="18">
        <v>3.4459999999999998E-2</v>
      </c>
      <c r="AC23" s="18">
        <v>3.7850000000000002E-2</v>
      </c>
      <c r="AD23" s="16">
        <v>56.265209772634925</v>
      </c>
    </row>
    <row r="24" spans="2:30" x14ac:dyDescent="0.25">
      <c r="B24" s="13" t="s">
        <v>42</v>
      </c>
      <c r="C24" s="14">
        <v>42411</v>
      </c>
      <c r="D24" s="22">
        <v>0.3102199074074074</v>
      </c>
      <c r="E24" s="13" t="s">
        <v>43</v>
      </c>
      <c r="F24" s="13">
        <v>109.8</v>
      </c>
      <c r="G24" s="13">
        <v>134.19999999999999</v>
      </c>
      <c r="H24" s="13" t="s">
        <v>44</v>
      </c>
      <c r="I24" s="13">
        <v>4000001</v>
      </c>
      <c r="J24" s="17">
        <v>201</v>
      </c>
      <c r="K24" s="13">
        <v>6.4290000000000003</v>
      </c>
      <c r="L24" s="13">
        <v>501</v>
      </c>
      <c r="M24" s="13">
        <v>360</v>
      </c>
      <c r="N24" s="13">
        <v>708</v>
      </c>
      <c r="O24" s="13">
        <v>848</v>
      </c>
      <c r="P24" s="17">
        <v>785.28</v>
      </c>
      <c r="Q24" s="16">
        <v>17.417000000000002</v>
      </c>
      <c r="R24" s="18">
        <v>9.0340000000000004E-2</v>
      </c>
      <c r="S24" s="18">
        <v>5.799E-2</v>
      </c>
      <c r="T24" s="18">
        <v>4.3799999999999999E-2</v>
      </c>
      <c r="U24" s="13">
        <v>376</v>
      </c>
      <c r="V24" s="13">
        <v>270</v>
      </c>
      <c r="W24" s="13">
        <v>738</v>
      </c>
      <c r="X24" s="13">
        <v>848</v>
      </c>
      <c r="Y24" s="17">
        <v>793.49900000000002</v>
      </c>
      <c r="Z24" s="16">
        <v>14.406000000000001</v>
      </c>
      <c r="AA24" s="18">
        <v>6.9349999999999995E-2</v>
      </c>
      <c r="AB24" s="18">
        <v>3.7409999999999999E-2</v>
      </c>
      <c r="AC24" s="18">
        <v>3.9809999999999998E-2</v>
      </c>
      <c r="AD24" s="16">
        <v>56.408912775542809</v>
      </c>
    </row>
    <row r="25" spans="2:30" x14ac:dyDescent="0.25">
      <c r="B25" s="13" t="s">
        <v>42</v>
      </c>
      <c r="C25" s="14">
        <v>42412</v>
      </c>
      <c r="D25" s="22">
        <v>0.34381944444444446</v>
      </c>
      <c r="E25" s="13" t="s">
        <v>43</v>
      </c>
      <c r="F25" s="13">
        <v>109.8</v>
      </c>
      <c r="G25" s="13">
        <v>134.19999999999999</v>
      </c>
      <c r="H25" s="13" t="s">
        <v>44</v>
      </c>
      <c r="I25" s="13">
        <v>4000001</v>
      </c>
      <c r="J25" s="17">
        <v>201</v>
      </c>
      <c r="K25" s="13">
        <v>6.4290000000000003</v>
      </c>
      <c r="L25" s="13">
        <v>501</v>
      </c>
      <c r="M25" s="13">
        <v>360</v>
      </c>
      <c r="N25" s="13">
        <v>719</v>
      </c>
      <c r="O25" s="13">
        <v>844</v>
      </c>
      <c r="P25" s="17">
        <v>785.36099999999999</v>
      </c>
      <c r="Q25" s="16">
        <v>16.652999999999999</v>
      </c>
      <c r="R25" s="18">
        <v>7.9500000000000001E-2</v>
      </c>
      <c r="S25" s="18">
        <v>4.9849999999999998E-2</v>
      </c>
      <c r="T25" s="18">
        <v>4.061E-2</v>
      </c>
      <c r="U25" s="13">
        <v>376</v>
      </c>
      <c r="V25" s="13">
        <v>270</v>
      </c>
      <c r="W25" s="13">
        <v>751</v>
      </c>
      <c r="X25" s="13">
        <v>844</v>
      </c>
      <c r="Y25" s="17">
        <v>793.08500000000004</v>
      </c>
      <c r="Z25" s="16">
        <v>13.746</v>
      </c>
      <c r="AA25" s="18">
        <v>5.7840000000000003E-2</v>
      </c>
      <c r="AB25" s="18">
        <v>4.0390000000000002E-2</v>
      </c>
      <c r="AC25" s="18">
        <v>3.8670000000000003E-2</v>
      </c>
      <c r="AD25" s="16">
        <v>56.552982800152542</v>
      </c>
    </row>
    <row r="26" spans="2:30" x14ac:dyDescent="0.25">
      <c r="B26" s="13" t="s">
        <v>42</v>
      </c>
      <c r="C26" s="14">
        <v>42415</v>
      </c>
      <c r="D26" s="22">
        <v>0.30976851851851855</v>
      </c>
      <c r="E26" s="13" t="s">
        <v>43</v>
      </c>
      <c r="F26" s="13">
        <v>109.8</v>
      </c>
      <c r="G26" s="13">
        <v>134.19999999999999</v>
      </c>
      <c r="H26" s="13" t="s">
        <v>44</v>
      </c>
      <c r="I26" s="13">
        <v>4000001</v>
      </c>
      <c r="J26" s="17">
        <v>206</v>
      </c>
      <c r="K26" s="13">
        <v>6.4290000000000003</v>
      </c>
      <c r="L26" s="13">
        <v>501</v>
      </c>
      <c r="M26" s="13">
        <v>354</v>
      </c>
      <c r="N26" s="13">
        <v>716</v>
      </c>
      <c r="O26" s="13">
        <v>848</v>
      </c>
      <c r="P26" s="17">
        <v>788.74300000000005</v>
      </c>
      <c r="Q26" s="16">
        <v>18.172000000000001</v>
      </c>
      <c r="R26" s="18">
        <v>8.4529999999999994E-2</v>
      </c>
      <c r="S26" s="18">
        <v>3.9620000000000002E-2</v>
      </c>
      <c r="T26" s="18">
        <v>4.4240000000000002E-2</v>
      </c>
      <c r="U26" s="13">
        <v>376</v>
      </c>
      <c r="V26" s="13">
        <v>265</v>
      </c>
      <c r="W26" s="13">
        <v>747</v>
      </c>
      <c r="X26" s="13">
        <v>848</v>
      </c>
      <c r="Y26" s="17">
        <v>796.84299999999996</v>
      </c>
      <c r="Z26" s="16">
        <v>15.231999999999999</v>
      </c>
      <c r="AA26" s="18">
        <v>6.3780000000000003E-2</v>
      </c>
      <c r="AB26" s="18">
        <v>3.8510000000000003E-2</v>
      </c>
      <c r="AC26" s="18">
        <v>3.916E-2</v>
      </c>
      <c r="AD26" s="16">
        <v>55.604214963069708</v>
      </c>
    </row>
    <row r="27" spans="2:30" x14ac:dyDescent="0.25">
      <c r="B27" s="13" t="s">
        <v>42</v>
      </c>
      <c r="C27" s="14">
        <v>42418</v>
      </c>
      <c r="D27" s="22">
        <v>0.31218750000000001</v>
      </c>
      <c r="E27" s="13" t="s">
        <v>43</v>
      </c>
      <c r="F27" s="13">
        <v>109.8</v>
      </c>
      <c r="G27" s="13">
        <v>134.19999999999999</v>
      </c>
      <c r="H27" s="13" t="s">
        <v>44</v>
      </c>
      <c r="I27" s="13">
        <v>4000001</v>
      </c>
      <c r="J27" s="17">
        <v>204</v>
      </c>
      <c r="K27" s="13">
        <v>6.4290000000000003</v>
      </c>
      <c r="L27" s="13">
        <v>501</v>
      </c>
      <c r="M27" s="13">
        <v>360</v>
      </c>
      <c r="N27" s="13">
        <v>715</v>
      </c>
      <c r="O27" s="13">
        <v>853</v>
      </c>
      <c r="P27" s="17">
        <v>784.41700000000003</v>
      </c>
      <c r="Q27" s="16">
        <v>16.388999999999999</v>
      </c>
      <c r="R27" s="18">
        <v>8.8279999999999997E-2</v>
      </c>
      <c r="S27" s="18">
        <v>5.7230000000000003E-2</v>
      </c>
      <c r="T27" s="18">
        <v>4.4929999999999998E-2</v>
      </c>
      <c r="U27" s="13">
        <v>376</v>
      </c>
      <c r="V27" s="13">
        <v>270</v>
      </c>
      <c r="W27" s="13">
        <v>748</v>
      </c>
      <c r="X27" s="13">
        <v>853</v>
      </c>
      <c r="Y27" s="17">
        <v>791.34199999999998</v>
      </c>
      <c r="Z27" s="16">
        <v>13.849</v>
      </c>
      <c r="AA27" s="18">
        <v>6.5659999999999996E-2</v>
      </c>
      <c r="AB27" s="18">
        <v>3.8490000000000003E-2</v>
      </c>
      <c r="AC27" s="18">
        <v>4.0680000000000001E-2</v>
      </c>
      <c r="AD27" s="16">
        <v>56.580675372864675</v>
      </c>
    </row>
    <row r="28" spans="2:30" x14ac:dyDescent="0.25">
      <c r="B28" s="13" t="s">
        <v>42</v>
      </c>
      <c r="C28" s="14">
        <v>42419</v>
      </c>
      <c r="D28" s="22">
        <v>0.32309027777777777</v>
      </c>
      <c r="E28" s="13" t="s">
        <v>43</v>
      </c>
      <c r="F28" s="13">
        <v>109.8</v>
      </c>
      <c r="G28" s="13">
        <v>134.19999999999999</v>
      </c>
      <c r="H28" s="13" t="s">
        <v>44</v>
      </c>
      <c r="I28" s="13">
        <v>4000001</v>
      </c>
      <c r="J28" s="17">
        <v>205</v>
      </c>
      <c r="K28" s="13">
        <v>6.4290000000000003</v>
      </c>
      <c r="L28" s="13">
        <v>501</v>
      </c>
      <c r="M28" s="13">
        <v>354</v>
      </c>
      <c r="N28" s="13">
        <v>720</v>
      </c>
      <c r="O28" s="13">
        <v>841</v>
      </c>
      <c r="P28" s="17">
        <v>787.33399999999995</v>
      </c>
      <c r="Q28" s="16">
        <v>16.858000000000001</v>
      </c>
      <c r="R28" s="18">
        <v>7.8140000000000001E-2</v>
      </c>
      <c r="S28" s="18">
        <v>5.0450000000000002E-2</v>
      </c>
      <c r="T28" s="18">
        <v>4.1950000000000001E-2</v>
      </c>
      <c r="U28" s="13">
        <v>376</v>
      </c>
      <c r="V28" s="13">
        <v>265</v>
      </c>
      <c r="W28" s="13">
        <v>737</v>
      </c>
      <c r="X28" s="13">
        <v>841</v>
      </c>
      <c r="Y28" s="17">
        <v>794.20699999999999</v>
      </c>
      <c r="Z28" s="16">
        <v>14.47</v>
      </c>
      <c r="AA28" s="18">
        <v>6.6500000000000004E-2</v>
      </c>
      <c r="AB28" s="18">
        <v>4.011E-2</v>
      </c>
      <c r="AC28" s="18">
        <v>3.7940000000000002E-2</v>
      </c>
      <c r="AD28" s="16">
        <v>56.448475869161889</v>
      </c>
    </row>
    <row r="29" spans="2:30" x14ac:dyDescent="0.25">
      <c r="B29" s="13" t="s">
        <v>42</v>
      </c>
      <c r="C29" s="14">
        <v>42422</v>
      </c>
      <c r="D29" s="22">
        <v>0.32795138888888892</v>
      </c>
      <c r="E29" s="13" t="s">
        <v>43</v>
      </c>
      <c r="F29" s="13">
        <v>109.8</v>
      </c>
      <c r="G29" s="13">
        <v>134.19999999999999</v>
      </c>
      <c r="H29" s="13" t="s">
        <v>44</v>
      </c>
      <c r="I29" s="13">
        <v>4000001</v>
      </c>
      <c r="J29" s="17">
        <v>209</v>
      </c>
      <c r="K29" s="13">
        <v>6.4290000000000003</v>
      </c>
      <c r="L29" s="13">
        <v>501</v>
      </c>
      <c r="M29" s="13">
        <v>360</v>
      </c>
      <c r="N29" s="13">
        <v>717</v>
      </c>
      <c r="O29" s="13">
        <v>846</v>
      </c>
      <c r="P29" s="17">
        <v>784.78700000000003</v>
      </c>
      <c r="Q29" s="16">
        <v>17.861999999999998</v>
      </c>
      <c r="R29" s="18">
        <v>8.2659999999999997E-2</v>
      </c>
      <c r="S29" s="18">
        <v>4.3319999999999997E-2</v>
      </c>
      <c r="T29" s="18">
        <v>4.4350000000000001E-2</v>
      </c>
      <c r="U29" s="13">
        <v>376</v>
      </c>
      <c r="V29" s="13">
        <v>270</v>
      </c>
      <c r="W29" s="13">
        <v>746</v>
      </c>
      <c r="X29" s="13">
        <v>846</v>
      </c>
      <c r="Y29" s="17">
        <v>792.56399999999996</v>
      </c>
      <c r="Z29" s="16">
        <v>15.041</v>
      </c>
      <c r="AA29" s="18">
        <v>6.2890000000000001E-2</v>
      </c>
      <c r="AB29" s="18">
        <v>4.1750000000000002E-2</v>
      </c>
      <c r="AC29" s="18">
        <v>4.3520000000000003E-2</v>
      </c>
      <c r="AD29" s="16">
        <v>55.793442141238671</v>
      </c>
    </row>
    <row r="30" spans="2:30" x14ac:dyDescent="0.25">
      <c r="B30" s="13" t="s">
        <v>42</v>
      </c>
      <c r="C30" s="14">
        <v>42423</v>
      </c>
      <c r="D30" s="22">
        <v>0.298912037037037</v>
      </c>
      <c r="E30" s="13" t="s">
        <v>43</v>
      </c>
      <c r="F30" s="13">
        <v>109.8</v>
      </c>
      <c r="G30" s="13">
        <v>134.19999999999999</v>
      </c>
      <c r="H30" s="13" t="s">
        <v>44</v>
      </c>
      <c r="I30" s="13">
        <v>4000001</v>
      </c>
      <c r="J30" s="17">
        <v>206</v>
      </c>
      <c r="K30" s="13">
        <v>6.4290000000000003</v>
      </c>
      <c r="L30" s="13">
        <v>501</v>
      </c>
      <c r="M30" s="13">
        <v>360</v>
      </c>
      <c r="N30" s="13">
        <v>711</v>
      </c>
      <c r="O30" s="13">
        <v>837</v>
      </c>
      <c r="P30" s="17">
        <v>784.86300000000006</v>
      </c>
      <c r="Q30" s="16">
        <v>15.779</v>
      </c>
      <c r="R30" s="18">
        <v>8.1500000000000003E-2</v>
      </c>
      <c r="S30" s="18">
        <v>5.0729999999999997E-2</v>
      </c>
      <c r="T30" s="18">
        <v>4.6249999999999999E-2</v>
      </c>
      <c r="U30" s="13">
        <v>376</v>
      </c>
      <c r="V30" s="13">
        <v>270</v>
      </c>
      <c r="W30" s="13">
        <v>744</v>
      </c>
      <c r="X30" s="13">
        <v>837</v>
      </c>
      <c r="Y30" s="17">
        <v>791.53099999999995</v>
      </c>
      <c r="Z30" s="16">
        <v>13.18</v>
      </c>
      <c r="AA30" s="18">
        <v>5.8569999999999997E-2</v>
      </c>
      <c r="AB30" s="18">
        <v>3.594E-2</v>
      </c>
      <c r="AC30" s="18">
        <v>4.2540000000000001E-2</v>
      </c>
      <c r="AD30" s="16">
        <v>56.750541307115256</v>
      </c>
    </row>
    <row r="31" spans="2:30" x14ac:dyDescent="0.25">
      <c r="B31" s="13" t="s">
        <v>42</v>
      </c>
      <c r="C31" s="14">
        <v>42424</v>
      </c>
      <c r="D31" s="22">
        <v>0.30776620370370372</v>
      </c>
      <c r="E31" s="13" t="s">
        <v>43</v>
      </c>
      <c r="F31" s="13">
        <v>109.8</v>
      </c>
      <c r="G31" s="13">
        <v>134.19999999999999</v>
      </c>
      <c r="H31" s="13" t="s">
        <v>44</v>
      </c>
      <c r="I31" s="13">
        <v>4000001</v>
      </c>
      <c r="J31" s="17">
        <v>207</v>
      </c>
      <c r="K31" s="13">
        <v>6.4290000000000003</v>
      </c>
      <c r="L31" s="13">
        <v>501</v>
      </c>
      <c r="M31" s="13">
        <v>360</v>
      </c>
      <c r="N31" s="13">
        <v>717</v>
      </c>
      <c r="O31" s="13">
        <v>837</v>
      </c>
      <c r="P31" s="17">
        <v>786.10400000000004</v>
      </c>
      <c r="Q31" s="16">
        <v>17.948</v>
      </c>
      <c r="R31" s="18">
        <v>7.6799999999999993E-2</v>
      </c>
      <c r="S31" s="18">
        <v>4.0779999999999997E-2</v>
      </c>
      <c r="T31" s="18">
        <v>4.743E-2</v>
      </c>
      <c r="U31" s="13">
        <v>376</v>
      </c>
      <c r="V31" s="13">
        <v>270</v>
      </c>
      <c r="W31" s="13">
        <v>750</v>
      </c>
      <c r="X31" s="13">
        <v>837</v>
      </c>
      <c r="Y31" s="17">
        <v>794.10500000000002</v>
      </c>
      <c r="Z31" s="16">
        <v>14.117000000000001</v>
      </c>
      <c r="AA31" s="18">
        <v>5.4330000000000003E-2</v>
      </c>
      <c r="AB31" s="18">
        <v>3.5770000000000003E-2</v>
      </c>
      <c r="AC31" s="18">
        <v>3.7999999999999999E-2</v>
      </c>
      <c r="AD31" s="16">
        <v>56.620626451099632</v>
      </c>
    </row>
    <row r="32" spans="2:30" x14ac:dyDescent="0.25">
      <c r="B32" s="13" t="s">
        <v>42</v>
      </c>
      <c r="C32" s="14">
        <v>42425</v>
      </c>
      <c r="D32" s="22">
        <v>0.30351851851851852</v>
      </c>
      <c r="E32" s="13" t="s">
        <v>43</v>
      </c>
      <c r="F32" s="13">
        <v>109.8</v>
      </c>
      <c r="G32" s="13">
        <v>134.19999999999999</v>
      </c>
      <c r="H32" s="13" t="s">
        <v>44</v>
      </c>
      <c r="I32" s="13">
        <v>4000001</v>
      </c>
      <c r="J32" s="17">
        <v>208</v>
      </c>
      <c r="K32" s="13">
        <v>6.4290000000000003</v>
      </c>
      <c r="L32" s="13">
        <v>501</v>
      </c>
      <c r="M32" s="13">
        <v>360</v>
      </c>
      <c r="N32" s="13">
        <v>712</v>
      </c>
      <c r="O32" s="13">
        <v>843</v>
      </c>
      <c r="P32" s="17">
        <v>787.09299999999996</v>
      </c>
      <c r="Q32" s="16">
        <v>17.187000000000001</v>
      </c>
      <c r="R32" s="18">
        <v>8.4379999999999997E-2</v>
      </c>
      <c r="S32" s="18">
        <v>4.2279999999999998E-2</v>
      </c>
      <c r="T32" s="18">
        <v>4.3830000000000001E-2</v>
      </c>
      <c r="U32" s="13">
        <v>376</v>
      </c>
      <c r="V32" s="13">
        <v>270</v>
      </c>
      <c r="W32" s="13">
        <v>746</v>
      </c>
      <c r="X32" s="13">
        <v>843</v>
      </c>
      <c r="Y32" s="17">
        <v>794.66899999999998</v>
      </c>
      <c r="Z32" s="16">
        <v>13.568</v>
      </c>
      <c r="AA32" s="18">
        <v>6.0819999999999999E-2</v>
      </c>
      <c r="AB32" s="18">
        <v>4.2279999999999998E-2</v>
      </c>
      <c r="AC32" s="18">
        <v>3.6490000000000002E-2</v>
      </c>
      <c r="AD32" s="16">
        <v>56.492327404447849</v>
      </c>
    </row>
    <row r="33" spans="2:30" x14ac:dyDescent="0.25">
      <c r="B33" s="13" t="s">
        <v>42</v>
      </c>
      <c r="C33" s="14">
        <v>42426</v>
      </c>
      <c r="D33" s="22">
        <v>0.32976851851851852</v>
      </c>
      <c r="E33" s="13" t="s">
        <v>43</v>
      </c>
      <c r="F33" s="13">
        <v>109.8</v>
      </c>
      <c r="G33" s="13">
        <v>134.19999999999999</v>
      </c>
      <c r="H33" s="13" t="s">
        <v>44</v>
      </c>
      <c r="I33" s="13">
        <v>4000001</v>
      </c>
      <c r="J33" s="17">
        <v>207</v>
      </c>
      <c r="K33" s="13">
        <v>6.4290000000000003</v>
      </c>
      <c r="L33" s="13">
        <v>501</v>
      </c>
      <c r="M33" s="13">
        <v>360</v>
      </c>
      <c r="N33" s="13">
        <v>711</v>
      </c>
      <c r="O33" s="13">
        <v>840</v>
      </c>
      <c r="P33" s="17">
        <v>786.04300000000001</v>
      </c>
      <c r="Q33" s="16">
        <v>16.972999999999999</v>
      </c>
      <c r="R33" s="18">
        <v>8.2750000000000004E-2</v>
      </c>
      <c r="S33" s="18">
        <v>5.5910000000000001E-2</v>
      </c>
      <c r="T33" s="18">
        <v>5.0099999999999999E-2</v>
      </c>
      <c r="U33" s="13">
        <v>376</v>
      </c>
      <c r="V33" s="13">
        <v>270</v>
      </c>
      <c r="W33" s="13">
        <v>748</v>
      </c>
      <c r="X33" s="13">
        <v>840</v>
      </c>
      <c r="Y33" s="17">
        <v>793.327</v>
      </c>
      <c r="Z33" s="16">
        <v>13.635999999999999</v>
      </c>
      <c r="AA33" s="18">
        <v>5.7389999999999997E-2</v>
      </c>
      <c r="AB33" s="18">
        <v>3.7560000000000003E-2</v>
      </c>
      <c r="AC33" s="18">
        <v>3.5220000000000001E-2</v>
      </c>
      <c r="AD33" s="16">
        <v>56.910217286353245</v>
      </c>
    </row>
    <row r="34" spans="2:30" x14ac:dyDescent="0.25">
      <c r="B34" s="13" t="s">
        <v>42</v>
      </c>
      <c r="C34" s="14">
        <v>42429</v>
      </c>
      <c r="D34" s="22">
        <v>0.31385416666666666</v>
      </c>
      <c r="E34" s="13" t="s">
        <v>43</v>
      </c>
      <c r="F34" s="13">
        <v>109.8</v>
      </c>
      <c r="G34" s="13">
        <v>134.19999999999999</v>
      </c>
      <c r="H34" s="13" t="s">
        <v>44</v>
      </c>
      <c r="I34" s="13">
        <v>4000001</v>
      </c>
      <c r="J34" s="17">
        <v>212</v>
      </c>
      <c r="K34" s="13">
        <v>6.4290000000000003</v>
      </c>
      <c r="L34" s="13">
        <v>501</v>
      </c>
      <c r="M34" s="13">
        <v>360</v>
      </c>
      <c r="N34" s="13">
        <v>722</v>
      </c>
      <c r="O34" s="13">
        <v>840</v>
      </c>
      <c r="P34" s="17">
        <v>784.55700000000002</v>
      </c>
      <c r="Q34" s="16">
        <v>17.042999999999999</v>
      </c>
      <c r="R34" s="18">
        <v>7.553E-2</v>
      </c>
      <c r="S34" s="18">
        <v>4.1869999999999997E-2</v>
      </c>
      <c r="T34" s="18">
        <v>3.8449999999999998E-2</v>
      </c>
      <c r="U34" s="13">
        <v>376</v>
      </c>
      <c r="V34" s="13">
        <v>270</v>
      </c>
      <c r="W34" s="13">
        <v>748</v>
      </c>
      <c r="X34" s="13">
        <v>834</v>
      </c>
      <c r="Y34" s="17">
        <v>791.51300000000003</v>
      </c>
      <c r="Z34" s="16">
        <v>15.118</v>
      </c>
      <c r="AA34" s="18">
        <v>5.4399999999999997E-2</v>
      </c>
      <c r="AB34" s="18">
        <v>4.1869999999999997E-2</v>
      </c>
      <c r="AC34" s="18">
        <v>3.8449999999999998E-2</v>
      </c>
      <c r="AD34" s="16">
        <v>55.994850416400801</v>
      </c>
    </row>
    <row r="35" spans="2:30" x14ac:dyDescent="0.25">
      <c r="B35" s="13" t="s">
        <v>42</v>
      </c>
      <c r="C35" s="14">
        <v>42431</v>
      </c>
      <c r="D35" s="22">
        <v>0.3079513888888889</v>
      </c>
      <c r="E35" s="13" t="s">
        <v>43</v>
      </c>
      <c r="F35" s="13">
        <v>109.8</v>
      </c>
      <c r="G35" s="13">
        <v>134.19999999999999</v>
      </c>
      <c r="H35" s="13" t="s">
        <v>44</v>
      </c>
      <c r="I35" s="13">
        <v>4000001</v>
      </c>
      <c r="J35" s="17">
        <v>210</v>
      </c>
      <c r="K35" s="13">
        <v>6.4290000000000003</v>
      </c>
      <c r="L35" s="13">
        <v>501</v>
      </c>
      <c r="M35" s="13">
        <v>360</v>
      </c>
      <c r="N35" s="13">
        <v>718</v>
      </c>
      <c r="O35" s="13">
        <v>840</v>
      </c>
      <c r="P35" s="17">
        <v>784.625</v>
      </c>
      <c r="Q35" s="16">
        <v>17.395</v>
      </c>
      <c r="R35" s="18">
        <v>7.8460000000000002E-2</v>
      </c>
      <c r="S35" s="18">
        <v>4.2880000000000001E-2</v>
      </c>
      <c r="T35" s="18">
        <v>4.308E-2</v>
      </c>
      <c r="U35" s="13">
        <v>376</v>
      </c>
      <c r="V35" s="13">
        <v>270</v>
      </c>
      <c r="W35" s="13">
        <v>731</v>
      </c>
      <c r="X35" s="13">
        <v>840</v>
      </c>
      <c r="Y35" s="17">
        <v>792.63099999999997</v>
      </c>
      <c r="Z35" s="16">
        <v>14.756</v>
      </c>
      <c r="AA35" s="18">
        <v>6.9409999999999999E-2</v>
      </c>
      <c r="AB35" s="18">
        <v>3.5279999999999999E-2</v>
      </c>
      <c r="AC35" s="18">
        <v>3.7609999999999998E-2</v>
      </c>
      <c r="AD35" s="16">
        <v>56.817252484722871</v>
      </c>
    </row>
    <row r="36" spans="2:30" x14ac:dyDescent="0.25">
      <c r="B36" s="13" t="s">
        <v>42</v>
      </c>
      <c r="C36" s="14">
        <v>42432</v>
      </c>
      <c r="D36" s="22">
        <v>0.31858796296296293</v>
      </c>
      <c r="E36" s="13" t="s">
        <v>43</v>
      </c>
      <c r="F36" s="13">
        <v>109.8</v>
      </c>
      <c r="G36" s="13">
        <v>134.19999999999999</v>
      </c>
      <c r="H36" s="13" t="s">
        <v>44</v>
      </c>
      <c r="I36" s="13">
        <v>4000001</v>
      </c>
      <c r="J36" s="17">
        <v>210</v>
      </c>
      <c r="K36" s="13">
        <v>6.4290000000000003</v>
      </c>
      <c r="L36" s="13">
        <v>501</v>
      </c>
      <c r="M36" s="13">
        <v>360</v>
      </c>
      <c r="N36" s="13">
        <v>710</v>
      </c>
      <c r="O36" s="13">
        <v>835</v>
      </c>
      <c r="P36" s="17">
        <v>784.64200000000005</v>
      </c>
      <c r="Q36" s="16">
        <v>16.710999999999999</v>
      </c>
      <c r="R36" s="18">
        <v>8.0869999999999997E-2</v>
      </c>
      <c r="S36" s="18">
        <v>4.3790000000000003E-2</v>
      </c>
      <c r="T36" s="18">
        <v>4.0840000000000001E-2</v>
      </c>
      <c r="U36" s="13">
        <v>376</v>
      </c>
      <c r="V36" s="13">
        <v>270</v>
      </c>
      <c r="W36" s="13">
        <v>744</v>
      </c>
      <c r="X36" s="13">
        <v>835</v>
      </c>
      <c r="Y36" s="17">
        <v>792.18299999999999</v>
      </c>
      <c r="Z36" s="16">
        <v>13.331</v>
      </c>
      <c r="AA36" s="18">
        <v>5.7299999999999997E-2</v>
      </c>
      <c r="AB36" s="18">
        <v>4.3339999999999997E-2</v>
      </c>
      <c r="AC36" s="18">
        <v>4.0840000000000001E-2</v>
      </c>
      <c r="AD36" s="16">
        <v>56.962365420976461</v>
      </c>
    </row>
    <row r="37" spans="2:30" x14ac:dyDescent="0.25">
      <c r="B37" s="13" t="s">
        <v>42</v>
      </c>
      <c r="C37" s="14">
        <v>42436</v>
      </c>
      <c r="D37" s="22">
        <v>0.31083333333333335</v>
      </c>
      <c r="E37" s="13" t="s">
        <v>43</v>
      </c>
      <c r="F37" s="13">
        <v>109.8</v>
      </c>
      <c r="G37" s="13">
        <v>134.19999999999999</v>
      </c>
      <c r="H37" s="13" t="s">
        <v>44</v>
      </c>
      <c r="I37" s="13">
        <v>4000001</v>
      </c>
      <c r="J37" s="17">
        <v>215</v>
      </c>
      <c r="K37" s="13">
        <v>6.4290000000000003</v>
      </c>
      <c r="L37" s="13">
        <v>501</v>
      </c>
      <c r="M37" s="13">
        <v>360</v>
      </c>
      <c r="N37" s="13">
        <v>710</v>
      </c>
      <c r="O37" s="13">
        <v>844</v>
      </c>
      <c r="P37" s="17">
        <v>786.46400000000006</v>
      </c>
      <c r="Q37" s="16">
        <v>17.716000000000001</v>
      </c>
      <c r="R37" s="18">
        <v>8.6569999999999994E-2</v>
      </c>
      <c r="S37" s="18">
        <v>5.9049999999999998E-2</v>
      </c>
      <c r="T37" s="18">
        <v>4.5319999999999999E-2</v>
      </c>
      <c r="U37" s="13">
        <v>376</v>
      </c>
      <c r="V37" s="13">
        <v>270</v>
      </c>
      <c r="W37" s="13">
        <v>748</v>
      </c>
      <c r="X37" s="13">
        <v>844</v>
      </c>
      <c r="Y37" s="17">
        <v>793.83500000000004</v>
      </c>
      <c r="Z37" s="16">
        <v>14.99</v>
      </c>
      <c r="AA37" s="18">
        <v>6.0389999999999999E-2</v>
      </c>
      <c r="AB37" s="18">
        <v>3.5779999999999999E-2</v>
      </c>
      <c r="AC37" s="18">
        <v>4.1680000000000002E-2</v>
      </c>
      <c r="AD37" s="16">
        <v>56.208241408912457</v>
      </c>
    </row>
    <row r="38" spans="2:30" x14ac:dyDescent="0.25">
      <c r="B38" s="13" t="s">
        <v>42</v>
      </c>
      <c r="C38" s="14">
        <v>42437</v>
      </c>
      <c r="D38" s="22">
        <v>0.30150462962962959</v>
      </c>
      <c r="E38" s="13" t="s">
        <v>43</v>
      </c>
      <c r="F38" s="13">
        <v>109.8</v>
      </c>
      <c r="G38" s="13">
        <v>134.19999999999999</v>
      </c>
      <c r="H38" s="13" t="s">
        <v>44</v>
      </c>
      <c r="I38" s="13">
        <v>4000001</v>
      </c>
      <c r="J38" s="17">
        <v>212</v>
      </c>
      <c r="K38" s="13">
        <v>6.4290000000000003</v>
      </c>
      <c r="L38" s="13">
        <v>501</v>
      </c>
      <c r="M38" s="13">
        <v>360</v>
      </c>
      <c r="N38" s="13">
        <v>716</v>
      </c>
      <c r="O38" s="13">
        <v>842</v>
      </c>
      <c r="P38" s="17">
        <v>784.88499999999999</v>
      </c>
      <c r="Q38" s="16">
        <v>16.096</v>
      </c>
      <c r="R38" s="18">
        <v>8.0519999999999994E-2</v>
      </c>
      <c r="S38" s="18">
        <v>4.0469999999999999E-2</v>
      </c>
      <c r="T38" s="18">
        <v>4.9360000000000001E-2</v>
      </c>
      <c r="U38" s="13">
        <v>376</v>
      </c>
      <c r="V38" s="13">
        <v>270</v>
      </c>
      <c r="W38" s="13">
        <v>748</v>
      </c>
      <c r="X38" s="13">
        <v>842</v>
      </c>
      <c r="Y38" s="17">
        <v>791.98099999999999</v>
      </c>
      <c r="Z38" s="16">
        <v>13.569000000000001</v>
      </c>
      <c r="AA38" s="18">
        <v>5.8549999999999998E-2</v>
      </c>
      <c r="AB38" s="18">
        <v>3.7620000000000001E-2</v>
      </c>
      <c r="AC38" s="18">
        <v>3.8309999999999997E-2</v>
      </c>
      <c r="AD38" s="16">
        <v>57.149230029634126</v>
      </c>
    </row>
    <row r="39" spans="2:30" x14ac:dyDescent="0.25">
      <c r="B39" s="13" t="s">
        <v>42</v>
      </c>
      <c r="C39" s="14">
        <v>42438</v>
      </c>
      <c r="D39" s="22">
        <v>0.30990740740740741</v>
      </c>
      <c r="E39" s="13" t="s">
        <v>43</v>
      </c>
      <c r="F39" s="13">
        <v>109.8</v>
      </c>
      <c r="G39" s="13">
        <v>134.19999999999999</v>
      </c>
      <c r="H39" s="13" t="s">
        <v>44</v>
      </c>
      <c r="I39" s="13">
        <v>4000001</v>
      </c>
      <c r="J39" s="17">
        <v>213</v>
      </c>
      <c r="K39" s="13">
        <v>6.4290000000000003</v>
      </c>
      <c r="L39" s="13">
        <v>501</v>
      </c>
      <c r="M39" s="13">
        <v>360</v>
      </c>
      <c r="N39" s="13">
        <v>706</v>
      </c>
      <c r="O39" s="13">
        <v>837</v>
      </c>
      <c r="P39" s="17">
        <v>785.06299999999999</v>
      </c>
      <c r="Q39" s="16">
        <v>17.183</v>
      </c>
      <c r="R39" s="18">
        <v>8.5059999999999997E-2</v>
      </c>
      <c r="S39" s="18">
        <v>6.1679999999999999E-2</v>
      </c>
      <c r="T39" s="18">
        <v>4.8719999999999999E-2</v>
      </c>
      <c r="U39" s="13">
        <v>376</v>
      </c>
      <c r="V39" s="13">
        <v>270</v>
      </c>
      <c r="W39" s="13">
        <v>740</v>
      </c>
      <c r="X39" s="13">
        <v>837</v>
      </c>
      <c r="Y39" s="17">
        <v>792.24300000000005</v>
      </c>
      <c r="Z39" s="16">
        <v>14.477</v>
      </c>
      <c r="AA39" s="18">
        <v>6.1210000000000001E-2</v>
      </c>
      <c r="AB39" s="18">
        <v>3.456E-2</v>
      </c>
      <c r="AC39" s="18">
        <v>4.0230000000000002E-2</v>
      </c>
      <c r="AD39" s="16">
        <v>57.026199339994228</v>
      </c>
    </row>
    <row r="40" spans="2:30" x14ac:dyDescent="0.25">
      <c r="B40" s="13" t="s">
        <v>42</v>
      </c>
      <c r="C40" s="14">
        <v>42439</v>
      </c>
      <c r="D40" s="22">
        <v>0.3066666666666667</v>
      </c>
      <c r="E40" s="13" t="s">
        <v>43</v>
      </c>
      <c r="F40" s="13">
        <v>109.8</v>
      </c>
      <c r="G40" s="13">
        <v>134.19999999999999</v>
      </c>
      <c r="H40" s="13" t="s">
        <v>44</v>
      </c>
      <c r="I40" s="13">
        <v>4000001</v>
      </c>
      <c r="J40" s="17">
        <v>213</v>
      </c>
      <c r="K40" s="13">
        <v>6.4290000000000003</v>
      </c>
      <c r="L40" s="13">
        <v>501</v>
      </c>
      <c r="M40" s="13">
        <v>360</v>
      </c>
      <c r="N40" s="13">
        <v>693</v>
      </c>
      <c r="O40" s="13">
        <v>847</v>
      </c>
      <c r="P40" s="17">
        <v>784.71100000000001</v>
      </c>
      <c r="Q40" s="16">
        <v>16.361999999999998</v>
      </c>
      <c r="R40" s="18">
        <v>9.9690000000000001E-2</v>
      </c>
      <c r="S40" s="18">
        <v>3.9800000000000002E-2</v>
      </c>
      <c r="T40" s="18">
        <v>4.6559999999999997E-2</v>
      </c>
      <c r="U40" s="13">
        <v>376</v>
      </c>
      <c r="V40" s="13">
        <v>270</v>
      </c>
      <c r="W40" s="13">
        <v>739</v>
      </c>
      <c r="X40" s="13">
        <v>847</v>
      </c>
      <c r="Y40" s="17">
        <v>791.88800000000003</v>
      </c>
      <c r="Z40" s="16">
        <v>13.722</v>
      </c>
      <c r="AA40" s="18">
        <v>6.7879999999999996E-2</v>
      </c>
      <c r="AB40" s="18">
        <v>3.8940000000000002E-2</v>
      </c>
      <c r="AC40" s="18">
        <v>3.8170000000000003E-2</v>
      </c>
      <c r="AD40" s="16">
        <v>57.171845932670166</v>
      </c>
    </row>
    <row r="41" spans="2:30" x14ac:dyDescent="0.25">
      <c r="B41" s="13" t="s">
        <v>42</v>
      </c>
      <c r="C41" s="14">
        <v>42440</v>
      </c>
      <c r="D41" s="22">
        <v>0.32090277777777776</v>
      </c>
      <c r="E41" s="13" t="s">
        <v>43</v>
      </c>
      <c r="F41" s="13">
        <v>109.8</v>
      </c>
      <c r="G41" s="13">
        <v>134.19999999999999</v>
      </c>
      <c r="H41" s="13" t="s">
        <v>44</v>
      </c>
      <c r="I41" s="13">
        <v>4000001</v>
      </c>
      <c r="J41" s="17">
        <v>214</v>
      </c>
      <c r="K41" s="13">
        <v>6.4290000000000003</v>
      </c>
      <c r="L41" s="13">
        <v>501</v>
      </c>
      <c r="M41" s="13">
        <v>360</v>
      </c>
      <c r="N41" s="13">
        <v>698</v>
      </c>
      <c r="O41" s="13">
        <v>832</v>
      </c>
      <c r="P41" s="17">
        <v>784.37800000000004</v>
      </c>
      <c r="Q41" s="16">
        <v>16.170999999999999</v>
      </c>
      <c r="R41" s="18">
        <v>8.7910000000000002E-2</v>
      </c>
      <c r="S41" s="18">
        <v>4.2790000000000002E-2</v>
      </c>
      <c r="T41" s="18">
        <v>4.7070000000000001E-2</v>
      </c>
      <c r="U41" s="13">
        <v>376</v>
      </c>
      <c r="V41" s="13">
        <v>270</v>
      </c>
      <c r="W41" s="13">
        <v>747</v>
      </c>
      <c r="X41" s="13">
        <v>832</v>
      </c>
      <c r="Y41" s="17">
        <v>791.09699999999998</v>
      </c>
      <c r="Z41" s="16">
        <v>14.106</v>
      </c>
      <c r="AA41" s="18">
        <v>5.4289999999999998E-2</v>
      </c>
      <c r="AB41" s="18">
        <v>3.288E-2</v>
      </c>
      <c r="AC41" s="18">
        <v>3.5970000000000002E-2</v>
      </c>
      <c r="AD41" s="16">
        <v>57.05002402266414</v>
      </c>
    </row>
    <row r="42" spans="2:30" x14ac:dyDescent="0.25">
      <c r="B42" s="13" t="s">
        <v>42</v>
      </c>
      <c r="C42" s="14">
        <v>42443</v>
      </c>
      <c r="D42" s="22">
        <v>0.31013888888888891</v>
      </c>
      <c r="E42" s="13" t="s">
        <v>43</v>
      </c>
      <c r="F42" s="13">
        <v>109.8</v>
      </c>
      <c r="G42" s="13">
        <v>134.19999999999999</v>
      </c>
      <c r="H42" s="13" t="s">
        <v>44</v>
      </c>
      <c r="I42" s="13">
        <v>4000001</v>
      </c>
      <c r="J42" s="17">
        <v>218</v>
      </c>
      <c r="K42" s="13">
        <v>6.4290000000000003</v>
      </c>
      <c r="L42" s="13">
        <v>501</v>
      </c>
      <c r="M42" s="13">
        <v>360</v>
      </c>
      <c r="N42" s="13">
        <v>713</v>
      </c>
      <c r="O42" s="13">
        <v>840</v>
      </c>
      <c r="P42" s="17">
        <v>784.38199999999995</v>
      </c>
      <c r="Q42" s="16">
        <v>17.577999999999999</v>
      </c>
      <c r="R42" s="18">
        <v>8.1670000000000006E-2</v>
      </c>
      <c r="S42" s="18">
        <v>4.614E-2</v>
      </c>
      <c r="T42" s="18">
        <v>3.8690000000000002E-2</v>
      </c>
      <c r="U42" s="13">
        <v>376</v>
      </c>
      <c r="V42" s="13">
        <v>270</v>
      </c>
      <c r="W42" s="13">
        <v>746</v>
      </c>
      <c r="X42" s="13">
        <v>840</v>
      </c>
      <c r="Y42" s="17">
        <v>792.24900000000002</v>
      </c>
      <c r="Z42" s="16">
        <v>14.404</v>
      </c>
      <c r="AA42" s="18">
        <v>5.9400000000000001E-2</v>
      </c>
      <c r="AB42" s="18">
        <v>3.918E-2</v>
      </c>
      <c r="AC42" s="18">
        <v>3.8690000000000002E-2</v>
      </c>
      <c r="AD42" s="16">
        <v>56.433433194271281</v>
      </c>
    </row>
    <row r="43" spans="2:30" x14ac:dyDescent="0.25">
      <c r="B43" s="13" t="s">
        <v>42</v>
      </c>
      <c r="C43" s="14">
        <v>42444</v>
      </c>
      <c r="D43" s="22">
        <v>0.29962962962962963</v>
      </c>
      <c r="E43" s="13" t="s">
        <v>43</v>
      </c>
      <c r="F43" s="13">
        <v>109.8</v>
      </c>
      <c r="G43" s="13">
        <v>134.19999999999999</v>
      </c>
      <c r="H43" s="13" t="s">
        <v>44</v>
      </c>
      <c r="I43" s="13">
        <v>4000001</v>
      </c>
      <c r="J43" s="17">
        <v>216</v>
      </c>
      <c r="K43" s="13">
        <v>6.4290000000000003</v>
      </c>
      <c r="L43" s="13">
        <v>501</v>
      </c>
      <c r="M43" s="13">
        <v>360</v>
      </c>
      <c r="N43" s="13">
        <v>715</v>
      </c>
      <c r="O43" s="13">
        <v>842</v>
      </c>
      <c r="P43" s="17">
        <v>784.54499999999996</v>
      </c>
      <c r="Q43" s="16">
        <v>16.581</v>
      </c>
      <c r="R43" s="18">
        <v>8.1540000000000001E-2</v>
      </c>
      <c r="S43" s="18">
        <v>4.3909999999999998E-2</v>
      </c>
      <c r="T43" s="18">
        <v>4.5780000000000001E-2</v>
      </c>
      <c r="U43" s="13">
        <v>376</v>
      </c>
      <c r="V43" s="13">
        <v>270</v>
      </c>
      <c r="W43" s="13">
        <v>748</v>
      </c>
      <c r="X43" s="13">
        <v>842</v>
      </c>
      <c r="Y43" s="17">
        <v>791.67100000000005</v>
      </c>
      <c r="Z43" s="16">
        <v>13.478</v>
      </c>
      <c r="AA43" s="18">
        <v>5.919E-2</v>
      </c>
      <c r="AB43" s="18">
        <v>3.5729999999999998E-2</v>
      </c>
      <c r="AC43" s="18">
        <v>3.841E-2</v>
      </c>
      <c r="AD43" s="16">
        <v>57.101432195167</v>
      </c>
    </row>
    <row r="44" spans="2:30" x14ac:dyDescent="0.25">
      <c r="B44" s="13" t="s">
        <v>42</v>
      </c>
      <c r="C44" s="14">
        <v>42445</v>
      </c>
      <c r="D44" s="22">
        <v>0.3102199074074074</v>
      </c>
      <c r="E44" s="13" t="s">
        <v>43</v>
      </c>
      <c r="F44" s="13">
        <v>109.8</v>
      </c>
      <c r="G44" s="13">
        <v>134.19999999999999</v>
      </c>
      <c r="H44" s="13" t="s">
        <v>44</v>
      </c>
      <c r="I44" s="13">
        <v>4000001</v>
      </c>
      <c r="J44" s="17">
        <v>217</v>
      </c>
      <c r="K44" s="13">
        <v>6.4290000000000003</v>
      </c>
      <c r="L44" s="13">
        <v>501</v>
      </c>
      <c r="M44" s="13">
        <v>354</v>
      </c>
      <c r="N44" s="13">
        <v>729</v>
      </c>
      <c r="O44" s="13">
        <v>837</v>
      </c>
      <c r="P44" s="17">
        <v>790.27300000000002</v>
      </c>
      <c r="Q44" s="16">
        <v>17.238</v>
      </c>
      <c r="R44" s="18">
        <v>6.88E-2</v>
      </c>
      <c r="S44" s="18">
        <v>4.9050000000000003E-2</v>
      </c>
      <c r="T44" s="18">
        <v>4.3220000000000001E-2</v>
      </c>
      <c r="U44" s="13">
        <v>376</v>
      </c>
      <c r="V44" s="13">
        <v>265</v>
      </c>
      <c r="W44" s="13">
        <v>738</v>
      </c>
      <c r="X44" s="13">
        <v>837</v>
      </c>
      <c r="Y44" s="17">
        <v>797.625</v>
      </c>
      <c r="Z44" s="16">
        <v>14.073</v>
      </c>
      <c r="AA44" s="18">
        <v>6.2710000000000002E-2</v>
      </c>
      <c r="AB44" s="18">
        <v>4.5170000000000002E-2</v>
      </c>
      <c r="AC44" s="18">
        <v>4.3220000000000001E-2</v>
      </c>
      <c r="AD44" s="16">
        <v>56.983458626315681</v>
      </c>
    </row>
    <row r="45" spans="2:30" x14ac:dyDescent="0.25">
      <c r="B45" s="13" t="s">
        <v>42</v>
      </c>
      <c r="C45" s="14">
        <v>42446</v>
      </c>
      <c r="D45" s="22">
        <v>0.30108796296296297</v>
      </c>
      <c r="E45" s="13" t="s">
        <v>43</v>
      </c>
      <c r="F45" s="13">
        <v>109.8</v>
      </c>
      <c r="G45" s="13">
        <v>134.19999999999999</v>
      </c>
      <c r="H45" s="13" t="s">
        <v>44</v>
      </c>
      <c r="I45" s="13">
        <v>4000001</v>
      </c>
      <c r="J45" s="17">
        <v>216</v>
      </c>
      <c r="K45" s="13">
        <v>6.4290000000000003</v>
      </c>
      <c r="L45" s="13">
        <v>501</v>
      </c>
      <c r="M45" s="13">
        <v>360</v>
      </c>
      <c r="N45" s="13">
        <v>720</v>
      </c>
      <c r="O45" s="13">
        <v>841</v>
      </c>
      <c r="P45" s="17">
        <v>784.83199999999999</v>
      </c>
      <c r="Q45" s="16">
        <v>15.978999999999999</v>
      </c>
      <c r="R45" s="18">
        <v>7.7490000000000003E-2</v>
      </c>
      <c r="S45" s="18">
        <v>5.1790000000000003E-2</v>
      </c>
      <c r="T45" s="18">
        <v>4.5490000000000003E-2</v>
      </c>
      <c r="U45" s="13">
        <v>376</v>
      </c>
      <c r="V45" s="13">
        <v>270</v>
      </c>
      <c r="W45" s="13">
        <v>749</v>
      </c>
      <c r="X45" s="13">
        <v>841</v>
      </c>
      <c r="Y45" s="17">
        <v>791.53200000000004</v>
      </c>
      <c r="Z45" s="16">
        <v>13.596</v>
      </c>
      <c r="AA45" s="18">
        <v>5.7430000000000002E-2</v>
      </c>
      <c r="AB45" s="18">
        <v>3.6650000000000002E-2</v>
      </c>
      <c r="AC45" s="18">
        <v>3.9239999999999997E-2</v>
      </c>
      <c r="AD45" s="16">
        <v>57.393482150810947</v>
      </c>
    </row>
    <row r="46" spans="2:30" x14ac:dyDescent="0.25">
      <c r="B46" s="13" t="s">
        <v>42</v>
      </c>
      <c r="C46" s="14">
        <v>42447</v>
      </c>
      <c r="D46" s="22">
        <v>0.33592592592592596</v>
      </c>
      <c r="E46" s="13" t="s">
        <v>43</v>
      </c>
      <c r="F46" s="13">
        <v>109.8</v>
      </c>
      <c r="G46" s="13">
        <v>134.19999999999999</v>
      </c>
      <c r="H46" s="13" t="s">
        <v>44</v>
      </c>
      <c r="I46" s="13">
        <v>4000002</v>
      </c>
      <c r="J46" s="17">
        <v>217</v>
      </c>
      <c r="K46" s="13">
        <v>6.4290000000000003</v>
      </c>
      <c r="L46" s="13">
        <v>501</v>
      </c>
      <c r="M46" s="13">
        <v>360</v>
      </c>
      <c r="N46" s="13">
        <v>718</v>
      </c>
      <c r="O46" s="13">
        <v>833</v>
      </c>
      <c r="P46" s="17">
        <v>784.98299999999995</v>
      </c>
      <c r="Q46" s="16">
        <v>16.798999999999999</v>
      </c>
      <c r="R46" s="18">
        <v>7.4340000000000003E-2</v>
      </c>
      <c r="S46" s="18">
        <v>4.0960000000000003E-2</v>
      </c>
      <c r="T46" s="18">
        <v>4.7399999999999998E-2</v>
      </c>
      <c r="U46" s="13">
        <v>376</v>
      </c>
      <c r="V46" s="13">
        <v>270</v>
      </c>
      <c r="W46" s="13">
        <v>734</v>
      </c>
      <c r="X46" s="13">
        <v>833</v>
      </c>
      <c r="Y46" s="17">
        <v>792.096</v>
      </c>
      <c r="Z46" s="16">
        <v>14.172000000000001</v>
      </c>
      <c r="AA46" s="18">
        <v>6.3130000000000006E-2</v>
      </c>
      <c r="AB46" s="18">
        <v>3.8769999999999999E-2</v>
      </c>
      <c r="AC46" s="18">
        <v>4.6120000000000001E-2</v>
      </c>
      <c r="AD46" s="16">
        <v>57.274919515194007</v>
      </c>
    </row>
    <row r="47" spans="2:30" x14ac:dyDescent="0.25">
      <c r="B47" s="13" t="s">
        <v>42</v>
      </c>
      <c r="C47" s="14">
        <v>42450</v>
      </c>
      <c r="D47" s="22">
        <v>0.30957175925925923</v>
      </c>
      <c r="E47" s="13" t="s">
        <v>43</v>
      </c>
      <c r="F47" s="13">
        <v>109.8</v>
      </c>
      <c r="G47" s="13">
        <v>134.19999999999999</v>
      </c>
      <c r="H47" s="13" t="s">
        <v>44</v>
      </c>
      <c r="I47" s="13">
        <v>4000001</v>
      </c>
      <c r="J47" s="17">
        <v>222</v>
      </c>
      <c r="K47" s="13">
        <v>6.4290000000000003</v>
      </c>
      <c r="L47" s="13">
        <v>501</v>
      </c>
      <c r="M47" s="13">
        <v>360</v>
      </c>
      <c r="N47" s="13">
        <v>711</v>
      </c>
      <c r="O47" s="13">
        <v>836</v>
      </c>
      <c r="P47" s="17">
        <v>784.70799999999997</v>
      </c>
      <c r="Q47" s="16">
        <v>17.623000000000001</v>
      </c>
      <c r="R47" s="18">
        <v>8.133E-2</v>
      </c>
      <c r="S47" s="18">
        <v>3.8429999999999999E-2</v>
      </c>
      <c r="T47" s="18">
        <v>4.394E-2</v>
      </c>
      <c r="U47" s="13">
        <v>376</v>
      </c>
      <c r="V47" s="13">
        <v>270</v>
      </c>
      <c r="W47" s="13">
        <v>737</v>
      </c>
      <c r="X47" s="13">
        <v>836</v>
      </c>
      <c r="Y47" s="17">
        <v>792.49400000000003</v>
      </c>
      <c r="Z47" s="16">
        <v>14.618</v>
      </c>
      <c r="AA47" s="18">
        <v>6.2799999999999995E-2</v>
      </c>
      <c r="AB47" s="18">
        <v>3.3820000000000003E-2</v>
      </c>
      <c r="AC47" s="18">
        <v>3.9050000000000001E-2</v>
      </c>
      <c r="AD47" s="16">
        <v>56.414987846398994</v>
      </c>
    </row>
    <row r="48" spans="2:30" x14ac:dyDescent="0.25">
      <c r="B48" s="13" t="s">
        <v>42</v>
      </c>
      <c r="C48" s="14">
        <v>42451</v>
      </c>
      <c r="D48" s="22">
        <v>0.32269675925925928</v>
      </c>
      <c r="E48" s="13" t="s">
        <v>43</v>
      </c>
      <c r="F48" s="13">
        <v>109.8</v>
      </c>
      <c r="G48" s="13">
        <v>134.19999999999999</v>
      </c>
      <c r="H48" s="13" t="s">
        <v>44</v>
      </c>
      <c r="I48" s="13">
        <v>4000001</v>
      </c>
      <c r="J48" s="17">
        <v>219</v>
      </c>
      <c r="K48" s="13">
        <v>6.4290000000000003</v>
      </c>
      <c r="L48" s="13">
        <v>501</v>
      </c>
      <c r="M48" s="13">
        <v>360</v>
      </c>
      <c r="N48" s="13">
        <v>718</v>
      </c>
      <c r="O48" s="13">
        <v>835</v>
      </c>
      <c r="P48" s="17">
        <v>785.24400000000003</v>
      </c>
      <c r="Q48" s="16">
        <v>16.548999999999999</v>
      </c>
      <c r="R48" s="18">
        <v>7.5429999999999997E-2</v>
      </c>
      <c r="S48" s="18">
        <v>4.8750000000000002E-2</v>
      </c>
      <c r="T48" s="18">
        <v>4.308E-2</v>
      </c>
      <c r="U48" s="13">
        <v>376</v>
      </c>
      <c r="V48" s="13">
        <v>270</v>
      </c>
      <c r="W48" s="13">
        <v>747</v>
      </c>
      <c r="X48" s="13">
        <v>834</v>
      </c>
      <c r="Y48" s="17">
        <v>791.57600000000002</v>
      </c>
      <c r="Z48" s="16">
        <v>14.746</v>
      </c>
      <c r="AA48" s="18">
        <v>5.5070000000000001E-2</v>
      </c>
      <c r="AB48" s="18">
        <v>3.5619999999999999E-2</v>
      </c>
      <c r="AC48" s="18">
        <v>3.5040000000000002E-2</v>
      </c>
      <c r="AD48" s="16">
        <v>57.333855214136676</v>
      </c>
    </row>
    <row r="49" spans="2:30" x14ac:dyDescent="0.25">
      <c r="B49" s="13" t="s">
        <v>42</v>
      </c>
      <c r="C49" s="14">
        <v>42452</v>
      </c>
      <c r="D49" s="22">
        <v>0.29728009259259258</v>
      </c>
      <c r="E49" s="13" t="s">
        <v>43</v>
      </c>
      <c r="F49" s="13">
        <v>109.8</v>
      </c>
      <c r="G49" s="13">
        <v>134.19999999999999</v>
      </c>
      <c r="H49" s="13" t="s">
        <v>44</v>
      </c>
      <c r="I49" s="13">
        <v>4000001</v>
      </c>
      <c r="J49" s="17">
        <v>220</v>
      </c>
      <c r="K49" s="13">
        <v>6.4290000000000003</v>
      </c>
      <c r="L49" s="13">
        <v>501</v>
      </c>
      <c r="M49" s="13">
        <v>360</v>
      </c>
      <c r="N49" s="13">
        <v>708</v>
      </c>
      <c r="O49" s="13">
        <v>849</v>
      </c>
      <c r="P49" s="17">
        <v>786.45299999999997</v>
      </c>
      <c r="Q49" s="16">
        <v>17.452999999999999</v>
      </c>
      <c r="R49" s="18">
        <v>9.0609999999999996E-2</v>
      </c>
      <c r="S49" s="18">
        <v>4.6059999999999997E-2</v>
      </c>
      <c r="T49" s="18">
        <v>4.7629999999999999E-2</v>
      </c>
      <c r="U49" s="13">
        <v>376</v>
      </c>
      <c r="V49" s="13">
        <v>270</v>
      </c>
      <c r="W49" s="13">
        <v>744</v>
      </c>
      <c r="X49" s="13">
        <v>849</v>
      </c>
      <c r="Y49" s="17">
        <v>793.47400000000005</v>
      </c>
      <c r="Z49" s="16">
        <v>14.826000000000001</v>
      </c>
      <c r="AA49" s="18">
        <v>6.5729999999999997E-2</v>
      </c>
      <c r="AB49" s="18">
        <v>4.1829999999999999E-2</v>
      </c>
      <c r="AC49" s="18">
        <v>4.1369999999999997E-2</v>
      </c>
      <c r="AD49" s="16">
        <v>57.219013534571964</v>
      </c>
    </row>
    <row r="50" spans="2:30" x14ac:dyDescent="0.25">
      <c r="B50" s="13" t="s">
        <v>42</v>
      </c>
      <c r="C50" s="14">
        <v>42453</v>
      </c>
      <c r="D50" s="22">
        <v>0.31009259259259259</v>
      </c>
      <c r="E50" s="13" t="s">
        <v>43</v>
      </c>
      <c r="F50" s="13">
        <v>109.8</v>
      </c>
      <c r="G50" s="13">
        <v>134.19999999999999</v>
      </c>
      <c r="H50" s="13" t="s">
        <v>44</v>
      </c>
      <c r="I50" s="13">
        <v>4000001</v>
      </c>
      <c r="J50" s="17">
        <v>221</v>
      </c>
      <c r="K50" s="13">
        <v>6.4290000000000003</v>
      </c>
      <c r="L50" s="13">
        <v>501</v>
      </c>
      <c r="M50" s="13">
        <v>360</v>
      </c>
      <c r="N50" s="13">
        <v>722</v>
      </c>
      <c r="O50" s="13">
        <v>840</v>
      </c>
      <c r="P50" s="17">
        <v>784.67499999999995</v>
      </c>
      <c r="Q50" s="16">
        <v>16.654</v>
      </c>
      <c r="R50" s="18">
        <v>7.5380000000000003E-2</v>
      </c>
      <c r="S50" s="18">
        <v>4.5370000000000001E-2</v>
      </c>
      <c r="T50" s="18">
        <v>4.1959999999999997E-2</v>
      </c>
      <c r="U50" s="13">
        <v>376</v>
      </c>
      <c r="V50" s="13">
        <v>270</v>
      </c>
      <c r="W50" s="13">
        <v>742</v>
      </c>
      <c r="X50" s="13">
        <v>840</v>
      </c>
      <c r="Y50" s="17">
        <v>792.03</v>
      </c>
      <c r="Z50" s="16">
        <v>14.244</v>
      </c>
      <c r="AA50" s="18">
        <v>6.1990000000000003E-2</v>
      </c>
      <c r="AB50" s="18">
        <v>3.9190000000000003E-2</v>
      </c>
      <c r="AC50" s="18">
        <v>3.5310000000000001E-2</v>
      </c>
      <c r="AD50" s="16">
        <v>57.10558175422414</v>
      </c>
    </row>
    <row r="51" spans="2:30" x14ac:dyDescent="0.25">
      <c r="B51" s="13" t="s">
        <v>42</v>
      </c>
      <c r="C51" s="14">
        <v>42458</v>
      </c>
      <c r="D51" s="22">
        <v>0.27247685185185183</v>
      </c>
      <c r="E51" s="13" t="s">
        <v>43</v>
      </c>
      <c r="F51" s="13">
        <v>109.8</v>
      </c>
      <c r="G51" s="13">
        <v>134.19999999999999</v>
      </c>
      <c r="H51" s="13" t="s">
        <v>44</v>
      </c>
      <c r="I51" s="13">
        <v>4000001</v>
      </c>
      <c r="J51" s="17">
        <v>226</v>
      </c>
      <c r="K51" s="13">
        <v>6.4290000000000003</v>
      </c>
      <c r="L51" s="13">
        <v>501</v>
      </c>
      <c r="M51" s="13">
        <v>360</v>
      </c>
      <c r="N51" s="13">
        <v>707</v>
      </c>
      <c r="O51" s="13">
        <v>836</v>
      </c>
      <c r="P51" s="17">
        <v>785.09500000000003</v>
      </c>
      <c r="Q51" s="16">
        <v>18.001999999999999</v>
      </c>
      <c r="R51" s="18">
        <v>8.3269999999999997E-2</v>
      </c>
      <c r="S51" s="18">
        <v>4.5280000000000001E-2</v>
      </c>
      <c r="T51" s="18">
        <v>4.8169999999999998E-2</v>
      </c>
      <c r="U51" s="13">
        <v>376</v>
      </c>
      <c r="V51" s="13">
        <v>270</v>
      </c>
      <c r="W51" s="13">
        <v>737</v>
      </c>
      <c r="X51" s="13">
        <v>836</v>
      </c>
      <c r="Y51" s="17">
        <v>792.08500000000004</v>
      </c>
      <c r="Z51" s="16">
        <v>15.782999999999999</v>
      </c>
      <c r="AA51" s="18">
        <v>6.2649999999999997E-2</v>
      </c>
      <c r="AB51" s="18">
        <v>4.0509999999999997E-2</v>
      </c>
      <c r="AC51" s="18">
        <v>4.5190000000000001E-2</v>
      </c>
      <c r="AD51" s="16">
        <v>56.558948778022305</v>
      </c>
    </row>
    <row r="52" spans="2:30" x14ac:dyDescent="0.25">
      <c r="B52" s="13" t="s">
        <v>42</v>
      </c>
      <c r="C52" s="14">
        <v>42459</v>
      </c>
      <c r="D52" s="22">
        <v>0.31265046296296295</v>
      </c>
      <c r="E52" s="13" t="s">
        <v>43</v>
      </c>
      <c r="F52" s="13">
        <v>109.8</v>
      </c>
      <c r="G52" s="13">
        <v>134.19999999999999</v>
      </c>
      <c r="H52" s="13" t="s">
        <v>44</v>
      </c>
      <c r="I52" s="13">
        <v>4000001</v>
      </c>
      <c r="J52" s="17">
        <v>225</v>
      </c>
      <c r="K52" s="13">
        <v>6.4290000000000003</v>
      </c>
      <c r="L52" s="13">
        <v>501</v>
      </c>
      <c r="M52" s="13">
        <v>354</v>
      </c>
      <c r="N52" s="13">
        <v>729</v>
      </c>
      <c r="O52" s="13">
        <v>838</v>
      </c>
      <c r="P52" s="17">
        <v>788.19399999999996</v>
      </c>
      <c r="Q52" s="16">
        <v>16.783999999999999</v>
      </c>
      <c r="R52" s="18">
        <v>6.9769999999999999E-2</v>
      </c>
      <c r="S52" s="18">
        <v>4.3380000000000002E-2</v>
      </c>
      <c r="T52" s="18">
        <v>4.2509999999999999E-2</v>
      </c>
      <c r="U52" s="13">
        <v>376</v>
      </c>
      <c r="V52" s="13">
        <v>265</v>
      </c>
      <c r="W52" s="13">
        <v>745</v>
      </c>
      <c r="X52" s="13">
        <v>838</v>
      </c>
      <c r="Y52" s="17">
        <v>795.40099999999995</v>
      </c>
      <c r="Z52" s="16">
        <v>14.365</v>
      </c>
      <c r="AA52" s="18">
        <v>5.8650000000000001E-2</v>
      </c>
      <c r="AB52" s="18">
        <v>4.3380000000000002E-2</v>
      </c>
      <c r="AC52" s="18">
        <v>3.8550000000000001E-2</v>
      </c>
      <c r="AD52" s="16">
        <v>56.955417118996841</v>
      </c>
    </row>
    <row r="53" spans="2:30" x14ac:dyDescent="0.25">
      <c r="B53" s="13" t="s">
        <v>42</v>
      </c>
      <c r="C53" s="14">
        <v>42460</v>
      </c>
      <c r="D53" s="22">
        <v>0.31414351851851852</v>
      </c>
      <c r="E53" s="13" t="s">
        <v>43</v>
      </c>
      <c r="F53" s="13">
        <v>109.8</v>
      </c>
      <c r="G53" s="13">
        <v>134.19999999999999</v>
      </c>
      <c r="H53" s="13" t="s">
        <v>44</v>
      </c>
      <c r="I53" s="13">
        <v>4000001</v>
      </c>
      <c r="J53" s="17">
        <v>224</v>
      </c>
      <c r="K53" s="13">
        <v>6.4290000000000003</v>
      </c>
      <c r="L53" s="13">
        <v>501</v>
      </c>
      <c r="M53" s="13">
        <v>360</v>
      </c>
      <c r="N53" s="13">
        <v>698</v>
      </c>
      <c r="O53" s="13">
        <v>840</v>
      </c>
      <c r="P53" s="17">
        <v>784.72699999999998</v>
      </c>
      <c r="Q53" s="16">
        <v>16.870999999999999</v>
      </c>
      <c r="R53" s="18">
        <v>9.2319999999999999E-2</v>
      </c>
      <c r="S53" s="18">
        <v>4.8189999999999997E-2</v>
      </c>
      <c r="T53" s="18">
        <v>4.3380000000000002E-2</v>
      </c>
      <c r="U53" s="13">
        <v>376</v>
      </c>
      <c r="V53" s="13">
        <v>270</v>
      </c>
      <c r="W53" s="13">
        <v>741</v>
      </c>
      <c r="X53" s="13">
        <v>840</v>
      </c>
      <c r="Y53" s="17">
        <v>792.02</v>
      </c>
      <c r="Z53" s="16">
        <v>14.618</v>
      </c>
      <c r="AA53" s="18">
        <v>6.2670000000000003E-2</v>
      </c>
      <c r="AB53" s="18">
        <v>3.9969999999999999E-2</v>
      </c>
      <c r="AC53" s="18">
        <v>3.8379999999999997E-2</v>
      </c>
      <c r="AD53" s="16">
        <v>57.355797587741172</v>
      </c>
    </row>
    <row r="54" spans="2:30" x14ac:dyDescent="0.25">
      <c r="B54" s="13" t="s">
        <v>42</v>
      </c>
      <c r="C54" s="14">
        <v>42461</v>
      </c>
      <c r="D54" s="22">
        <v>0.31224537037037037</v>
      </c>
      <c r="E54" s="13" t="s">
        <v>43</v>
      </c>
      <c r="F54" s="13">
        <v>109.8</v>
      </c>
      <c r="G54" s="13">
        <v>134.19999999999999</v>
      </c>
      <c r="H54" s="13" t="s">
        <v>44</v>
      </c>
      <c r="I54" s="13">
        <v>4000001</v>
      </c>
      <c r="J54" s="17">
        <v>225</v>
      </c>
      <c r="K54" s="13">
        <v>6.4290000000000003</v>
      </c>
      <c r="L54" s="13">
        <v>501</v>
      </c>
      <c r="M54" s="13">
        <v>360</v>
      </c>
      <c r="N54" s="13">
        <v>717</v>
      </c>
      <c r="O54" s="13">
        <v>844</v>
      </c>
      <c r="P54" s="17">
        <v>785.38699999999994</v>
      </c>
      <c r="Q54" s="16">
        <v>17.350000000000001</v>
      </c>
      <c r="R54" s="18">
        <v>8.1739999999999993E-2</v>
      </c>
      <c r="S54" s="18">
        <v>4.2110000000000002E-2</v>
      </c>
      <c r="T54" s="18">
        <v>5.0290000000000001E-2</v>
      </c>
      <c r="U54" s="13">
        <v>376</v>
      </c>
      <c r="V54" s="13">
        <v>270</v>
      </c>
      <c r="W54" s="13">
        <v>749</v>
      </c>
      <c r="X54" s="13">
        <v>844</v>
      </c>
      <c r="Y54" s="17">
        <v>792.76700000000005</v>
      </c>
      <c r="Z54" s="16">
        <v>14.683</v>
      </c>
      <c r="AA54" s="18">
        <v>5.9889999999999999E-2</v>
      </c>
      <c r="AB54" s="18">
        <v>3.8629999999999998E-2</v>
      </c>
      <c r="AC54" s="18">
        <v>5.0290000000000001E-2</v>
      </c>
      <c r="AD54" s="16">
        <v>57.24672026856468</v>
      </c>
    </row>
    <row r="55" spans="2:30" x14ac:dyDescent="0.25">
      <c r="B55" s="13" t="s">
        <v>42</v>
      </c>
      <c r="C55" s="14">
        <v>42464</v>
      </c>
      <c r="D55" s="22">
        <v>0.30973379629629633</v>
      </c>
      <c r="E55" s="13" t="s">
        <v>43</v>
      </c>
      <c r="F55" s="13">
        <v>109.8</v>
      </c>
      <c r="G55" s="13">
        <v>134.19999999999999</v>
      </c>
      <c r="H55" s="13" t="s">
        <v>44</v>
      </c>
      <c r="I55" s="13">
        <v>4000001</v>
      </c>
      <c r="J55" s="17">
        <v>230</v>
      </c>
      <c r="K55" s="13">
        <v>6.4290000000000003</v>
      </c>
      <c r="L55" s="13">
        <v>501</v>
      </c>
      <c r="M55" s="13">
        <v>360</v>
      </c>
      <c r="N55" s="13">
        <v>714</v>
      </c>
      <c r="O55" s="13">
        <v>841</v>
      </c>
      <c r="P55" s="17">
        <v>784.78700000000003</v>
      </c>
      <c r="Q55" s="16">
        <v>17.518000000000001</v>
      </c>
      <c r="R55" s="18">
        <v>8.1570000000000004E-2</v>
      </c>
      <c r="S55" s="18">
        <v>4.6510000000000003E-2</v>
      </c>
      <c r="T55" s="18">
        <v>4.3799999999999999E-2</v>
      </c>
      <c r="U55" s="13">
        <v>376</v>
      </c>
      <c r="V55" s="13">
        <v>270</v>
      </c>
      <c r="W55" s="13">
        <v>745</v>
      </c>
      <c r="X55" s="13">
        <v>841</v>
      </c>
      <c r="Y55" s="17">
        <v>791.83900000000006</v>
      </c>
      <c r="Z55" s="16">
        <v>15.108000000000001</v>
      </c>
      <c r="AA55" s="18">
        <v>6.0670000000000002E-2</v>
      </c>
      <c r="AB55" s="18">
        <v>3.5729999999999998E-2</v>
      </c>
      <c r="AC55" s="18">
        <v>4.3799999999999999E-2</v>
      </c>
      <c r="AD55" s="16">
        <v>56.432417207916721</v>
      </c>
    </row>
    <row r="56" spans="2:30" x14ac:dyDescent="0.25">
      <c r="B56" s="13" t="s">
        <v>42</v>
      </c>
      <c r="C56" s="14">
        <v>42465</v>
      </c>
      <c r="D56" s="22">
        <v>0.30236111111111114</v>
      </c>
      <c r="E56" s="13" t="s">
        <v>43</v>
      </c>
      <c r="F56" s="13">
        <v>109.8</v>
      </c>
      <c r="G56" s="13">
        <v>134.19999999999999</v>
      </c>
      <c r="H56" s="13" t="s">
        <v>44</v>
      </c>
      <c r="I56" s="13">
        <v>4000001</v>
      </c>
      <c r="J56" s="17">
        <v>227</v>
      </c>
      <c r="K56" s="13">
        <v>6.4290000000000003</v>
      </c>
      <c r="L56" s="13">
        <v>501</v>
      </c>
      <c r="M56" s="13">
        <v>360</v>
      </c>
      <c r="N56" s="13">
        <v>728</v>
      </c>
      <c r="O56" s="13">
        <v>848</v>
      </c>
      <c r="P56" s="17">
        <v>784.44100000000003</v>
      </c>
      <c r="Q56" s="16">
        <v>17.106000000000002</v>
      </c>
      <c r="R56" s="18">
        <v>7.6420000000000002E-2</v>
      </c>
      <c r="S56" s="18">
        <v>3.9750000000000001E-2</v>
      </c>
      <c r="T56" s="18">
        <v>4.795E-2</v>
      </c>
      <c r="U56" s="13">
        <v>376</v>
      </c>
      <c r="V56" s="13">
        <v>270</v>
      </c>
      <c r="W56" s="13">
        <v>737</v>
      </c>
      <c r="X56" s="13">
        <v>848</v>
      </c>
      <c r="Y56" s="17">
        <v>791.36599999999999</v>
      </c>
      <c r="Z56" s="16">
        <v>14.943</v>
      </c>
      <c r="AA56" s="18">
        <v>7.0360000000000006E-2</v>
      </c>
      <c r="AB56" s="18">
        <v>3.9750000000000001E-2</v>
      </c>
      <c r="AC56" s="18">
        <v>4.795E-2</v>
      </c>
      <c r="AD56" s="16">
        <v>57.324254936625422</v>
      </c>
    </row>
    <row r="57" spans="2:30" x14ac:dyDescent="0.25">
      <c r="B57" s="13" t="s">
        <v>42</v>
      </c>
      <c r="C57" s="14">
        <v>42466</v>
      </c>
      <c r="D57" s="22">
        <v>0.3036921296296296</v>
      </c>
      <c r="E57" s="13" t="s">
        <v>43</v>
      </c>
      <c r="F57" s="13">
        <v>109.8</v>
      </c>
      <c r="G57" s="13">
        <v>134.19999999999999</v>
      </c>
      <c r="H57" s="13" t="s">
        <v>44</v>
      </c>
      <c r="I57" s="13">
        <v>4000001</v>
      </c>
      <c r="J57" s="17">
        <v>227</v>
      </c>
      <c r="K57" s="13">
        <v>6.4290000000000003</v>
      </c>
      <c r="L57" s="13">
        <v>501</v>
      </c>
      <c r="M57" s="13">
        <v>360</v>
      </c>
      <c r="N57" s="13">
        <v>719</v>
      </c>
      <c r="O57" s="13">
        <v>836</v>
      </c>
      <c r="P57" s="17">
        <v>784.58900000000006</v>
      </c>
      <c r="Q57" s="16">
        <v>17.294</v>
      </c>
      <c r="R57" s="18">
        <v>7.5480000000000005E-2</v>
      </c>
      <c r="S57" s="18">
        <v>4.0930000000000001E-2</v>
      </c>
      <c r="T57" s="18">
        <v>4.3869999999999999E-2</v>
      </c>
      <c r="U57" s="13">
        <v>376</v>
      </c>
      <c r="V57" s="13">
        <v>270</v>
      </c>
      <c r="W57" s="13">
        <v>746</v>
      </c>
      <c r="X57" s="13">
        <v>836</v>
      </c>
      <c r="Y57" s="17">
        <v>791.68399999999997</v>
      </c>
      <c r="Z57" s="16">
        <v>14.215</v>
      </c>
      <c r="AA57" s="18">
        <v>5.6939999999999998E-2</v>
      </c>
      <c r="AB57" s="18">
        <v>3.9440000000000003E-2</v>
      </c>
      <c r="AC57" s="18">
        <v>3.8269999999999998E-2</v>
      </c>
      <c r="AD57" s="16">
        <v>57.470662772073624</v>
      </c>
    </row>
    <row r="58" spans="2:30" x14ac:dyDescent="0.25">
      <c r="B58" s="13" t="s">
        <v>42</v>
      </c>
      <c r="C58" s="14">
        <v>42467</v>
      </c>
      <c r="D58" s="22">
        <v>0.3193287037037037</v>
      </c>
      <c r="E58" s="13" t="s">
        <v>43</v>
      </c>
      <c r="F58" s="13">
        <v>109.8</v>
      </c>
      <c r="G58" s="13">
        <v>134.19999999999999</v>
      </c>
      <c r="H58" s="13" t="s">
        <v>44</v>
      </c>
      <c r="I58" s="13">
        <v>4000001</v>
      </c>
      <c r="J58" s="17">
        <v>228</v>
      </c>
      <c r="K58" s="13">
        <v>6.4290000000000003</v>
      </c>
      <c r="L58" s="13">
        <v>501</v>
      </c>
      <c r="M58" s="13">
        <v>360</v>
      </c>
      <c r="N58" s="13">
        <v>718</v>
      </c>
      <c r="O58" s="13">
        <v>845</v>
      </c>
      <c r="P58" s="17">
        <v>786.53599999999994</v>
      </c>
      <c r="Q58" s="16">
        <v>16.658000000000001</v>
      </c>
      <c r="R58" s="18">
        <v>8.165E-2</v>
      </c>
      <c r="S58" s="18">
        <v>5.2359999999999997E-2</v>
      </c>
      <c r="T58" s="18">
        <v>4.7739999999999998E-2</v>
      </c>
      <c r="U58" s="13">
        <v>376</v>
      </c>
      <c r="V58" s="13">
        <v>270</v>
      </c>
      <c r="W58" s="13">
        <v>745</v>
      </c>
      <c r="X58" s="13">
        <v>845</v>
      </c>
      <c r="Y58" s="17">
        <v>793.97299999999996</v>
      </c>
      <c r="Z58" s="16">
        <v>14.25</v>
      </c>
      <c r="AA58" s="18">
        <v>6.2850000000000003E-2</v>
      </c>
      <c r="AB58" s="18">
        <v>3.3890000000000003E-2</v>
      </c>
      <c r="AC58" s="18">
        <v>4.7739999999999998E-2</v>
      </c>
      <c r="AD58" s="16">
        <v>57.364736447369118</v>
      </c>
    </row>
    <row r="59" spans="2:30" x14ac:dyDescent="0.25">
      <c r="B59" s="13" t="s">
        <v>42</v>
      </c>
      <c r="C59" s="14">
        <v>42468</v>
      </c>
      <c r="D59" s="22">
        <v>0.31094907407407407</v>
      </c>
      <c r="E59" s="13" t="s">
        <v>43</v>
      </c>
      <c r="F59" s="13">
        <v>109.8</v>
      </c>
      <c r="G59" s="13">
        <v>134.19999999999999</v>
      </c>
      <c r="H59" s="13" t="s">
        <v>44</v>
      </c>
      <c r="I59" s="13">
        <v>4000001</v>
      </c>
      <c r="J59" s="17">
        <v>228</v>
      </c>
      <c r="K59" s="13">
        <v>6.4290000000000003</v>
      </c>
      <c r="L59" s="13">
        <v>501</v>
      </c>
      <c r="M59" s="13">
        <v>360</v>
      </c>
      <c r="N59" s="13">
        <v>699</v>
      </c>
      <c r="O59" s="13">
        <v>837</v>
      </c>
      <c r="P59" s="17">
        <v>786.71199999999999</v>
      </c>
      <c r="Q59" s="16">
        <v>17.016999999999999</v>
      </c>
      <c r="R59" s="18">
        <v>8.9990000000000001E-2</v>
      </c>
      <c r="S59" s="18">
        <v>4.4880000000000003E-2</v>
      </c>
      <c r="T59" s="18">
        <v>4.6309999999999997E-2</v>
      </c>
      <c r="U59" s="13">
        <v>376</v>
      </c>
      <c r="V59" s="13">
        <v>270</v>
      </c>
      <c r="W59" s="13">
        <v>748</v>
      </c>
      <c r="X59" s="13">
        <v>837</v>
      </c>
      <c r="Y59" s="17">
        <v>793.48199999999997</v>
      </c>
      <c r="Z59" s="16">
        <v>14.673999999999999</v>
      </c>
      <c r="AA59" s="18">
        <v>5.62E-2</v>
      </c>
      <c r="AB59" s="18">
        <v>3.5540000000000002E-2</v>
      </c>
      <c r="AC59" s="18">
        <v>3.7990000000000003E-2</v>
      </c>
      <c r="AD59" s="16">
        <v>57.511247673788063</v>
      </c>
    </row>
    <row r="60" spans="2:30" x14ac:dyDescent="0.25">
      <c r="B60" s="13" t="s">
        <v>42</v>
      </c>
      <c r="C60" s="14">
        <v>42471</v>
      </c>
      <c r="D60" s="22">
        <v>0.30965277777777778</v>
      </c>
      <c r="E60" s="13" t="s">
        <v>43</v>
      </c>
      <c r="F60" s="13">
        <v>109.8</v>
      </c>
      <c r="G60" s="13">
        <v>134.19999999999999</v>
      </c>
      <c r="H60" s="13" t="s">
        <v>44</v>
      </c>
      <c r="I60" s="13">
        <v>4000001</v>
      </c>
      <c r="J60" s="17">
        <v>234</v>
      </c>
      <c r="K60" s="13">
        <v>6.4290000000000003</v>
      </c>
      <c r="L60" s="13">
        <v>501</v>
      </c>
      <c r="M60" s="13">
        <v>360</v>
      </c>
      <c r="N60" s="13">
        <v>719</v>
      </c>
      <c r="O60" s="13">
        <v>844</v>
      </c>
      <c r="P60" s="17">
        <v>785.36300000000006</v>
      </c>
      <c r="Q60" s="16">
        <v>17.295999999999999</v>
      </c>
      <c r="R60" s="18">
        <v>7.9649999999999999E-2</v>
      </c>
      <c r="S60" s="18">
        <v>5.4850000000000003E-2</v>
      </c>
      <c r="T60" s="18">
        <v>5.1659999999999998E-2</v>
      </c>
      <c r="U60" s="13">
        <v>376</v>
      </c>
      <c r="V60" s="13">
        <v>270</v>
      </c>
      <c r="W60" s="13">
        <v>742</v>
      </c>
      <c r="X60" s="13">
        <v>844</v>
      </c>
      <c r="Y60" s="17">
        <v>792.63199999999995</v>
      </c>
      <c r="Z60" s="16">
        <v>14.569000000000001</v>
      </c>
      <c r="AA60" s="18">
        <v>6.4380000000000007E-2</v>
      </c>
      <c r="AB60" s="18">
        <v>3.8670000000000003E-2</v>
      </c>
      <c r="AC60" s="18">
        <v>4.403E-2</v>
      </c>
      <c r="AD60" s="16">
        <v>56.467055205239923</v>
      </c>
    </row>
    <row r="61" spans="2:30" x14ac:dyDescent="0.25">
      <c r="B61" s="13" t="s">
        <v>42</v>
      </c>
      <c r="C61" s="14">
        <v>42472</v>
      </c>
      <c r="D61" s="22">
        <v>0.30201388888888886</v>
      </c>
      <c r="E61" s="13" t="s">
        <v>43</v>
      </c>
      <c r="F61" s="13">
        <v>109.8</v>
      </c>
      <c r="G61" s="13">
        <v>134.19999999999999</v>
      </c>
      <c r="H61" s="13" t="s">
        <v>44</v>
      </c>
      <c r="I61" s="13">
        <v>4000001</v>
      </c>
      <c r="J61" s="17">
        <v>230</v>
      </c>
      <c r="K61" s="13">
        <v>6.4290000000000003</v>
      </c>
      <c r="L61" s="13">
        <v>501</v>
      </c>
      <c r="M61" s="13">
        <v>360</v>
      </c>
      <c r="N61" s="13">
        <v>729</v>
      </c>
      <c r="O61" s="13">
        <v>837</v>
      </c>
      <c r="P61" s="17">
        <v>785.048</v>
      </c>
      <c r="Q61" s="16">
        <v>16.535</v>
      </c>
      <c r="R61" s="18">
        <v>6.9010000000000002E-2</v>
      </c>
      <c r="S61" s="18">
        <v>4.53E-2</v>
      </c>
      <c r="T61" s="18">
        <v>3.977E-2</v>
      </c>
      <c r="U61" s="13">
        <v>376</v>
      </c>
      <c r="V61" s="13">
        <v>270</v>
      </c>
      <c r="W61" s="13">
        <v>743</v>
      </c>
      <c r="X61" s="13">
        <v>837</v>
      </c>
      <c r="Y61" s="17">
        <v>792.12400000000002</v>
      </c>
      <c r="Z61" s="16">
        <v>14.151999999999999</v>
      </c>
      <c r="AA61" s="18">
        <v>5.9470000000000002E-2</v>
      </c>
      <c r="AB61" s="18">
        <v>3.9739999999999998E-2</v>
      </c>
      <c r="AC61" s="18">
        <v>3.977E-2</v>
      </c>
      <c r="AD61" s="16">
        <v>57.595817618237582</v>
      </c>
    </row>
    <row r="62" spans="2:30" x14ac:dyDescent="0.25">
      <c r="B62" s="13" t="s">
        <v>42</v>
      </c>
      <c r="C62" s="14">
        <v>42473</v>
      </c>
      <c r="D62" s="22">
        <v>0.31612268518518521</v>
      </c>
      <c r="E62" s="13" t="s">
        <v>43</v>
      </c>
      <c r="F62" s="13">
        <v>109.8</v>
      </c>
      <c r="G62" s="13">
        <v>134.19999999999999</v>
      </c>
      <c r="H62" s="13" t="s">
        <v>44</v>
      </c>
      <c r="I62" s="13">
        <v>4000001</v>
      </c>
      <c r="J62" s="17">
        <v>231</v>
      </c>
      <c r="K62" s="13">
        <v>6.4290000000000003</v>
      </c>
      <c r="L62" s="13">
        <v>501</v>
      </c>
      <c r="M62" s="13">
        <v>360</v>
      </c>
      <c r="N62" s="13">
        <v>703</v>
      </c>
      <c r="O62" s="13">
        <v>836</v>
      </c>
      <c r="P62" s="17">
        <v>785.83600000000001</v>
      </c>
      <c r="Q62" s="16">
        <v>16.341999999999999</v>
      </c>
      <c r="R62" s="18">
        <v>8.6309999999999998E-2</v>
      </c>
      <c r="S62" s="18">
        <v>4.2520000000000002E-2</v>
      </c>
      <c r="T62" s="18">
        <v>5.4019999999999999E-2</v>
      </c>
      <c r="U62" s="13">
        <v>376</v>
      </c>
      <c r="V62" s="13">
        <v>270</v>
      </c>
      <c r="W62" s="13">
        <v>753</v>
      </c>
      <c r="X62" s="13">
        <v>836</v>
      </c>
      <c r="Y62" s="17">
        <v>792.63400000000001</v>
      </c>
      <c r="Z62" s="16">
        <v>13.47</v>
      </c>
      <c r="AA62" s="18">
        <v>5.2479999999999999E-2</v>
      </c>
      <c r="AB62" s="18">
        <v>3.9350000000000003E-2</v>
      </c>
      <c r="AC62" s="18">
        <v>3.3270000000000001E-2</v>
      </c>
      <c r="AD62" s="16">
        <v>57.492949686310595</v>
      </c>
    </row>
    <row r="63" spans="2:30" x14ac:dyDescent="0.25">
      <c r="B63" s="13" t="s">
        <v>42</v>
      </c>
      <c r="C63" s="14">
        <v>42474</v>
      </c>
      <c r="D63" s="22">
        <v>0.31042824074074077</v>
      </c>
      <c r="E63" s="13" t="s">
        <v>43</v>
      </c>
      <c r="F63" s="13">
        <v>109.8</v>
      </c>
      <c r="G63" s="13">
        <v>134.19999999999999</v>
      </c>
      <c r="H63" s="13" t="s">
        <v>44</v>
      </c>
      <c r="I63" s="13">
        <v>4000001</v>
      </c>
      <c r="J63" s="17">
        <v>233</v>
      </c>
      <c r="K63" s="13">
        <v>6.4290000000000003</v>
      </c>
      <c r="L63" s="13">
        <v>501</v>
      </c>
      <c r="M63" s="13">
        <v>360</v>
      </c>
      <c r="N63" s="13">
        <v>720</v>
      </c>
      <c r="O63" s="13">
        <v>843</v>
      </c>
      <c r="P63" s="17">
        <v>789.29700000000003</v>
      </c>
      <c r="Q63" s="16">
        <v>16.210999999999999</v>
      </c>
      <c r="R63" s="18">
        <v>7.8700000000000006E-2</v>
      </c>
      <c r="S63" s="18">
        <v>4.4790000000000003E-2</v>
      </c>
      <c r="T63" s="18">
        <v>4.4209999999999999E-2</v>
      </c>
      <c r="U63" s="13">
        <v>376</v>
      </c>
      <c r="V63" s="13">
        <v>270</v>
      </c>
      <c r="W63" s="13">
        <v>756</v>
      </c>
      <c r="X63" s="13">
        <v>843</v>
      </c>
      <c r="Y63" s="17">
        <v>796.94899999999996</v>
      </c>
      <c r="Z63" s="16">
        <v>13.243</v>
      </c>
      <c r="AA63" s="18">
        <v>5.4829999999999997E-2</v>
      </c>
      <c r="AB63" s="18">
        <v>3.8449999999999998E-2</v>
      </c>
      <c r="AC63" s="18">
        <v>4.2939999999999999E-2</v>
      </c>
      <c r="AD63" s="16">
        <v>57.14502624115989</v>
      </c>
    </row>
    <row r="64" spans="2:30" x14ac:dyDescent="0.25">
      <c r="B64" s="13" t="s">
        <v>42</v>
      </c>
      <c r="C64" s="14">
        <v>42475</v>
      </c>
      <c r="D64" s="22">
        <v>0.33841435185185187</v>
      </c>
      <c r="E64" s="13" t="s">
        <v>43</v>
      </c>
      <c r="F64" s="13">
        <v>109.8</v>
      </c>
      <c r="G64" s="13">
        <v>134.19999999999999</v>
      </c>
      <c r="H64" s="13" t="s">
        <v>44</v>
      </c>
      <c r="I64" s="13">
        <v>4000001</v>
      </c>
      <c r="J64" s="17">
        <v>231</v>
      </c>
      <c r="K64" s="13">
        <v>6.4290000000000003</v>
      </c>
      <c r="L64" s="13">
        <v>501</v>
      </c>
      <c r="M64" s="13">
        <v>360</v>
      </c>
      <c r="N64" s="13">
        <v>714</v>
      </c>
      <c r="O64" s="13">
        <v>845</v>
      </c>
      <c r="P64" s="17">
        <v>784.58799999999997</v>
      </c>
      <c r="Q64" s="16">
        <v>17.626999999999999</v>
      </c>
      <c r="R64" s="18">
        <v>8.4110000000000004E-2</v>
      </c>
      <c r="S64" s="18">
        <v>6.3109999999999999E-2</v>
      </c>
      <c r="T64" s="18">
        <v>4.8730000000000002E-2</v>
      </c>
      <c r="U64" s="13">
        <v>376</v>
      </c>
      <c r="V64" s="13">
        <v>270</v>
      </c>
      <c r="W64" s="13">
        <v>739</v>
      </c>
      <c r="X64" s="13">
        <v>845</v>
      </c>
      <c r="Y64" s="17">
        <v>791.54600000000005</v>
      </c>
      <c r="Z64" s="16">
        <v>15.4</v>
      </c>
      <c r="AA64" s="18">
        <v>6.6820000000000004E-2</v>
      </c>
      <c r="AB64" s="18">
        <v>3.5979999999999998E-2</v>
      </c>
      <c r="AC64" s="18">
        <v>3.9190000000000003E-2</v>
      </c>
      <c r="AD64" s="16">
        <v>57.78700209025623</v>
      </c>
    </row>
    <row r="65" spans="2:31" x14ac:dyDescent="0.25">
      <c r="B65" s="13" t="s">
        <v>42</v>
      </c>
      <c r="C65" s="14">
        <v>42478</v>
      </c>
      <c r="D65" s="22">
        <v>0.31552083333333331</v>
      </c>
      <c r="E65" s="13" t="s">
        <v>43</v>
      </c>
      <c r="F65" s="13">
        <v>109.8</v>
      </c>
      <c r="G65" s="13">
        <v>134.19999999999999</v>
      </c>
      <c r="H65" s="13" t="s">
        <v>44</v>
      </c>
      <c r="I65" s="13">
        <v>4000001</v>
      </c>
      <c r="J65" s="17">
        <v>237</v>
      </c>
      <c r="K65" s="13">
        <v>6.4290000000000003</v>
      </c>
      <c r="L65" s="13">
        <v>501</v>
      </c>
      <c r="M65" s="13">
        <v>360</v>
      </c>
      <c r="N65" s="13">
        <v>710</v>
      </c>
      <c r="O65" s="13">
        <v>834</v>
      </c>
      <c r="P65" s="17">
        <v>784.44</v>
      </c>
      <c r="Q65" s="16">
        <v>18.122</v>
      </c>
      <c r="R65" s="18">
        <v>8.0070000000000002E-2</v>
      </c>
      <c r="S65" s="18">
        <v>4.972E-2</v>
      </c>
      <c r="T65" s="18">
        <v>3.7839999999999999E-2</v>
      </c>
      <c r="U65" s="13">
        <v>376</v>
      </c>
      <c r="V65" s="13">
        <v>270</v>
      </c>
      <c r="W65" s="13">
        <v>737</v>
      </c>
      <c r="X65" s="13">
        <v>834</v>
      </c>
      <c r="Y65" s="17">
        <v>791.91</v>
      </c>
      <c r="Z65" s="16">
        <v>15.897</v>
      </c>
      <c r="AA65" s="18">
        <v>6.182E-2</v>
      </c>
      <c r="AB65" s="18">
        <v>3.4410000000000003E-2</v>
      </c>
      <c r="AC65" s="18">
        <v>3.7839999999999999E-2</v>
      </c>
      <c r="AD65" s="16">
        <v>56.756702937968377</v>
      </c>
    </row>
    <row r="66" spans="2:31" x14ac:dyDescent="0.25">
      <c r="B66" s="13" t="s">
        <v>42</v>
      </c>
      <c r="C66" s="14">
        <v>42479</v>
      </c>
      <c r="D66" s="22">
        <v>0.31135416666666665</v>
      </c>
      <c r="E66" s="13" t="s">
        <v>43</v>
      </c>
      <c r="F66" s="13">
        <v>109.8</v>
      </c>
      <c r="G66" s="13">
        <v>134.19999999999999</v>
      </c>
      <c r="H66" s="13" t="s">
        <v>44</v>
      </c>
      <c r="I66" s="13">
        <v>4000001</v>
      </c>
      <c r="J66" s="17">
        <v>234</v>
      </c>
      <c r="K66" s="13">
        <v>6.4290000000000003</v>
      </c>
      <c r="L66" s="13">
        <v>501</v>
      </c>
      <c r="M66" s="13">
        <v>360</v>
      </c>
      <c r="N66" s="13">
        <v>717</v>
      </c>
      <c r="O66" s="13">
        <v>846</v>
      </c>
      <c r="P66" s="17">
        <v>784.96699999999998</v>
      </c>
      <c r="Q66" s="16">
        <v>16.05</v>
      </c>
      <c r="R66" s="18">
        <v>8.2530000000000006E-2</v>
      </c>
      <c r="S66" s="18">
        <v>4.3270000000000003E-2</v>
      </c>
      <c r="T66" s="18">
        <v>5.1670000000000001E-2</v>
      </c>
      <c r="U66" s="13">
        <v>376</v>
      </c>
      <c r="V66" s="13">
        <v>270</v>
      </c>
      <c r="W66" s="13">
        <v>754</v>
      </c>
      <c r="X66" s="13">
        <v>837</v>
      </c>
      <c r="Y66" s="17">
        <v>791.58100000000002</v>
      </c>
      <c r="Z66" s="16">
        <v>13.461</v>
      </c>
      <c r="AA66" s="18">
        <v>5.1950000000000003E-2</v>
      </c>
      <c r="AB66" s="18">
        <v>3.6089999999999997E-2</v>
      </c>
      <c r="AC66" s="18">
        <v>3.7319999999999999E-2</v>
      </c>
      <c r="AD66" s="16">
        <v>57.631169706189752</v>
      </c>
    </row>
    <row r="67" spans="2:31" x14ac:dyDescent="0.25">
      <c r="B67" s="13" t="s">
        <v>42</v>
      </c>
      <c r="C67" s="14">
        <v>42480</v>
      </c>
      <c r="D67" s="22">
        <v>0.30206018518518518</v>
      </c>
      <c r="E67" s="13" t="s">
        <v>43</v>
      </c>
      <c r="F67" s="13">
        <v>109.8</v>
      </c>
      <c r="G67" s="13">
        <v>134.19999999999999</v>
      </c>
      <c r="H67" s="13" t="s">
        <v>44</v>
      </c>
      <c r="I67" s="13">
        <v>4000001</v>
      </c>
      <c r="J67" s="17">
        <v>235</v>
      </c>
      <c r="K67" s="13">
        <v>6.4290000000000003</v>
      </c>
      <c r="L67" s="13">
        <v>501</v>
      </c>
      <c r="M67" s="13">
        <v>360</v>
      </c>
      <c r="N67" s="13">
        <v>708</v>
      </c>
      <c r="O67" s="13">
        <v>832</v>
      </c>
      <c r="P67" s="17">
        <v>784.80200000000002</v>
      </c>
      <c r="Q67" s="16">
        <v>16.129000000000001</v>
      </c>
      <c r="R67" s="18">
        <v>8.047E-2</v>
      </c>
      <c r="S67" s="18">
        <v>7.8630000000000005E-2</v>
      </c>
      <c r="T67" s="18">
        <v>3.8460000000000001E-2</v>
      </c>
      <c r="U67" s="13">
        <v>376</v>
      </c>
      <c r="V67" s="13">
        <v>270</v>
      </c>
      <c r="W67" s="13">
        <v>738</v>
      </c>
      <c r="X67" s="13">
        <v>832</v>
      </c>
      <c r="Y67" s="17">
        <v>791.02300000000002</v>
      </c>
      <c r="Z67" s="16">
        <v>14.500999999999999</v>
      </c>
      <c r="AA67" s="18">
        <v>5.944E-2</v>
      </c>
      <c r="AB67" s="18">
        <v>3.8800000000000001E-2</v>
      </c>
      <c r="AC67" s="18">
        <v>3.8460000000000001E-2</v>
      </c>
      <c r="AD67" s="16">
        <v>57.532496043292454</v>
      </c>
    </row>
    <row r="68" spans="2:31" x14ac:dyDescent="0.25">
      <c r="B68" s="13" t="s">
        <v>42</v>
      </c>
      <c r="C68" s="14">
        <v>42481</v>
      </c>
      <c r="D68" s="22">
        <v>0.33380787037037035</v>
      </c>
      <c r="E68" s="13" t="s">
        <v>43</v>
      </c>
      <c r="F68" s="13">
        <v>109.8</v>
      </c>
      <c r="G68" s="13">
        <v>134.19999999999999</v>
      </c>
      <c r="H68" s="13" t="s">
        <v>44</v>
      </c>
      <c r="I68" s="13">
        <v>4000001</v>
      </c>
      <c r="J68" s="17">
        <v>235</v>
      </c>
      <c r="K68" s="13">
        <v>6.4290000000000003</v>
      </c>
      <c r="L68" s="13">
        <v>501</v>
      </c>
      <c r="M68" s="13">
        <v>360</v>
      </c>
      <c r="N68" s="13">
        <v>716</v>
      </c>
      <c r="O68" s="13">
        <v>844</v>
      </c>
      <c r="P68" s="17">
        <v>784.88800000000003</v>
      </c>
      <c r="Q68" s="16">
        <v>17.125</v>
      </c>
      <c r="R68" s="18">
        <v>8.2339999999999997E-2</v>
      </c>
      <c r="S68" s="18">
        <v>4.9919999999999999E-2</v>
      </c>
      <c r="T68" s="18">
        <v>4.2320000000000003E-2</v>
      </c>
      <c r="U68" s="13">
        <v>376</v>
      </c>
      <c r="V68" s="13">
        <v>270</v>
      </c>
      <c r="W68" s="13">
        <v>748</v>
      </c>
      <c r="X68" s="13">
        <v>844</v>
      </c>
      <c r="Y68" s="17">
        <v>792.423</v>
      </c>
      <c r="Z68" s="16">
        <v>14.026999999999999</v>
      </c>
      <c r="AA68" s="18">
        <v>6.0400000000000002E-2</v>
      </c>
      <c r="AB68" s="18">
        <v>3.7719999999999997E-2</v>
      </c>
      <c r="AC68" s="18">
        <v>3.3029999999999997E-2</v>
      </c>
      <c r="AD68" s="16">
        <v>57.679435732660295</v>
      </c>
    </row>
    <row r="69" spans="2:31" x14ac:dyDescent="0.25">
      <c r="B69" s="13" t="s">
        <v>42</v>
      </c>
      <c r="C69" s="14">
        <v>42482</v>
      </c>
      <c r="D69" s="22">
        <v>0.32026620370370368</v>
      </c>
      <c r="E69" s="13" t="s">
        <v>43</v>
      </c>
      <c r="F69" s="13">
        <v>109.8</v>
      </c>
      <c r="G69" s="13">
        <v>134.19999999999999</v>
      </c>
      <c r="H69" s="13" t="s">
        <v>44</v>
      </c>
      <c r="I69" s="13">
        <v>4000001</v>
      </c>
      <c r="J69" s="17">
        <v>235</v>
      </c>
      <c r="K69" s="13">
        <v>6.4290000000000003</v>
      </c>
      <c r="L69" s="13">
        <v>501</v>
      </c>
      <c r="M69" s="13">
        <v>360</v>
      </c>
      <c r="N69" s="13">
        <v>724</v>
      </c>
      <c r="O69" s="13">
        <v>836</v>
      </c>
      <c r="P69" s="17">
        <v>784.58600000000001</v>
      </c>
      <c r="Q69" s="16">
        <v>16.98</v>
      </c>
      <c r="R69" s="18">
        <v>7.2069999999999995E-2</v>
      </c>
      <c r="S69" s="18">
        <v>5.0270000000000002E-2</v>
      </c>
      <c r="T69" s="18">
        <v>5.1580000000000001E-2</v>
      </c>
      <c r="U69" s="13">
        <v>376</v>
      </c>
      <c r="V69" s="13">
        <v>270</v>
      </c>
      <c r="W69" s="13">
        <v>749</v>
      </c>
      <c r="X69" s="13">
        <v>836</v>
      </c>
      <c r="Y69" s="17">
        <v>791.98400000000004</v>
      </c>
      <c r="Z69" s="16">
        <v>14.324999999999999</v>
      </c>
      <c r="AA69" s="18">
        <v>5.5109999999999999E-2</v>
      </c>
      <c r="AB69" s="18">
        <v>3.4849999999999999E-2</v>
      </c>
      <c r="AC69" s="18">
        <v>4.0050000000000002E-2</v>
      </c>
      <c r="AD69" s="16">
        <v>57.826750710322536</v>
      </c>
    </row>
    <row r="70" spans="2:31" x14ac:dyDescent="0.25">
      <c r="B70" s="13" t="s">
        <v>42</v>
      </c>
      <c r="C70" s="14">
        <v>42486</v>
      </c>
      <c r="D70" s="22">
        <v>0.34355324074074073</v>
      </c>
      <c r="E70" s="13" t="s">
        <v>43</v>
      </c>
      <c r="F70" s="13">
        <v>109.8</v>
      </c>
      <c r="G70" s="13">
        <v>134.19999999999999</v>
      </c>
      <c r="H70" s="13" t="s">
        <v>44</v>
      </c>
      <c r="I70" s="13">
        <v>4000001</v>
      </c>
      <c r="J70" s="17">
        <v>239</v>
      </c>
      <c r="K70" s="13">
        <v>6.4290000000000003</v>
      </c>
      <c r="L70" s="13">
        <v>501</v>
      </c>
      <c r="M70" s="13">
        <v>354</v>
      </c>
      <c r="N70" s="13">
        <v>721</v>
      </c>
      <c r="O70" s="13">
        <v>845</v>
      </c>
      <c r="P70" s="17">
        <v>789.1</v>
      </c>
      <c r="Q70" s="16">
        <v>17.603999999999999</v>
      </c>
      <c r="R70" s="18">
        <v>7.9100000000000004E-2</v>
      </c>
      <c r="S70" s="18">
        <v>4.548E-2</v>
      </c>
      <c r="T70" s="18">
        <v>4.7960000000000003E-2</v>
      </c>
      <c r="U70" s="13">
        <v>376</v>
      </c>
      <c r="V70" s="13">
        <v>265</v>
      </c>
      <c r="W70" s="13">
        <v>735</v>
      </c>
      <c r="X70" s="13">
        <v>845</v>
      </c>
      <c r="Y70" s="17">
        <v>796.29600000000005</v>
      </c>
      <c r="Z70" s="16">
        <v>14.911</v>
      </c>
      <c r="AA70" s="18">
        <v>7.0010000000000003E-2</v>
      </c>
      <c r="AB70" s="18">
        <v>4.0930000000000001E-2</v>
      </c>
      <c r="AC70" s="18">
        <v>3.7830000000000003E-2</v>
      </c>
      <c r="AD70" s="16">
        <v>57.442045761488643</v>
      </c>
    </row>
    <row r="71" spans="2:31" x14ac:dyDescent="0.25">
      <c r="B71" s="13" t="s">
        <v>42</v>
      </c>
      <c r="C71" s="14">
        <v>42486</v>
      </c>
      <c r="D71" s="22">
        <v>0.68195601851851861</v>
      </c>
      <c r="E71" s="13" t="s">
        <v>43</v>
      </c>
      <c r="F71" s="13">
        <v>109.8</v>
      </c>
      <c r="G71" s="13">
        <v>134.19999999999999</v>
      </c>
      <c r="H71" s="13" t="s">
        <v>44</v>
      </c>
      <c r="I71" s="13">
        <v>4000002</v>
      </c>
      <c r="J71" s="17">
        <v>239</v>
      </c>
      <c r="K71" s="13">
        <v>6.4290000000000003</v>
      </c>
      <c r="L71" s="13">
        <v>501</v>
      </c>
      <c r="M71" s="13">
        <v>360</v>
      </c>
      <c r="N71" s="13">
        <v>693</v>
      </c>
      <c r="O71" s="13">
        <v>835</v>
      </c>
      <c r="P71" s="17">
        <v>784.83299999999997</v>
      </c>
      <c r="Q71" s="16">
        <v>16.356000000000002</v>
      </c>
      <c r="R71" s="18">
        <v>9.3049999999999994E-2</v>
      </c>
      <c r="S71" s="18">
        <v>5.4859999999999999E-2</v>
      </c>
      <c r="T71" s="18">
        <v>4.8000000000000001E-2</v>
      </c>
      <c r="U71" s="13">
        <v>376</v>
      </c>
      <c r="V71" s="13">
        <v>270</v>
      </c>
      <c r="W71" s="13">
        <v>749</v>
      </c>
      <c r="X71" s="13">
        <v>835</v>
      </c>
      <c r="Y71" s="17">
        <v>791.71500000000003</v>
      </c>
      <c r="Z71" s="16">
        <v>13.419</v>
      </c>
      <c r="AA71" s="18">
        <v>5.3960000000000001E-2</v>
      </c>
      <c r="AB71" s="18">
        <v>3.5999999999999997E-2</v>
      </c>
      <c r="AC71" s="18">
        <v>3.7060000000000003E-2</v>
      </c>
      <c r="AD71" s="16">
        <v>57.442060121996491</v>
      </c>
      <c r="AE71" t="s">
        <v>58</v>
      </c>
    </row>
    <row r="72" spans="2:31" x14ac:dyDescent="0.25">
      <c r="B72" s="13" t="s">
        <v>42</v>
      </c>
      <c r="C72" s="14">
        <v>42487</v>
      </c>
      <c r="D72" s="22">
        <v>0.31234953703703705</v>
      </c>
      <c r="E72" s="13" t="s">
        <v>43</v>
      </c>
      <c r="F72" s="13">
        <v>109.8</v>
      </c>
      <c r="G72" s="13">
        <v>134.19999999999999</v>
      </c>
      <c r="H72" s="13" t="s">
        <v>44</v>
      </c>
      <c r="I72" s="13">
        <v>4000001</v>
      </c>
      <c r="J72" s="17">
        <v>239</v>
      </c>
      <c r="K72" s="13">
        <v>6.4290000000000003</v>
      </c>
      <c r="L72" s="13">
        <v>501</v>
      </c>
      <c r="M72" s="13">
        <v>360</v>
      </c>
      <c r="N72" s="13">
        <v>728</v>
      </c>
      <c r="O72" s="13">
        <v>839</v>
      </c>
      <c r="P72" s="17">
        <v>785.05200000000002</v>
      </c>
      <c r="Q72" s="16">
        <v>16.5</v>
      </c>
      <c r="R72" s="18">
        <v>7.0739999999999997E-2</v>
      </c>
      <c r="S72" s="18">
        <v>5.0990000000000001E-2</v>
      </c>
      <c r="T72" s="18">
        <v>4.2160000000000003E-2</v>
      </c>
      <c r="U72" s="13">
        <v>376</v>
      </c>
      <c r="V72" s="13">
        <v>270</v>
      </c>
      <c r="W72" s="13">
        <v>742</v>
      </c>
      <c r="X72" s="13">
        <v>839</v>
      </c>
      <c r="Y72" s="17">
        <v>792.00099999999998</v>
      </c>
      <c r="Z72" s="16">
        <v>14.032</v>
      </c>
      <c r="AA72" s="18">
        <v>6.1429999999999998E-2</v>
      </c>
      <c r="AB72" s="18">
        <v>4.1270000000000001E-2</v>
      </c>
      <c r="AC72" s="18">
        <v>3.4419999999999999E-2</v>
      </c>
      <c r="AD72" s="16">
        <v>57.588754438172778</v>
      </c>
    </row>
    <row r="73" spans="2:31" x14ac:dyDescent="0.25">
      <c r="B73" s="13" t="s">
        <v>42</v>
      </c>
      <c r="C73" s="14">
        <v>42488</v>
      </c>
      <c r="D73" s="22">
        <v>0.31407407407407406</v>
      </c>
      <c r="E73" s="13" t="s">
        <v>43</v>
      </c>
      <c r="F73" s="13">
        <v>109.8</v>
      </c>
      <c r="G73" s="13">
        <v>134.19999999999999</v>
      </c>
      <c r="H73" s="13" t="s">
        <v>44</v>
      </c>
      <c r="I73" s="13">
        <v>4000001</v>
      </c>
      <c r="J73" s="17">
        <v>239</v>
      </c>
      <c r="K73" s="13">
        <v>6.4290000000000003</v>
      </c>
      <c r="L73" s="13">
        <v>501</v>
      </c>
      <c r="M73" s="13">
        <v>360</v>
      </c>
      <c r="N73" s="13">
        <v>728</v>
      </c>
      <c r="O73" s="13">
        <v>839</v>
      </c>
      <c r="P73" s="17">
        <v>784.35199999999998</v>
      </c>
      <c r="Q73" s="16">
        <v>16.376000000000001</v>
      </c>
      <c r="R73" s="18">
        <v>7.1080000000000004E-2</v>
      </c>
      <c r="S73" s="18">
        <v>5.1720000000000002E-2</v>
      </c>
      <c r="T73" s="18">
        <v>4.2520000000000002E-2</v>
      </c>
      <c r="U73" s="13">
        <v>376</v>
      </c>
      <c r="V73" s="13">
        <v>270</v>
      </c>
      <c r="W73" s="13">
        <v>736</v>
      </c>
      <c r="X73" s="13">
        <v>839</v>
      </c>
      <c r="Y73" s="17">
        <v>790.81399999999996</v>
      </c>
      <c r="Z73" s="16">
        <v>14.359</v>
      </c>
      <c r="AA73" s="18">
        <v>6.5379999999999994E-2</v>
      </c>
      <c r="AB73" s="18">
        <v>3.6470000000000002E-2</v>
      </c>
      <c r="AC73" s="18">
        <v>3.9649999999999998E-2</v>
      </c>
      <c r="AD73" s="16">
        <v>57.735837813138097</v>
      </c>
    </row>
    <row r="74" spans="2:31" x14ac:dyDescent="0.25">
      <c r="B74" s="13" t="s">
        <v>42</v>
      </c>
      <c r="C74" s="14">
        <v>42489</v>
      </c>
      <c r="D74" s="22">
        <v>0.32274305555555555</v>
      </c>
      <c r="E74" s="13" t="s">
        <v>43</v>
      </c>
      <c r="F74" s="13">
        <v>109.8</v>
      </c>
      <c r="G74" s="13">
        <v>134.19999999999999</v>
      </c>
      <c r="H74" s="13" t="s">
        <v>44</v>
      </c>
      <c r="I74" s="13">
        <v>4000001</v>
      </c>
      <c r="J74" s="17">
        <v>239</v>
      </c>
      <c r="K74" s="13">
        <v>6.4290000000000003</v>
      </c>
      <c r="L74" s="13">
        <v>501</v>
      </c>
      <c r="M74" s="13">
        <v>360</v>
      </c>
      <c r="N74" s="13">
        <v>728</v>
      </c>
      <c r="O74" s="13">
        <v>842</v>
      </c>
      <c r="P74" s="17">
        <v>784.81</v>
      </c>
      <c r="Q74" s="16">
        <v>15.743</v>
      </c>
      <c r="R74" s="18">
        <v>7.2660000000000002E-2</v>
      </c>
      <c r="S74" s="18">
        <v>4.0710000000000003E-2</v>
      </c>
      <c r="T74" s="18">
        <v>4.4920000000000002E-2</v>
      </c>
      <c r="U74" s="13">
        <v>376</v>
      </c>
      <c r="V74" s="13">
        <v>270</v>
      </c>
      <c r="W74" s="13">
        <v>740</v>
      </c>
      <c r="X74" s="13">
        <v>842</v>
      </c>
      <c r="Y74" s="17">
        <v>791.15200000000004</v>
      </c>
      <c r="Z74" s="16">
        <v>13.621</v>
      </c>
      <c r="AA74" s="18">
        <v>6.497E-2</v>
      </c>
      <c r="AB74" s="18">
        <v>3.7580000000000002E-2</v>
      </c>
      <c r="AC74" s="18">
        <v>4.403E-2</v>
      </c>
      <c r="AD74" s="16">
        <v>57.883296843375064</v>
      </c>
    </row>
    <row r="75" spans="2:31" x14ac:dyDescent="0.25">
      <c r="B75" s="13" t="s">
        <v>42</v>
      </c>
      <c r="C75" s="14">
        <v>42492</v>
      </c>
      <c r="D75" s="22">
        <v>0.32280092592592591</v>
      </c>
      <c r="E75" s="13" t="s">
        <v>43</v>
      </c>
      <c r="F75" s="13">
        <v>109.8</v>
      </c>
      <c r="G75" s="13">
        <v>134.19999999999999</v>
      </c>
      <c r="H75" s="13" t="s">
        <v>44</v>
      </c>
      <c r="I75" s="13">
        <v>4000001</v>
      </c>
      <c r="J75" s="17">
        <v>245</v>
      </c>
      <c r="K75" s="13">
        <v>6.4290000000000003</v>
      </c>
      <c r="L75" s="13">
        <v>501</v>
      </c>
      <c r="M75" s="13">
        <v>360</v>
      </c>
      <c r="N75" s="13">
        <v>718</v>
      </c>
      <c r="O75" s="13">
        <v>843</v>
      </c>
      <c r="P75" s="17">
        <v>786.59500000000003</v>
      </c>
      <c r="Q75" s="16">
        <v>16.893999999999998</v>
      </c>
      <c r="R75" s="18">
        <v>8.0060000000000006E-2</v>
      </c>
      <c r="S75" s="18">
        <v>4.265E-2</v>
      </c>
      <c r="T75" s="18">
        <v>4.7199999999999999E-2</v>
      </c>
      <c r="U75" s="13">
        <v>376</v>
      </c>
      <c r="V75" s="13">
        <v>270</v>
      </c>
      <c r="W75" s="13">
        <v>742</v>
      </c>
      <c r="X75" s="13">
        <v>843</v>
      </c>
      <c r="Y75" s="17">
        <v>794.07299999999998</v>
      </c>
      <c r="Z75" s="16">
        <v>14.412000000000001</v>
      </c>
      <c r="AA75" s="18">
        <v>6.3350000000000004E-2</v>
      </c>
      <c r="AB75" s="18">
        <v>4.265E-2</v>
      </c>
      <c r="AC75" s="18">
        <v>3.8129999999999997E-2</v>
      </c>
      <c r="AD75" s="16">
        <v>56.899498187283903</v>
      </c>
    </row>
    <row r="76" spans="2:31" x14ac:dyDescent="0.25">
      <c r="B76" s="13" t="s">
        <v>42</v>
      </c>
      <c r="C76" s="14">
        <v>42494</v>
      </c>
      <c r="D76" s="22">
        <v>0.35954861111111108</v>
      </c>
      <c r="E76" s="13" t="s">
        <v>43</v>
      </c>
      <c r="F76" s="13">
        <v>109.8</v>
      </c>
      <c r="G76" s="13">
        <v>134.19999999999999</v>
      </c>
      <c r="H76" s="13" t="s">
        <v>44</v>
      </c>
      <c r="I76" s="13">
        <v>4000001</v>
      </c>
      <c r="J76" s="17">
        <v>242</v>
      </c>
      <c r="K76" s="13">
        <v>6.4290000000000003</v>
      </c>
      <c r="L76" s="13">
        <v>501</v>
      </c>
      <c r="M76" s="13">
        <v>360</v>
      </c>
      <c r="N76" s="13">
        <v>720</v>
      </c>
      <c r="O76" s="13">
        <v>840</v>
      </c>
      <c r="P76" s="17">
        <v>784.94899999999996</v>
      </c>
      <c r="Q76" s="16">
        <v>16.513999999999999</v>
      </c>
      <c r="R76" s="18">
        <v>7.6480000000000006E-2</v>
      </c>
      <c r="S76" s="18">
        <v>5.5469999999999998E-2</v>
      </c>
      <c r="T76" s="18">
        <v>4.4810000000000003E-2</v>
      </c>
      <c r="U76" s="13">
        <v>376</v>
      </c>
      <c r="V76" s="13">
        <v>270</v>
      </c>
      <c r="W76" s="13">
        <v>746</v>
      </c>
      <c r="X76" s="13">
        <v>840</v>
      </c>
      <c r="Y76" s="17">
        <v>791.51099999999997</v>
      </c>
      <c r="Z76" s="16">
        <v>13.952999999999999</v>
      </c>
      <c r="AA76" s="18">
        <v>5.9020000000000003E-2</v>
      </c>
      <c r="AB76" s="18">
        <v>4.0120000000000003E-2</v>
      </c>
      <c r="AC76" s="18">
        <v>3.5900000000000001E-2</v>
      </c>
      <c r="AD76" s="16">
        <v>57.899488665489564</v>
      </c>
    </row>
    <row r="77" spans="2:31" x14ac:dyDescent="0.25">
      <c r="B77" s="13" t="s">
        <v>42</v>
      </c>
      <c r="C77" s="14">
        <v>42493</v>
      </c>
      <c r="D77" s="22">
        <v>0.33778935185185183</v>
      </c>
      <c r="E77" s="13" t="s">
        <v>43</v>
      </c>
      <c r="F77" s="13">
        <v>109.8</v>
      </c>
      <c r="G77" s="13">
        <v>134.19999999999999</v>
      </c>
      <c r="H77" s="13" t="s">
        <v>44</v>
      </c>
      <c r="I77" s="13">
        <v>4000001</v>
      </c>
      <c r="J77" s="17">
        <v>242</v>
      </c>
      <c r="K77" s="13">
        <v>6.4290000000000003</v>
      </c>
      <c r="L77" s="13">
        <v>501</v>
      </c>
      <c r="M77" s="13">
        <v>360</v>
      </c>
      <c r="N77" s="13">
        <v>724</v>
      </c>
      <c r="O77" s="13">
        <v>858</v>
      </c>
      <c r="P77" s="17">
        <v>784.93499999999995</v>
      </c>
      <c r="Q77" s="16">
        <v>16.494</v>
      </c>
      <c r="R77" s="18">
        <v>8.4169999999999995E-2</v>
      </c>
      <c r="S77" s="18">
        <v>3.9890000000000002E-2</v>
      </c>
      <c r="T77" s="18">
        <v>4.3090000000000003E-2</v>
      </c>
      <c r="U77" s="13">
        <v>376</v>
      </c>
      <c r="V77" s="13">
        <v>270</v>
      </c>
      <c r="W77" s="13">
        <v>747</v>
      </c>
      <c r="X77" s="13">
        <v>858</v>
      </c>
      <c r="Y77" s="17">
        <v>791.87900000000002</v>
      </c>
      <c r="Z77" s="16">
        <v>13.945</v>
      </c>
      <c r="AA77" s="18">
        <v>6.8580000000000002E-2</v>
      </c>
      <c r="AB77" s="18">
        <v>3.9890000000000002E-2</v>
      </c>
      <c r="AC77" s="18">
        <v>3.9350000000000003E-2</v>
      </c>
      <c r="AD77" s="16">
        <v>57.751988386213313</v>
      </c>
    </row>
    <row r="78" spans="2:31" x14ac:dyDescent="0.25">
      <c r="B78" s="13" t="s">
        <v>42</v>
      </c>
      <c r="C78" s="14">
        <v>42496</v>
      </c>
      <c r="D78" s="22">
        <v>0.40651620370370373</v>
      </c>
      <c r="E78" s="13" t="s">
        <v>43</v>
      </c>
      <c r="F78" s="13">
        <v>109.8</v>
      </c>
      <c r="G78" s="13">
        <v>134.19999999999999</v>
      </c>
      <c r="H78" s="13" t="s">
        <v>44</v>
      </c>
      <c r="I78" s="13">
        <v>4000001</v>
      </c>
      <c r="J78" s="17">
        <v>247</v>
      </c>
      <c r="K78" s="13">
        <v>6.4290000000000003</v>
      </c>
      <c r="L78" s="13">
        <v>501</v>
      </c>
      <c r="M78" s="13">
        <v>360</v>
      </c>
      <c r="N78" s="13">
        <v>719</v>
      </c>
      <c r="O78" s="13">
        <v>837</v>
      </c>
      <c r="P78" s="17">
        <v>786.245</v>
      </c>
      <c r="Q78" s="16">
        <v>18.431000000000001</v>
      </c>
      <c r="R78" s="18">
        <v>7.6329999999999995E-2</v>
      </c>
      <c r="S78" s="18">
        <v>4.3729999999999998E-2</v>
      </c>
      <c r="T78" s="18">
        <v>4.5859999999999998E-2</v>
      </c>
      <c r="U78" s="13">
        <v>376</v>
      </c>
      <c r="V78" s="13">
        <v>270</v>
      </c>
      <c r="W78" s="13">
        <v>734</v>
      </c>
      <c r="X78" s="13">
        <v>837</v>
      </c>
      <c r="Y78" s="17">
        <v>793.79300000000001</v>
      </c>
      <c r="Z78" s="16">
        <v>15.388999999999999</v>
      </c>
      <c r="AA78" s="18">
        <v>6.5540000000000001E-2</v>
      </c>
      <c r="AB78" s="18">
        <v>3.9260000000000003E-2</v>
      </c>
      <c r="AC78" s="18">
        <v>4.5859999999999998E-2</v>
      </c>
      <c r="AD78" s="16">
        <v>57.017571351502987</v>
      </c>
    </row>
    <row r="79" spans="2:31" x14ac:dyDescent="0.25">
      <c r="B79" s="13" t="s">
        <v>42</v>
      </c>
      <c r="C79" s="14">
        <v>42499</v>
      </c>
      <c r="D79" s="22">
        <v>0.32126157407407407</v>
      </c>
      <c r="E79" s="13" t="s">
        <v>43</v>
      </c>
      <c r="F79" s="13">
        <v>109.8</v>
      </c>
      <c r="G79" s="13">
        <v>134.19999999999999</v>
      </c>
      <c r="H79" s="13" t="s">
        <v>44</v>
      </c>
      <c r="I79" s="13">
        <v>4000001</v>
      </c>
      <c r="J79" s="17">
        <v>250</v>
      </c>
      <c r="K79" s="13">
        <v>6.4290000000000003</v>
      </c>
      <c r="L79" s="13">
        <v>501</v>
      </c>
      <c r="M79" s="13">
        <v>360</v>
      </c>
      <c r="N79" s="13">
        <v>713</v>
      </c>
      <c r="O79" s="13">
        <v>845</v>
      </c>
      <c r="P79" s="17">
        <v>785.35199999999998</v>
      </c>
      <c r="Q79" s="16">
        <v>18.32</v>
      </c>
      <c r="R79" s="18">
        <v>8.4589999999999999E-2</v>
      </c>
      <c r="S79" s="18">
        <v>5.7029999999999997E-2</v>
      </c>
      <c r="T79" s="18">
        <v>4.9020000000000001E-2</v>
      </c>
      <c r="U79" s="13">
        <v>376</v>
      </c>
      <c r="V79" s="13">
        <v>270</v>
      </c>
      <c r="W79" s="13">
        <v>739</v>
      </c>
      <c r="X79" s="13">
        <v>845</v>
      </c>
      <c r="Y79" s="17">
        <v>792.73199999999997</v>
      </c>
      <c r="Z79" s="16">
        <v>15.715999999999999</v>
      </c>
      <c r="AA79" s="18">
        <v>6.6919999999999993E-2</v>
      </c>
      <c r="AB79" s="18">
        <v>3.6560000000000002E-2</v>
      </c>
      <c r="AC79" s="18">
        <v>3.882E-2</v>
      </c>
      <c r="AD79" s="16">
        <v>56.766095018147418</v>
      </c>
    </row>
    <row r="80" spans="2:31" x14ac:dyDescent="0.25">
      <c r="B80" s="13" t="s">
        <v>42</v>
      </c>
      <c r="C80" s="14">
        <v>42500</v>
      </c>
      <c r="D80" s="22">
        <v>0.32936342592592593</v>
      </c>
      <c r="E80" s="13" t="s">
        <v>43</v>
      </c>
      <c r="F80" s="13">
        <v>109.8</v>
      </c>
      <c r="G80" s="13">
        <v>134.19999999999999</v>
      </c>
      <c r="H80" s="13" t="s">
        <v>44</v>
      </c>
      <c r="I80" s="13">
        <v>4000001</v>
      </c>
      <c r="J80" s="17">
        <v>245</v>
      </c>
      <c r="K80" s="13">
        <v>6.4290000000000003</v>
      </c>
      <c r="L80" s="13">
        <v>501</v>
      </c>
      <c r="M80" s="13">
        <v>360</v>
      </c>
      <c r="N80" s="13">
        <v>709</v>
      </c>
      <c r="O80" s="13">
        <v>837</v>
      </c>
      <c r="P80" s="17">
        <v>785.59699999999998</v>
      </c>
      <c r="Q80" s="16">
        <v>15.749000000000001</v>
      </c>
      <c r="R80" s="18">
        <v>8.2780000000000006E-2</v>
      </c>
      <c r="S80" s="18">
        <v>5.015E-2</v>
      </c>
      <c r="T80" s="18">
        <v>4.7899999999999998E-2</v>
      </c>
      <c r="U80" s="13">
        <v>376</v>
      </c>
      <c r="V80" s="13">
        <v>270</v>
      </c>
      <c r="W80" s="13">
        <v>744</v>
      </c>
      <c r="X80" s="13">
        <v>837</v>
      </c>
      <c r="Y80" s="17">
        <v>792.03</v>
      </c>
      <c r="Z80" s="16">
        <v>13.189</v>
      </c>
      <c r="AA80" s="18">
        <v>5.8959999999999999E-2</v>
      </c>
      <c r="AB80" s="18">
        <v>3.2039999999999999E-2</v>
      </c>
      <c r="AC80" s="18">
        <v>3.7170000000000002E-2</v>
      </c>
      <c r="AD80" s="16">
        <v>58.072527853800672</v>
      </c>
    </row>
    <row r="81" spans="2:30" x14ac:dyDescent="0.25">
      <c r="B81" s="13" t="s">
        <v>42</v>
      </c>
      <c r="C81" s="14">
        <v>42501</v>
      </c>
      <c r="D81" s="22">
        <v>0.31299768518518517</v>
      </c>
      <c r="E81" s="13" t="s">
        <v>43</v>
      </c>
      <c r="F81" s="13">
        <v>109.8</v>
      </c>
      <c r="G81" s="13">
        <v>134.19999999999999</v>
      </c>
      <c r="H81" s="13" t="s">
        <v>44</v>
      </c>
      <c r="I81" s="13">
        <v>4000001</v>
      </c>
      <c r="J81" s="17">
        <v>245</v>
      </c>
      <c r="K81" s="13">
        <v>6.4290000000000003</v>
      </c>
      <c r="L81" s="13">
        <v>501</v>
      </c>
      <c r="M81" s="13">
        <v>360</v>
      </c>
      <c r="N81" s="13">
        <v>711</v>
      </c>
      <c r="O81" s="13">
        <v>829</v>
      </c>
      <c r="P81" s="17">
        <v>784.71900000000005</v>
      </c>
      <c r="Q81" s="16">
        <v>16.702000000000002</v>
      </c>
      <c r="R81" s="18">
        <v>7.6869999999999994E-2</v>
      </c>
      <c r="S81" s="18">
        <v>4.1480000000000003E-2</v>
      </c>
      <c r="T81" s="18">
        <v>3.9460000000000002E-2</v>
      </c>
      <c r="U81" s="13">
        <v>376</v>
      </c>
      <c r="V81" s="13">
        <v>270</v>
      </c>
      <c r="W81" s="13">
        <v>747</v>
      </c>
      <c r="X81" s="13">
        <v>829</v>
      </c>
      <c r="Y81" s="17">
        <v>791.779</v>
      </c>
      <c r="Z81" s="16">
        <v>14.311999999999999</v>
      </c>
      <c r="AA81" s="18">
        <v>5.2040000000000003E-2</v>
      </c>
      <c r="AB81" s="18">
        <v>3.6409999999999998E-2</v>
      </c>
      <c r="AC81" s="18">
        <v>3.4110000000000001E-2</v>
      </c>
      <c r="AD81" s="16">
        <v>58.220846800317815</v>
      </c>
    </row>
    <row r="82" spans="2:30" x14ac:dyDescent="0.25">
      <c r="B82" s="13" t="s">
        <v>42</v>
      </c>
      <c r="C82" s="14">
        <v>42502</v>
      </c>
      <c r="D82" s="22">
        <v>0.31059027777777776</v>
      </c>
      <c r="E82" s="13" t="s">
        <v>43</v>
      </c>
      <c r="F82" s="13">
        <v>109.8</v>
      </c>
      <c r="G82" s="13">
        <v>134.19999999999999</v>
      </c>
      <c r="H82" s="13" t="s">
        <v>44</v>
      </c>
      <c r="I82" s="13">
        <v>4000001</v>
      </c>
      <c r="J82" s="17">
        <v>247</v>
      </c>
      <c r="K82" s="13">
        <v>6.4290000000000003</v>
      </c>
      <c r="L82" s="13">
        <v>501</v>
      </c>
      <c r="M82" s="13">
        <v>354</v>
      </c>
      <c r="N82" s="13">
        <v>733</v>
      </c>
      <c r="O82" s="13">
        <v>838</v>
      </c>
      <c r="P82" s="17">
        <v>790.11</v>
      </c>
      <c r="Q82" s="16">
        <v>16.811</v>
      </c>
      <c r="R82" s="18">
        <v>6.6739999999999994E-2</v>
      </c>
      <c r="S82" s="18">
        <v>4.317E-2</v>
      </c>
      <c r="T82" s="18">
        <v>4.0099999999999997E-2</v>
      </c>
      <c r="U82" s="13">
        <v>376</v>
      </c>
      <c r="V82" s="13">
        <v>265</v>
      </c>
      <c r="W82" s="13">
        <v>753</v>
      </c>
      <c r="X82" s="13">
        <v>838</v>
      </c>
      <c r="Y82" s="17">
        <v>797.22500000000002</v>
      </c>
      <c r="Z82" s="16">
        <v>13.64</v>
      </c>
      <c r="AA82" s="18">
        <v>5.3030000000000001E-2</v>
      </c>
      <c r="AB82" s="18">
        <v>3.5720000000000002E-2</v>
      </c>
      <c r="AC82" s="18">
        <v>4.0099999999999997E-2</v>
      </c>
      <c r="AD82" s="16">
        <v>57.896916666636507</v>
      </c>
    </row>
    <row r="83" spans="2:30" x14ac:dyDescent="0.25">
      <c r="B83" s="13" t="s">
        <v>42</v>
      </c>
      <c r="C83" s="14">
        <v>42503</v>
      </c>
      <c r="D83" s="22">
        <v>0.33059027777777777</v>
      </c>
      <c r="E83" s="13" t="s">
        <v>43</v>
      </c>
      <c r="F83" s="13">
        <v>109.8</v>
      </c>
      <c r="G83" s="13">
        <v>134.19999999999999</v>
      </c>
      <c r="H83" s="13" t="s">
        <v>44</v>
      </c>
      <c r="I83" s="13">
        <v>4000001</v>
      </c>
      <c r="J83" s="17">
        <v>247</v>
      </c>
      <c r="K83" s="13">
        <v>6.4290000000000003</v>
      </c>
      <c r="L83" s="13">
        <v>501</v>
      </c>
      <c r="M83" s="13">
        <v>360</v>
      </c>
      <c r="N83" s="13">
        <v>717</v>
      </c>
      <c r="O83" s="13">
        <v>836</v>
      </c>
      <c r="P83" s="17">
        <v>785.57</v>
      </c>
      <c r="Q83" s="16">
        <v>16.475000000000001</v>
      </c>
      <c r="R83" s="18">
        <v>7.6910000000000006E-2</v>
      </c>
      <c r="S83" s="18">
        <v>4.8890000000000003E-2</v>
      </c>
      <c r="T83" s="18">
        <v>3.9030000000000002E-2</v>
      </c>
      <c r="U83" s="13">
        <v>376</v>
      </c>
      <c r="V83" s="13">
        <v>270</v>
      </c>
      <c r="W83" s="13">
        <v>752</v>
      </c>
      <c r="X83" s="13">
        <v>836</v>
      </c>
      <c r="Y83" s="17">
        <v>792.625</v>
      </c>
      <c r="Z83" s="16">
        <v>14.315</v>
      </c>
      <c r="AA83" s="18">
        <v>5.3129999999999997E-2</v>
      </c>
      <c r="AB83" s="18">
        <v>3.8960000000000002E-2</v>
      </c>
      <c r="AC83" s="18">
        <v>3.4729999999999997E-2</v>
      </c>
      <c r="AD83" s="16">
        <v>58.044787097009461</v>
      </c>
    </row>
    <row r="84" spans="2:30" x14ac:dyDescent="0.25">
      <c r="B84" s="13" t="s">
        <v>42</v>
      </c>
      <c r="C84" s="14">
        <v>42506</v>
      </c>
      <c r="D84" s="22">
        <v>0.31615740740740739</v>
      </c>
      <c r="E84" s="13" t="s">
        <v>43</v>
      </c>
      <c r="F84" s="13">
        <v>109.8</v>
      </c>
      <c r="G84" s="13">
        <v>134.19999999999999</v>
      </c>
      <c r="H84" s="13" t="s">
        <v>44</v>
      </c>
      <c r="I84" s="13">
        <v>4000001</v>
      </c>
      <c r="J84" s="17">
        <v>253</v>
      </c>
      <c r="K84" s="13">
        <v>6.4290000000000003</v>
      </c>
      <c r="L84" s="13">
        <v>501</v>
      </c>
      <c r="M84" s="13">
        <v>360</v>
      </c>
      <c r="N84" s="13">
        <v>714</v>
      </c>
      <c r="O84" s="13">
        <v>835</v>
      </c>
      <c r="P84" s="17">
        <v>784.72199999999998</v>
      </c>
      <c r="Q84" s="16">
        <v>17.327000000000002</v>
      </c>
      <c r="R84" s="18">
        <v>7.8640000000000002E-2</v>
      </c>
      <c r="S84" s="18">
        <v>5.4280000000000002E-2</v>
      </c>
      <c r="T84" s="18">
        <v>5.688E-2</v>
      </c>
      <c r="U84" s="13">
        <v>376</v>
      </c>
      <c r="V84" s="13">
        <v>270</v>
      </c>
      <c r="W84" s="13">
        <v>745</v>
      </c>
      <c r="X84" s="13">
        <v>834</v>
      </c>
      <c r="Y84" s="17">
        <v>791.31799999999998</v>
      </c>
      <c r="Z84" s="16">
        <v>14.44</v>
      </c>
      <c r="AA84" s="18">
        <v>5.6489999999999999E-2</v>
      </c>
      <c r="AB84" s="18">
        <v>3.9410000000000001E-2</v>
      </c>
      <c r="AC84" s="18">
        <v>4.3700000000000003E-2</v>
      </c>
      <c r="AD84" s="16">
        <v>57.103537769342559</v>
      </c>
    </row>
    <row r="85" spans="2:30" x14ac:dyDescent="0.25">
      <c r="B85" s="13" t="s">
        <v>42</v>
      </c>
      <c r="C85" s="14">
        <v>42507</v>
      </c>
      <c r="D85" s="22">
        <v>0.31782407407407409</v>
      </c>
      <c r="E85" s="13" t="s">
        <v>43</v>
      </c>
      <c r="F85" s="13">
        <v>109.8</v>
      </c>
      <c r="G85" s="13">
        <v>134.19999999999999</v>
      </c>
      <c r="H85" s="13" t="s">
        <v>44</v>
      </c>
      <c r="I85" s="13">
        <v>4000001</v>
      </c>
      <c r="J85" s="17">
        <v>249</v>
      </c>
      <c r="K85" s="13">
        <v>6.4290000000000003</v>
      </c>
      <c r="L85" s="13">
        <v>501</v>
      </c>
      <c r="M85" s="13">
        <v>360</v>
      </c>
      <c r="N85" s="13">
        <v>716</v>
      </c>
      <c r="O85" s="13">
        <v>839</v>
      </c>
      <c r="P85" s="17">
        <v>785.72799999999995</v>
      </c>
      <c r="Q85" s="16">
        <v>16.762</v>
      </c>
      <c r="R85" s="18">
        <v>7.8670000000000004E-2</v>
      </c>
      <c r="S85" s="18">
        <v>4.3119999999999999E-2</v>
      </c>
      <c r="T85" s="18">
        <v>4.9450000000000001E-2</v>
      </c>
      <c r="U85" s="13">
        <v>376</v>
      </c>
      <c r="V85" s="13">
        <v>270</v>
      </c>
      <c r="W85" s="13">
        <v>745</v>
      </c>
      <c r="X85" s="13">
        <v>839</v>
      </c>
      <c r="Y85" s="17">
        <v>792.37199999999996</v>
      </c>
      <c r="Z85" s="16">
        <v>14.064</v>
      </c>
      <c r="AA85" s="18">
        <v>5.9279999999999999E-2</v>
      </c>
      <c r="AB85" s="18">
        <v>4.1549999999999997E-2</v>
      </c>
      <c r="AC85" s="18">
        <v>3.9109999999999999E-2</v>
      </c>
      <c r="AD85" s="16">
        <v>58.169050671972485</v>
      </c>
    </row>
    <row r="86" spans="2:30" x14ac:dyDescent="0.25">
      <c r="B86" s="13" t="s">
        <v>42</v>
      </c>
      <c r="C86" s="14">
        <v>42508</v>
      </c>
      <c r="D86" s="22">
        <v>0.30516203703703704</v>
      </c>
      <c r="E86" s="13" t="s">
        <v>43</v>
      </c>
      <c r="F86" s="13">
        <v>109.8</v>
      </c>
      <c r="G86" s="13">
        <v>134.19999999999999</v>
      </c>
      <c r="H86" s="13" t="s">
        <v>44</v>
      </c>
      <c r="I86" s="13">
        <v>4000001</v>
      </c>
      <c r="J86" s="17">
        <v>250</v>
      </c>
      <c r="K86" s="13">
        <v>6.4290000000000003</v>
      </c>
      <c r="L86" s="13">
        <v>501</v>
      </c>
      <c r="M86" s="13">
        <v>360</v>
      </c>
      <c r="N86" s="13">
        <v>701</v>
      </c>
      <c r="O86" s="13">
        <v>843</v>
      </c>
      <c r="P86" s="17">
        <v>784.80200000000002</v>
      </c>
      <c r="Q86" s="16">
        <v>16.291</v>
      </c>
      <c r="R86" s="18">
        <v>9.2060000000000003E-2</v>
      </c>
      <c r="S86" s="18">
        <v>4.6559999999999997E-2</v>
      </c>
      <c r="T86" s="18">
        <v>4.7449999999999999E-2</v>
      </c>
      <c r="U86" s="13">
        <v>376</v>
      </c>
      <c r="V86" s="13">
        <v>270</v>
      </c>
      <c r="W86" s="13">
        <v>738</v>
      </c>
      <c r="X86" s="13">
        <v>843</v>
      </c>
      <c r="Y86" s="17">
        <v>791.31</v>
      </c>
      <c r="Z86" s="16">
        <v>14.359</v>
      </c>
      <c r="AA86" s="18">
        <v>6.6820000000000004E-2</v>
      </c>
      <c r="AB86" s="18">
        <v>4.6559999999999997E-2</v>
      </c>
      <c r="AC86" s="18">
        <v>4.0489999999999998E-2</v>
      </c>
      <c r="AD86" s="16">
        <v>58.08434567604764</v>
      </c>
    </row>
    <row r="87" spans="2:30" x14ac:dyDescent="0.25">
      <c r="B87" s="13" t="s">
        <v>42</v>
      </c>
      <c r="C87" s="14">
        <v>42509</v>
      </c>
      <c r="D87" s="22">
        <v>0.30482638888888886</v>
      </c>
      <c r="E87" s="13" t="s">
        <v>43</v>
      </c>
      <c r="F87" s="13">
        <v>109.8</v>
      </c>
      <c r="G87" s="13">
        <v>134.19999999999999</v>
      </c>
      <c r="H87" s="13" t="s">
        <v>44</v>
      </c>
      <c r="I87" s="13">
        <v>4000001</v>
      </c>
      <c r="J87" s="17">
        <v>250</v>
      </c>
      <c r="K87" s="13">
        <v>6.4290000000000003</v>
      </c>
      <c r="L87" s="13">
        <v>501</v>
      </c>
      <c r="M87" s="13">
        <v>360</v>
      </c>
      <c r="N87" s="13">
        <v>721</v>
      </c>
      <c r="O87" s="13">
        <v>844</v>
      </c>
      <c r="P87" s="17">
        <v>784.95100000000002</v>
      </c>
      <c r="Q87" s="16">
        <v>16.408000000000001</v>
      </c>
      <c r="R87" s="18">
        <v>7.8369999999999995E-2</v>
      </c>
      <c r="S87" s="18">
        <v>4.8910000000000002E-2</v>
      </c>
      <c r="T87" s="18">
        <v>4.4990000000000002E-2</v>
      </c>
      <c r="U87" s="13">
        <v>376</v>
      </c>
      <c r="V87" s="13">
        <v>270</v>
      </c>
      <c r="W87" s="13">
        <v>749</v>
      </c>
      <c r="X87" s="13">
        <v>844</v>
      </c>
      <c r="Y87" s="17">
        <v>792.14300000000003</v>
      </c>
      <c r="Z87" s="16">
        <v>13.884</v>
      </c>
      <c r="AA87" s="18">
        <v>5.9459999999999999E-2</v>
      </c>
      <c r="AB87" s="18">
        <v>3.635E-2</v>
      </c>
      <c r="AC87" s="18">
        <v>3.7600000000000001E-2</v>
      </c>
      <c r="AD87" s="16">
        <v>58.232694805630871</v>
      </c>
    </row>
    <row r="88" spans="2:30" x14ac:dyDescent="0.25">
      <c r="B88" s="13" t="s">
        <v>42</v>
      </c>
      <c r="C88" s="14">
        <v>42513</v>
      </c>
      <c r="D88" s="22">
        <v>0.31609953703703703</v>
      </c>
      <c r="E88" s="13" t="s">
        <v>43</v>
      </c>
      <c r="F88" s="13">
        <v>109.8</v>
      </c>
      <c r="G88" s="13">
        <v>134.19999999999999</v>
      </c>
      <c r="H88" s="13" t="s">
        <v>44</v>
      </c>
      <c r="I88" s="13">
        <v>4000001</v>
      </c>
      <c r="J88" s="17">
        <v>258</v>
      </c>
      <c r="K88" s="13">
        <v>6.4290000000000003</v>
      </c>
      <c r="L88" s="13">
        <v>501</v>
      </c>
      <c r="M88" s="13">
        <v>360</v>
      </c>
      <c r="N88" s="13">
        <v>729</v>
      </c>
      <c r="O88" s="13">
        <v>833</v>
      </c>
      <c r="P88" s="17">
        <v>786.72199999999998</v>
      </c>
      <c r="Q88" s="16">
        <v>16.553999999999998</v>
      </c>
      <c r="R88" s="18">
        <v>6.6949999999999996E-2</v>
      </c>
      <c r="S88" s="18">
        <v>4.2020000000000002E-2</v>
      </c>
      <c r="T88" s="18">
        <v>4.6829999999999997E-2</v>
      </c>
      <c r="U88" s="13">
        <v>376</v>
      </c>
      <c r="V88" s="13">
        <v>270</v>
      </c>
      <c r="W88" s="13">
        <v>749</v>
      </c>
      <c r="X88" s="13">
        <v>833</v>
      </c>
      <c r="Y88" s="17">
        <v>793.72199999999998</v>
      </c>
      <c r="Z88" s="16">
        <v>14.087</v>
      </c>
      <c r="AA88" s="18">
        <v>5.3150000000000003E-2</v>
      </c>
      <c r="AB88" s="18">
        <v>4.0620000000000003E-2</v>
      </c>
      <c r="AC88" s="18">
        <v>3.7690000000000001E-2</v>
      </c>
      <c r="AD88" s="16">
        <v>57.005707261339133</v>
      </c>
    </row>
    <row r="89" spans="2:30" x14ac:dyDescent="0.25">
      <c r="B89" s="13" t="s">
        <v>42</v>
      </c>
      <c r="C89" s="14">
        <v>42514</v>
      </c>
      <c r="D89" s="22">
        <v>0.30252314814814812</v>
      </c>
      <c r="E89" s="13" t="s">
        <v>43</v>
      </c>
      <c r="F89" s="13">
        <v>109.8</v>
      </c>
      <c r="G89" s="13">
        <v>134.19999999999999</v>
      </c>
      <c r="H89" s="13" t="s">
        <v>44</v>
      </c>
      <c r="I89" s="13">
        <v>4000001</v>
      </c>
      <c r="J89" s="17">
        <v>253</v>
      </c>
      <c r="K89" s="13">
        <v>6.4290000000000003</v>
      </c>
      <c r="L89" s="13">
        <v>501</v>
      </c>
      <c r="M89" s="13">
        <v>360</v>
      </c>
      <c r="N89" s="13">
        <v>725</v>
      </c>
      <c r="O89" s="13">
        <v>843</v>
      </c>
      <c r="P89" s="17">
        <v>785.33100000000002</v>
      </c>
      <c r="Q89" s="16">
        <v>16.122</v>
      </c>
      <c r="R89" s="18">
        <v>7.5770000000000004E-2</v>
      </c>
      <c r="S89" s="18">
        <v>5.5629999999999999E-2</v>
      </c>
      <c r="T89" s="18">
        <v>4.0430000000000001E-2</v>
      </c>
      <c r="U89" s="13">
        <v>376</v>
      </c>
      <c r="V89" s="13">
        <v>270</v>
      </c>
      <c r="W89" s="13">
        <v>752</v>
      </c>
      <c r="X89" s="13">
        <v>834</v>
      </c>
      <c r="Y89" s="17">
        <v>791.54499999999996</v>
      </c>
      <c r="Z89" s="16">
        <v>13.272</v>
      </c>
      <c r="AA89" s="18">
        <v>5.1720000000000002E-2</v>
      </c>
      <c r="AB89" s="18">
        <v>3.6850000000000001E-2</v>
      </c>
      <c r="AC89" s="18">
        <v>3.5529999999999999E-2</v>
      </c>
      <c r="AD89" s="16">
        <v>58.280773878631635</v>
      </c>
    </row>
    <row r="90" spans="2:30" x14ac:dyDescent="0.25">
      <c r="B90" s="13" t="s">
        <v>42</v>
      </c>
      <c r="C90" s="14">
        <v>42515</v>
      </c>
      <c r="D90" s="22">
        <v>0.30876157407407406</v>
      </c>
      <c r="E90" s="13" t="s">
        <v>43</v>
      </c>
      <c r="F90" s="13">
        <v>109.8</v>
      </c>
      <c r="G90" s="13">
        <v>134.19999999999999</v>
      </c>
      <c r="H90" s="13" t="s">
        <v>44</v>
      </c>
      <c r="I90" s="13">
        <v>4000001</v>
      </c>
      <c r="J90" s="17">
        <v>254</v>
      </c>
      <c r="K90" s="13">
        <v>6.4290000000000003</v>
      </c>
      <c r="L90" s="13">
        <v>501</v>
      </c>
      <c r="M90" s="13">
        <v>360</v>
      </c>
      <c r="N90" s="13">
        <v>721</v>
      </c>
      <c r="O90" s="13">
        <v>840</v>
      </c>
      <c r="P90" s="17">
        <v>785.23800000000006</v>
      </c>
      <c r="Q90" s="16">
        <v>16.292999999999999</v>
      </c>
      <c r="R90" s="18">
        <v>7.5840000000000005E-2</v>
      </c>
      <c r="S90" s="18">
        <v>5.7200000000000001E-2</v>
      </c>
      <c r="T90" s="18">
        <v>4.4409999999999998E-2</v>
      </c>
      <c r="U90" s="13">
        <v>376</v>
      </c>
      <c r="V90" s="13">
        <v>270</v>
      </c>
      <c r="W90" s="13">
        <v>747</v>
      </c>
      <c r="X90" s="13">
        <v>840</v>
      </c>
      <c r="Y90" s="17">
        <v>792.07399999999996</v>
      </c>
      <c r="Z90" s="16">
        <v>13.601000000000001</v>
      </c>
      <c r="AA90" s="18">
        <v>5.8119999999999998E-2</v>
      </c>
      <c r="AB90" s="18">
        <v>3.329E-2</v>
      </c>
      <c r="AC90" s="18">
        <v>3.7499999999999999E-2</v>
      </c>
      <c r="AD90" s="16">
        <v>58.199586799142836</v>
      </c>
    </row>
    <row r="91" spans="2:30" x14ac:dyDescent="0.25">
      <c r="B91" s="13" t="s">
        <v>42</v>
      </c>
      <c r="C91" s="14">
        <v>42516</v>
      </c>
      <c r="D91" s="22">
        <v>0.30623842592592593</v>
      </c>
      <c r="E91" s="13" t="s">
        <v>43</v>
      </c>
      <c r="F91" s="13">
        <v>109.8</v>
      </c>
      <c r="G91" s="13">
        <v>134.19999999999999</v>
      </c>
      <c r="H91" s="13" t="s">
        <v>44</v>
      </c>
      <c r="I91" s="13">
        <v>4000001</v>
      </c>
      <c r="J91" s="17">
        <v>254</v>
      </c>
      <c r="K91" s="13">
        <v>6.4290000000000003</v>
      </c>
      <c r="L91" s="13">
        <v>501</v>
      </c>
      <c r="M91" s="13">
        <v>360</v>
      </c>
      <c r="N91" s="13">
        <v>714</v>
      </c>
      <c r="O91" s="13">
        <v>838</v>
      </c>
      <c r="P91" s="17">
        <v>784.85699999999997</v>
      </c>
      <c r="Q91" s="16">
        <v>16.030999999999999</v>
      </c>
      <c r="R91" s="18">
        <v>8.0060000000000006E-2</v>
      </c>
      <c r="S91" s="18">
        <v>4.4830000000000002E-2</v>
      </c>
      <c r="T91" s="18">
        <v>5.1679999999999997E-2</v>
      </c>
      <c r="U91" s="13">
        <v>376</v>
      </c>
      <c r="V91" s="13">
        <v>270</v>
      </c>
      <c r="W91" s="13">
        <v>741</v>
      </c>
      <c r="X91" s="13">
        <v>838</v>
      </c>
      <c r="Y91" s="17">
        <v>791.26499999999999</v>
      </c>
      <c r="Z91" s="16">
        <v>13.933</v>
      </c>
      <c r="AA91" s="18">
        <v>6.166E-2</v>
      </c>
      <c r="AB91" s="18">
        <v>3.6310000000000002E-2</v>
      </c>
      <c r="AC91" s="18">
        <v>3.7409999999999999E-2</v>
      </c>
      <c r="AD91" s="16">
        <v>58.348230257948586</v>
      </c>
    </row>
    <row r="92" spans="2:30" x14ac:dyDescent="0.25">
      <c r="B92" s="13" t="s">
        <v>42</v>
      </c>
      <c r="C92" s="14">
        <v>42517</v>
      </c>
      <c r="D92" s="22">
        <v>0.34913194444444445</v>
      </c>
      <c r="E92" s="13" t="s">
        <v>43</v>
      </c>
      <c r="F92" s="13">
        <v>109.8</v>
      </c>
      <c r="G92" s="13">
        <v>134.19999999999999</v>
      </c>
      <c r="H92" s="13" t="s">
        <v>44</v>
      </c>
      <c r="I92" s="13">
        <v>4000001</v>
      </c>
      <c r="J92" s="17">
        <v>254</v>
      </c>
      <c r="K92" s="13">
        <v>6.4290000000000003</v>
      </c>
      <c r="L92" s="13">
        <v>501</v>
      </c>
      <c r="M92" s="13">
        <v>360</v>
      </c>
      <c r="N92" s="13">
        <v>716</v>
      </c>
      <c r="O92" s="13">
        <v>832</v>
      </c>
      <c r="P92" s="17">
        <v>784.73800000000006</v>
      </c>
      <c r="Q92" s="16">
        <v>16.478000000000002</v>
      </c>
      <c r="R92" s="18">
        <v>7.5230000000000005E-2</v>
      </c>
      <c r="S92" s="18">
        <v>4.3090000000000003E-2</v>
      </c>
      <c r="T92" s="18">
        <v>4.9180000000000001E-2</v>
      </c>
      <c r="U92" s="13">
        <v>376</v>
      </c>
      <c r="V92" s="13">
        <v>270</v>
      </c>
      <c r="W92" s="13">
        <v>734</v>
      </c>
      <c r="X92" s="13">
        <v>832</v>
      </c>
      <c r="Y92" s="17">
        <v>790.97</v>
      </c>
      <c r="Z92" s="16">
        <v>14.771000000000001</v>
      </c>
      <c r="AA92" s="18">
        <v>6.2759999999999996E-2</v>
      </c>
      <c r="AB92" s="18">
        <v>4.0550000000000003E-2</v>
      </c>
      <c r="AC92" s="18">
        <v>3.6560000000000002E-2</v>
      </c>
      <c r="AD92" s="16">
        <v>58.497253356526031</v>
      </c>
    </row>
    <row r="93" spans="2:30" x14ac:dyDescent="0.25">
      <c r="B93" s="13" t="s">
        <v>42</v>
      </c>
      <c r="C93" s="14">
        <v>42520</v>
      </c>
      <c r="D93" s="22">
        <v>0.29707175925925927</v>
      </c>
      <c r="E93" s="13" t="s">
        <v>43</v>
      </c>
      <c r="F93" s="13">
        <v>109.8</v>
      </c>
      <c r="G93" s="13">
        <v>134.19999999999999</v>
      </c>
      <c r="H93" s="13" t="s">
        <v>44</v>
      </c>
      <c r="I93" s="13">
        <v>4000001</v>
      </c>
      <c r="J93" s="17">
        <v>261</v>
      </c>
      <c r="K93" s="13">
        <v>6.4290000000000003</v>
      </c>
      <c r="L93" s="13">
        <v>501</v>
      </c>
      <c r="M93" s="13">
        <v>360</v>
      </c>
      <c r="N93" s="13">
        <v>718</v>
      </c>
      <c r="O93" s="13">
        <v>839</v>
      </c>
      <c r="P93" s="17">
        <v>785.78</v>
      </c>
      <c r="Q93" s="16">
        <v>17.890999999999998</v>
      </c>
      <c r="R93" s="18">
        <v>7.7719999999999997E-2</v>
      </c>
      <c r="S93" s="18">
        <v>5.1880000000000003E-2</v>
      </c>
      <c r="T93" s="18">
        <v>4.7160000000000001E-2</v>
      </c>
      <c r="U93" s="13">
        <v>376</v>
      </c>
      <c r="V93" s="13">
        <v>270</v>
      </c>
      <c r="W93" s="13">
        <v>736</v>
      </c>
      <c r="X93" s="13">
        <v>839</v>
      </c>
      <c r="Y93" s="17">
        <v>792.86599999999999</v>
      </c>
      <c r="Z93" s="16">
        <v>14.996</v>
      </c>
      <c r="AA93" s="18">
        <v>6.54E-2</v>
      </c>
      <c r="AB93" s="18">
        <v>3.7060000000000003E-2</v>
      </c>
      <c r="AC93" s="18">
        <v>4.0559999999999999E-2</v>
      </c>
      <c r="AD93" s="16">
        <v>57.365666630822645</v>
      </c>
    </row>
    <row r="94" spans="2:30" x14ac:dyDescent="0.25">
      <c r="B94" s="13" t="s">
        <v>42</v>
      </c>
      <c r="C94" s="14">
        <v>42521</v>
      </c>
      <c r="D94" s="22">
        <v>0.3270717592592593</v>
      </c>
      <c r="E94" s="13" t="s">
        <v>43</v>
      </c>
      <c r="F94" s="13">
        <v>109.8</v>
      </c>
      <c r="G94" s="13">
        <v>134.19999999999999</v>
      </c>
      <c r="H94" s="13" t="s">
        <v>44</v>
      </c>
      <c r="I94" s="13">
        <v>4000001</v>
      </c>
      <c r="J94" s="17">
        <v>258</v>
      </c>
      <c r="K94" s="13">
        <v>6.4290000000000003</v>
      </c>
      <c r="L94" s="13">
        <v>501</v>
      </c>
      <c r="M94" s="13">
        <v>360</v>
      </c>
      <c r="N94" s="13">
        <v>726</v>
      </c>
      <c r="O94" s="13">
        <v>842</v>
      </c>
      <c r="P94" s="17">
        <v>787.05</v>
      </c>
      <c r="Q94" s="16">
        <v>16.463000000000001</v>
      </c>
      <c r="R94" s="18">
        <v>7.3950000000000002E-2</v>
      </c>
      <c r="S94" s="18">
        <v>4.1050000000000003E-2</v>
      </c>
      <c r="T94" s="18">
        <v>3.9719999999999998E-2</v>
      </c>
      <c r="U94" s="13">
        <v>376</v>
      </c>
      <c r="V94" s="13">
        <v>270</v>
      </c>
      <c r="W94" s="13">
        <v>742</v>
      </c>
      <c r="X94" s="13">
        <v>842</v>
      </c>
      <c r="Y94" s="17">
        <v>793.57799999999997</v>
      </c>
      <c r="Z94" s="16">
        <v>14.53</v>
      </c>
      <c r="AA94" s="18">
        <v>6.3100000000000003E-2</v>
      </c>
      <c r="AB94" s="18">
        <v>3.7620000000000001E-2</v>
      </c>
      <c r="AC94" s="18">
        <v>3.9719999999999998E-2</v>
      </c>
      <c r="AD94" s="16">
        <v>58.180926514736079</v>
      </c>
    </row>
    <row r="95" spans="2:30" x14ac:dyDescent="0.25">
      <c r="B95" s="13" t="s">
        <v>42</v>
      </c>
      <c r="C95" s="14">
        <v>42522</v>
      </c>
      <c r="D95" s="22">
        <v>0.32436342592592593</v>
      </c>
      <c r="E95" s="13" t="s">
        <v>43</v>
      </c>
      <c r="F95" s="13">
        <v>109.8</v>
      </c>
      <c r="G95" s="13">
        <v>134.19999999999999</v>
      </c>
      <c r="H95" s="13" t="s">
        <v>44</v>
      </c>
      <c r="I95" s="13">
        <v>4000001</v>
      </c>
      <c r="J95" s="17">
        <v>259</v>
      </c>
      <c r="K95" s="13">
        <v>6.4290000000000003</v>
      </c>
      <c r="L95" s="13">
        <v>501</v>
      </c>
      <c r="M95" s="13">
        <v>360</v>
      </c>
      <c r="N95" s="13">
        <v>720</v>
      </c>
      <c r="O95" s="13">
        <v>838</v>
      </c>
      <c r="P95" s="17">
        <v>786.05899999999997</v>
      </c>
      <c r="Q95" s="16">
        <v>16.024000000000001</v>
      </c>
      <c r="R95" s="18">
        <v>7.5609999999999997E-2</v>
      </c>
      <c r="S95" s="18">
        <v>3.9969999999999999E-2</v>
      </c>
      <c r="T95" s="18">
        <v>3.8640000000000001E-2</v>
      </c>
      <c r="U95" s="13">
        <v>376</v>
      </c>
      <c r="V95" s="13">
        <v>270</v>
      </c>
      <c r="W95" s="13">
        <v>751</v>
      </c>
      <c r="X95" s="13">
        <v>838</v>
      </c>
      <c r="Y95" s="17">
        <v>791.93299999999999</v>
      </c>
      <c r="Z95" s="16">
        <v>13.105</v>
      </c>
      <c r="AA95" s="18">
        <v>5.475E-2</v>
      </c>
      <c r="AB95" s="18">
        <v>3.7679999999999998E-2</v>
      </c>
      <c r="AC95" s="18">
        <v>3.6110000000000003E-2</v>
      </c>
      <c r="AD95" s="16">
        <v>58.104311803758584</v>
      </c>
    </row>
    <row r="96" spans="2:30" x14ac:dyDescent="0.25">
      <c r="B96" s="13" t="s">
        <v>42</v>
      </c>
      <c r="C96" s="14">
        <v>42523</v>
      </c>
      <c r="D96" s="22">
        <v>0.31908564814814816</v>
      </c>
      <c r="E96" s="13" t="s">
        <v>43</v>
      </c>
      <c r="F96" s="13">
        <v>109.8</v>
      </c>
      <c r="G96" s="13">
        <v>134.19999999999999</v>
      </c>
      <c r="H96" s="13" t="s">
        <v>44</v>
      </c>
      <c r="I96" s="13">
        <v>4000001</v>
      </c>
      <c r="J96" s="17">
        <v>259</v>
      </c>
      <c r="K96" s="13">
        <v>6.4290000000000003</v>
      </c>
      <c r="L96" s="13">
        <v>501</v>
      </c>
      <c r="M96" s="13">
        <v>360</v>
      </c>
      <c r="N96" s="13">
        <v>728</v>
      </c>
      <c r="O96" s="13">
        <v>835</v>
      </c>
      <c r="P96" s="17">
        <v>786.45899999999995</v>
      </c>
      <c r="Q96" s="16">
        <v>15.818</v>
      </c>
      <c r="R96" s="18">
        <v>6.8659999999999999E-2</v>
      </c>
      <c r="S96" s="18">
        <v>4.2799999999999998E-2</v>
      </c>
      <c r="T96" s="18">
        <v>4.5319999999999999E-2</v>
      </c>
      <c r="U96" s="13">
        <v>376</v>
      </c>
      <c r="V96" s="13">
        <v>270</v>
      </c>
      <c r="W96" s="13">
        <v>751</v>
      </c>
      <c r="X96" s="13">
        <v>835</v>
      </c>
      <c r="Y96" s="17">
        <v>793.1</v>
      </c>
      <c r="Z96" s="16">
        <v>13.093</v>
      </c>
      <c r="AA96" s="18">
        <v>5.3429999999999998E-2</v>
      </c>
      <c r="AB96" s="18">
        <v>3.814E-2</v>
      </c>
      <c r="AC96" s="18">
        <v>4.5319999999999999E-2</v>
      </c>
      <c r="AD96" s="16">
        <v>58.252711927420023</v>
      </c>
    </row>
    <row r="97" spans="2:30" x14ac:dyDescent="0.25">
      <c r="B97" s="13" t="s">
        <v>42</v>
      </c>
      <c r="C97" s="14">
        <v>42524</v>
      </c>
      <c r="D97" s="22">
        <v>0.33212962962962961</v>
      </c>
      <c r="E97" s="13" t="s">
        <v>43</v>
      </c>
      <c r="F97" s="13">
        <v>109.8</v>
      </c>
      <c r="G97" s="13">
        <v>134.19999999999999</v>
      </c>
      <c r="H97" s="13" t="s">
        <v>44</v>
      </c>
      <c r="I97" s="13">
        <v>4000001</v>
      </c>
      <c r="J97" s="17">
        <v>260</v>
      </c>
      <c r="K97" s="13">
        <v>6.4290000000000003</v>
      </c>
      <c r="L97" s="13">
        <v>501</v>
      </c>
      <c r="M97" s="13">
        <v>360</v>
      </c>
      <c r="N97" s="13">
        <v>713</v>
      </c>
      <c r="O97" s="13">
        <v>840</v>
      </c>
      <c r="P97" s="17">
        <v>784.755</v>
      </c>
      <c r="Q97" s="16">
        <v>17.734999999999999</v>
      </c>
      <c r="R97" s="18">
        <v>8.1739999999999993E-2</v>
      </c>
      <c r="S97" s="18">
        <v>4.6920000000000003E-2</v>
      </c>
      <c r="T97" s="18">
        <v>3.8899999999999997E-2</v>
      </c>
      <c r="U97" s="13">
        <v>376</v>
      </c>
      <c r="V97" s="13">
        <v>270</v>
      </c>
      <c r="W97" s="13">
        <v>739</v>
      </c>
      <c r="X97" s="13">
        <v>840</v>
      </c>
      <c r="Y97" s="17">
        <v>792.07600000000002</v>
      </c>
      <c r="Z97" s="16">
        <v>14.606999999999999</v>
      </c>
      <c r="AA97" s="18">
        <v>6.3420000000000004E-2</v>
      </c>
      <c r="AB97" s="18">
        <v>4.6920000000000003E-2</v>
      </c>
      <c r="AC97" s="18">
        <v>3.8649999999999997E-2</v>
      </c>
      <c r="AD97" s="16">
        <v>58.176869949870515</v>
      </c>
    </row>
    <row r="98" spans="2:30" x14ac:dyDescent="0.25">
      <c r="B98" s="13" t="s">
        <v>42</v>
      </c>
      <c r="C98" s="14">
        <v>42528</v>
      </c>
      <c r="D98" s="22">
        <v>0.32442129629629629</v>
      </c>
      <c r="E98" s="13" t="s">
        <v>43</v>
      </c>
      <c r="F98" s="13">
        <v>109.8</v>
      </c>
      <c r="G98" s="13">
        <v>134.19999999999999</v>
      </c>
      <c r="H98" s="13" t="s">
        <v>44</v>
      </c>
      <c r="I98" s="13">
        <v>4000001</v>
      </c>
      <c r="J98" s="17">
        <v>268</v>
      </c>
      <c r="K98" s="13">
        <v>6.4290000000000003</v>
      </c>
      <c r="L98" s="13">
        <v>501</v>
      </c>
      <c r="M98" s="13">
        <v>360</v>
      </c>
      <c r="N98" s="13">
        <v>716</v>
      </c>
      <c r="O98" s="13">
        <v>848</v>
      </c>
      <c r="P98" s="17">
        <v>790.23299999999995</v>
      </c>
      <c r="Q98" s="16">
        <v>17.015999999999998</v>
      </c>
      <c r="R98" s="18">
        <v>8.4470000000000003E-2</v>
      </c>
      <c r="S98" s="18">
        <v>4.4900000000000002E-2</v>
      </c>
      <c r="T98" s="18">
        <v>5.3339999999999999E-2</v>
      </c>
      <c r="U98" s="13">
        <v>376</v>
      </c>
      <c r="V98" s="13">
        <v>270</v>
      </c>
      <c r="W98" s="13">
        <v>738</v>
      </c>
      <c r="X98" s="13">
        <v>842</v>
      </c>
      <c r="Y98" s="17">
        <v>797.18299999999999</v>
      </c>
      <c r="Z98" s="16">
        <v>14.574999999999999</v>
      </c>
      <c r="AA98" s="18">
        <v>6.6030000000000005E-2</v>
      </c>
      <c r="AB98" s="18">
        <v>3.9739999999999998E-2</v>
      </c>
      <c r="AC98" s="18">
        <v>3.6740000000000002E-2</v>
      </c>
      <c r="AD98" s="16">
        <v>57.019059923004889</v>
      </c>
    </row>
    <row r="99" spans="2:30" x14ac:dyDescent="0.25">
      <c r="B99" s="13" t="s">
        <v>42</v>
      </c>
      <c r="C99" s="14">
        <v>42529</v>
      </c>
      <c r="D99" s="22">
        <v>0.31726851851851851</v>
      </c>
      <c r="E99" s="13" t="s">
        <v>43</v>
      </c>
      <c r="F99" s="13">
        <v>109.8</v>
      </c>
      <c r="G99" s="13">
        <v>134.19999999999999</v>
      </c>
      <c r="H99" s="13" t="s">
        <v>44</v>
      </c>
      <c r="I99" s="13">
        <v>4000001</v>
      </c>
      <c r="J99" s="17">
        <v>263</v>
      </c>
      <c r="K99" s="13">
        <v>6.4290000000000003</v>
      </c>
      <c r="L99" s="13">
        <v>501</v>
      </c>
      <c r="M99" s="13">
        <v>360</v>
      </c>
      <c r="N99" s="13">
        <v>722</v>
      </c>
      <c r="O99" s="13">
        <v>843</v>
      </c>
      <c r="P99" s="17">
        <v>785</v>
      </c>
      <c r="Q99" s="16">
        <v>16.488</v>
      </c>
      <c r="R99" s="18">
        <v>7.7600000000000002E-2</v>
      </c>
      <c r="S99" s="18">
        <v>4.4560000000000002E-2</v>
      </c>
      <c r="T99" s="18">
        <v>4.3740000000000001E-2</v>
      </c>
      <c r="U99" s="13">
        <v>376</v>
      </c>
      <c r="V99" s="13">
        <v>270</v>
      </c>
      <c r="W99" s="13">
        <v>746</v>
      </c>
      <c r="X99" s="13">
        <v>843</v>
      </c>
      <c r="Y99" s="17">
        <v>791.69200000000001</v>
      </c>
      <c r="Z99" s="16">
        <v>14.129</v>
      </c>
      <c r="AA99" s="18">
        <v>6.13E-2</v>
      </c>
      <c r="AB99" s="18">
        <v>3.9919999999999997E-2</v>
      </c>
      <c r="AC99" s="18">
        <v>3.5299999999999998E-2</v>
      </c>
      <c r="AD99" s="16">
        <v>58.25146942743379</v>
      </c>
    </row>
    <row r="100" spans="2:30" x14ac:dyDescent="0.25">
      <c r="B100" s="13" t="s">
        <v>42</v>
      </c>
      <c r="C100" s="14">
        <v>42530</v>
      </c>
      <c r="D100" s="22">
        <v>0.31152777777777779</v>
      </c>
      <c r="E100" s="13" t="s">
        <v>43</v>
      </c>
      <c r="F100" s="13">
        <v>109.8</v>
      </c>
      <c r="G100" s="13">
        <v>134.19999999999999</v>
      </c>
      <c r="H100" s="13" t="s">
        <v>44</v>
      </c>
      <c r="I100" s="13">
        <v>4000001</v>
      </c>
      <c r="J100" s="17">
        <v>263</v>
      </c>
      <c r="K100" s="13">
        <v>6.4290000000000003</v>
      </c>
      <c r="L100" s="13">
        <v>501</v>
      </c>
      <c r="M100" s="13">
        <v>360</v>
      </c>
      <c r="N100" s="13">
        <v>733</v>
      </c>
      <c r="O100" s="13">
        <v>839</v>
      </c>
      <c r="P100" s="17">
        <v>785.35500000000002</v>
      </c>
      <c r="Q100" s="16">
        <v>15.814</v>
      </c>
      <c r="R100" s="18">
        <v>6.7320000000000005E-2</v>
      </c>
      <c r="S100" s="18">
        <v>4.1669999999999999E-2</v>
      </c>
      <c r="T100" s="18">
        <v>3.9449999999999999E-2</v>
      </c>
      <c r="U100" s="13">
        <v>376</v>
      </c>
      <c r="V100" s="13">
        <v>270</v>
      </c>
      <c r="W100" s="13">
        <v>744</v>
      </c>
      <c r="X100" s="13">
        <v>839</v>
      </c>
      <c r="Y100" s="17">
        <v>791.45500000000004</v>
      </c>
      <c r="Z100" s="16">
        <v>13.755000000000001</v>
      </c>
      <c r="AA100" s="18">
        <v>5.9760000000000001E-2</v>
      </c>
      <c r="AB100" s="18">
        <v>3.4979999999999997E-2</v>
      </c>
      <c r="AC100" s="18">
        <v>3.5650000000000001E-2</v>
      </c>
      <c r="AD100" s="16">
        <v>58.400245396000251</v>
      </c>
    </row>
    <row r="101" spans="2:30" x14ac:dyDescent="0.25">
      <c r="B101" s="13" t="s">
        <v>42</v>
      </c>
      <c r="C101" s="14">
        <v>42531</v>
      </c>
      <c r="D101" s="22">
        <v>0.36278935185185185</v>
      </c>
      <c r="E101" s="13" t="s">
        <v>43</v>
      </c>
      <c r="F101" s="13">
        <v>109.8</v>
      </c>
      <c r="G101" s="13">
        <v>134.19999999999999</v>
      </c>
      <c r="H101" s="13" t="s">
        <v>44</v>
      </c>
      <c r="I101" s="13">
        <v>4000001</v>
      </c>
      <c r="J101" s="17">
        <v>264</v>
      </c>
      <c r="K101" s="13">
        <v>6.4290000000000003</v>
      </c>
      <c r="L101" s="13">
        <v>501</v>
      </c>
      <c r="M101" s="13">
        <v>360</v>
      </c>
      <c r="N101" s="13">
        <v>707</v>
      </c>
      <c r="O101" s="13">
        <v>831</v>
      </c>
      <c r="P101" s="17">
        <v>785.85900000000004</v>
      </c>
      <c r="Q101" s="16">
        <v>16.262</v>
      </c>
      <c r="R101" s="18">
        <v>8.1030000000000005E-2</v>
      </c>
      <c r="S101" s="18">
        <v>4.3839999999999997E-2</v>
      </c>
      <c r="T101" s="18">
        <v>4.5600000000000002E-2</v>
      </c>
      <c r="U101" s="13">
        <v>376</v>
      </c>
      <c r="V101" s="13">
        <v>270</v>
      </c>
      <c r="W101" s="13">
        <v>746</v>
      </c>
      <c r="X101" s="13">
        <v>831</v>
      </c>
      <c r="Y101" s="17">
        <v>791.85</v>
      </c>
      <c r="Z101" s="16">
        <v>14.002000000000001</v>
      </c>
      <c r="AA101" s="18">
        <v>5.432E-2</v>
      </c>
      <c r="AB101" s="18">
        <v>3.7289999999999997E-2</v>
      </c>
      <c r="AC101" s="18">
        <v>4.1090000000000002E-2</v>
      </c>
      <c r="AD101" s="16">
        <v>58.327623307382979</v>
      </c>
    </row>
    <row r="102" spans="2:30" x14ac:dyDescent="0.25">
      <c r="B102" s="13" t="s">
        <v>42</v>
      </c>
      <c r="C102" s="14">
        <v>42534</v>
      </c>
      <c r="D102" s="22">
        <v>0.30900462962962966</v>
      </c>
      <c r="E102" s="13" t="s">
        <v>43</v>
      </c>
      <c r="F102" s="13">
        <v>109.8</v>
      </c>
      <c r="G102" s="13">
        <v>134.19999999999999</v>
      </c>
      <c r="H102" s="13" t="s">
        <v>44</v>
      </c>
      <c r="I102" s="13">
        <v>4000001</v>
      </c>
      <c r="J102" s="17">
        <v>270</v>
      </c>
      <c r="K102" s="13">
        <v>6.4290000000000003</v>
      </c>
      <c r="L102" s="13">
        <v>501</v>
      </c>
      <c r="M102" s="13">
        <v>360</v>
      </c>
      <c r="N102" s="13">
        <v>726</v>
      </c>
      <c r="O102" s="13">
        <v>843</v>
      </c>
      <c r="P102" s="17">
        <v>784.99800000000005</v>
      </c>
      <c r="Q102" s="16">
        <v>17.457999999999998</v>
      </c>
      <c r="R102" s="18">
        <v>7.4459999999999998E-2</v>
      </c>
      <c r="S102" s="18">
        <v>4.1349999999999998E-2</v>
      </c>
      <c r="T102" s="18">
        <v>4.9390000000000003E-2</v>
      </c>
      <c r="U102" s="13">
        <v>376</v>
      </c>
      <c r="V102" s="13">
        <v>270</v>
      </c>
      <c r="W102" s="13">
        <v>740</v>
      </c>
      <c r="X102" s="13">
        <v>843</v>
      </c>
      <c r="Y102" s="17">
        <v>792.447</v>
      </c>
      <c r="Z102" s="16">
        <v>14.868</v>
      </c>
      <c r="AA102" s="18">
        <v>6.5500000000000003E-2</v>
      </c>
      <c r="AB102" s="18">
        <v>4.1349999999999998E-2</v>
      </c>
      <c r="AC102" s="18">
        <v>3.8719999999999997E-2</v>
      </c>
      <c r="AD102" s="16">
        <v>57.469550949526869</v>
      </c>
    </row>
    <row r="103" spans="2:30" x14ac:dyDescent="0.25">
      <c r="B103" s="13" t="s">
        <v>42</v>
      </c>
      <c r="C103" s="14">
        <v>42535</v>
      </c>
      <c r="D103" s="22">
        <v>0.3024189814814815</v>
      </c>
      <c r="E103" s="13" t="s">
        <v>43</v>
      </c>
      <c r="F103" s="13">
        <v>109.8</v>
      </c>
      <c r="G103" s="13">
        <v>134.19999999999999</v>
      </c>
      <c r="H103" s="13" t="s">
        <v>44</v>
      </c>
      <c r="I103" s="13">
        <v>4000001</v>
      </c>
      <c r="J103" s="17">
        <v>266</v>
      </c>
      <c r="K103" s="13">
        <v>6.4290000000000003</v>
      </c>
      <c r="L103" s="13">
        <v>501</v>
      </c>
      <c r="M103" s="13">
        <v>360</v>
      </c>
      <c r="N103" s="13">
        <v>715</v>
      </c>
      <c r="O103" s="13">
        <v>840</v>
      </c>
      <c r="P103" s="17">
        <v>785.952</v>
      </c>
      <c r="Q103" s="16">
        <v>16.48</v>
      </c>
      <c r="R103" s="18">
        <v>8.0280000000000004E-2</v>
      </c>
      <c r="S103" s="18">
        <v>4.165E-2</v>
      </c>
      <c r="T103" s="18">
        <v>4.0849999999999997E-2</v>
      </c>
      <c r="U103" s="13">
        <v>376</v>
      </c>
      <c r="V103" s="13">
        <v>270</v>
      </c>
      <c r="W103" s="13">
        <v>741</v>
      </c>
      <c r="X103" s="13">
        <v>840</v>
      </c>
      <c r="Y103" s="17">
        <v>792.64499999999998</v>
      </c>
      <c r="Z103" s="16">
        <v>14.542</v>
      </c>
      <c r="AA103" s="18">
        <v>6.2920000000000004E-2</v>
      </c>
      <c r="AB103" s="18">
        <v>4.165E-2</v>
      </c>
      <c r="AC103" s="18">
        <v>4.0849999999999997E-2</v>
      </c>
      <c r="AD103" s="16">
        <v>58.482740850839349</v>
      </c>
    </row>
    <row r="104" spans="2:30" x14ac:dyDescent="0.25">
      <c r="B104" s="13" t="s">
        <v>42</v>
      </c>
      <c r="C104" s="14">
        <v>42536</v>
      </c>
      <c r="D104" s="22">
        <v>0.31393518518518521</v>
      </c>
      <c r="E104" s="13" t="s">
        <v>43</v>
      </c>
      <c r="F104" s="13">
        <v>109.8</v>
      </c>
      <c r="G104" s="13">
        <v>134.19999999999999</v>
      </c>
      <c r="H104" s="13" t="s">
        <v>44</v>
      </c>
      <c r="I104" s="13">
        <v>4000001</v>
      </c>
      <c r="J104" s="17">
        <v>266</v>
      </c>
      <c r="K104" s="13">
        <v>6.4290000000000003</v>
      </c>
      <c r="L104" s="13">
        <v>501</v>
      </c>
      <c r="M104" s="13">
        <v>360</v>
      </c>
      <c r="N104" s="13">
        <v>718</v>
      </c>
      <c r="O104" s="13">
        <v>837</v>
      </c>
      <c r="P104" s="17">
        <v>785.04100000000005</v>
      </c>
      <c r="Q104" s="16">
        <v>16.449000000000002</v>
      </c>
      <c r="R104" s="18">
        <v>7.6630000000000004E-2</v>
      </c>
      <c r="S104" s="18">
        <v>4.2169999999999999E-2</v>
      </c>
      <c r="T104" s="18">
        <v>4.1459999999999997E-2</v>
      </c>
      <c r="U104" s="13">
        <v>376</v>
      </c>
      <c r="V104" s="13">
        <v>270</v>
      </c>
      <c r="W104" s="13">
        <v>747</v>
      </c>
      <c r="X104" s="13">
        <v>837</v>
      </c>
      <c r="Y104" s="17">
        <v>792.09100000000001</v>
      </c>
      <c r="Z104" s="16">
        <v>14.199</v>
      </c>
      <c r="AA104" s="18">
        <v>5.67E-2</v>
      </c>
      <c r="AB104" s="18">
        <v>3.4590000000000003E-2</v>
      </c>
      <c r="AC104" s="18">
        <v>3.5740000000000001E-2</v>
      </c>
      <c r="AD104" s="16">
        <v>58.63210749343272</v>
      </c>
    </row>
    <row r="105" spans="2:30" x14ac:dyDescent="0.25">
      <c r="B105" s="13" t="s">
        <v>42</v>
      </c>
      <c r="C105" s="14">
        <v>42537</v>
      </c>
      <c r="D105" s="22">
        <v>0.3129513888888889</v>
      </c>
      <c r="E105" s="13" t="s">
        <v>43</v>
      </c>
      <c r="F105" s="13">
        <v>109.8</v>
      </c>
      <c r="G105" s="13">
        <v>134.19999999999999</v>
      </c>
      <c r="H105" s="13" t="s">
        <v>44</v>
      </c>
      <c r="I105" s="13">
        <v>4000001</v>
      </c>
      <c r="J105" s="17">
        <v>267</v>
      </c>
      <c r="K105" s="13">
        <v>6.4290000000000003</v>
      </c>
      <c r="L105" s="13">
        <v>501</v>
      </c>
      <c r="M105" s="13">
        <v>360</v>
      </c>
      <c r="N105" s="13">
        <v>716</v>
      </c>
      <c r="O105" s="13">
        <v>837</v>
      </c>
      <c r="P105" s="17">
        <v>784.52700000000004</v>
      </c>
      <c r="Q105" s="16">
        <v>15.907999999999999</v>
      </c>
      <c r="R105" s="18">
        <v>7.8450000000000006E-2</v>
      </c>
      <c r="S105" s="18">
        <v>5.1229999999999998E-2</v>
      </c>
      <c r="T105" s="18">
        <v>4.7989999999999998E-2</v>
      </c>
      <c r="U105" s="13">
        <v>376</v>
      </c>
      <c r="V105" s="13">
        <v>270</v>
      </c>
      <c r="W105" s="13">
        <v>744</v>
      </c>
      <c r="X105" s="13">
        <v>837</v>
      </c>
      <c r="Y105" s="17">
        <v>790.85900000000004</v>
      </c>
      <c r="Z105" s="16">
        <v>13.28</v>
      </c>
      <c r="AA105" s="18">
        <v>5.9130000000000002E-2</v>
      </c>
      <c r="AB105" s="18">
        <v>3.3360000000000001E-2</v>
      </c>
      <c r="AC105" s="18">
        <v>3.7109999999999997E-2</v>
      </c>
      <c r="AD105" s="16">
        <v>58.561698860198149</v>
      </c>
    </row>
    <row r="106" spans="2:30" x14ac:dyDescent="0.25">
      <c r="B106" s="13" t="s">
        <v>42</v>
      </c>
      <c r="C106" s="14">
        <v>42538</v>
      </c>
      <c r="D106" s="22">
        <v>0.31437500000000002</v>
      </c>
      <c r="E106" s="13" t="s">
        <v>43</v>
      </c>
      <c r="F106" s="13">
        <v>109.8</v>
      </c>
      <c r="G106" s="13">
        <v>134.19999999999999</v>
      </c>
      <c r="H106" s="13" t="s">
        <v>44</v>
      </c>
      <c r="I106" s="13">
        <v>4000001</v>
      </c>
      <c r="J106" s="17">
        <v>268</v>
      </c>
      <c r="K106" s="13">
        <v>6.4290000000000003</v>
      </c>
      <c r="L106" s="13">
        <v>501</v>
      </c>
      <c r="M106" s="13">
        <v>360</v>
      </c>
      <c r="N106" s="13">
        <v>726</v>
      </c>
      <c r="O106" s="13">
        <v>840</v>
      </c>
      <c r="P106" s="17">
        <v>785.38199999999995</v>
      </c>
      <c r="Q106" s="16">
        <v>16.010000000000002</v>
      </c>
      <c r="R106" s="18">
        <v>7.3230000000000003E-2</v>
      </c>
      <c r="S106" s="18">
        <v>5.2130000000000003E-2</v>
      </c>
      <c r="T106" s="18">
        <v>4.3520000000000003E-2</v>
      </c>
      <c r="U106" s="13">
        <v>376</v>
      </c>
      <c r="V106" s="13">
        <v>270</v>
      </c>
      <c r="W106" s="13">
        <v>744</v>
      </c>
      <c r="X106" s="13">
        <v>840</v>
      </c>
      <c r="Y106" s="17">
        <v>791.49699999999996</v>
      </c>
      <c r="Z106" s="16">
        <v>13.821999999999999</v>
      </c>
      <c r="AA106" s="18">
        <v>6.105E-2</v>
      </c>
      <c r="AB106" s="18">
        <v>3.9239999999999997E-2</v>
      </c>
      <c r="AC106" s="18">
        <v>4.1579999999999999E-2</v>
      </c>
      <c r="AD106" s="16">
        <v>58.492195271470408</v>
      </c>
    </row>
    <row r="107" spans="2:30" x14ac:dyDescent="0.25">
      <c r="B107" s="13" t="s">
        <v>42</v>
      </c>
      <c r="C107" s="14">
        <v>42541</v>
      </c>
      <c r="D107" s="22">
        <v>0.30548611111111112</v>
      </c>
      <c r="E107" s="13" t="s">
        <v>43</v>
      </c>
      <c r="F107" s="13">
        <v>109.8</v>
      </c>
      <c r="G107" s="13">
        <v>134.19999999999999</v>
      </c>
      <c r="H107" s="13" t="s">
        <v>44</v>
      </c>
      <c r="I107" s="13">
        <v>4000001</v>
      </c>
      <c r="J107" s="17">
        <v>274</v>
      </c>
      <c r="K107" s="13">
        <v>6.4290000000000003</v>
      </c>
      <c r="L107" s="13">
        <v>501</v>
      </c>
      <c r="M107" s="13">
        <v>360</v>
      </c>
      <c r="N107" s="13">
        <v>721</v>
      </c>
      <c r="O107" s="13">
        <v>837</v>
      </c>
      <c r="P107" s="17">
        <v>785.20600000000002</v>
      </c>
      <c r="Q107" s="16">
        <v>17.143999999999998</v>
      </c>
      <c r="R107" s="18">
        <v>7.4230000000000004E-2</v>
      </c>
      <c r="S107" s="18">
        <v>4.2479999999999997E-2</v>
      </c>
      <c r="T107" s="18">
        <v>4.7849999999999997E-2</v>
      </c>
      <c r="U107" s="13">
        <v>376</v>
      </c>
      <c r="V107" s="13">
        <v>270</v>
      </c>
      <c r="W107" s="13">
        <v>733</v>
      </c>
      <c r="X107" s="13">
        <v>837</v>
      </c>
      <c r="Y107" s="17">
        <v>791.83399999999995</v>
      </c>
      <c r="Z107" s="16">
        <v>15.006</v>
      </c>
      <c r="AA107" s="18">
        <v>6.6379999999999995E-2</v>
      </c>
      <c r="AB107" s="18">
        <v>3.3590000000000002E-2</v>
      </c>
      <c r="AC107" s="18">
        <v>3.866E-2</v>
      </c>
      <c r="AD107" s="16">
        <v>57.650823188389573</v>
      </c>
    </row>
    <row r="108" spans="2:30" x14ac:dyDescent="0.25">
      <c r="B108" s="13" t="s">
        <v>42</v>
      </c>
      <c r="C108" s="14">
        <v>42542</v>
      </c>
      <c r="D108" s="22">
        <v>0.30079861111111111</v>
      </c>
      <c r="E108" s="13" t="s">
        <v>43</v>
      </c>
      <c r="F108" s="13">
        <v>109.8</v>
      </c>
      <c r="G108" s="13">
        <v>134.19999999999999</v>
      </c>
      <c r="H108" s="13" t="s">
        <v>44</v>
      </c>
      <c r="I108" s="13">
        <v>4000001</v>
      </c>
      <c r="J108" s="17">
        <v>270</v>
      </c>
      <c r="K108" s="13">
        <v>6.4290000000000003</v>
      </c>
      <c r="L108" s="13">
        <v>501</v>
      </c>
      <c r="M108" s="13">
        <v>360</v>
      </c>
      <c r="N108" s="13">
        <v>728</v>
      </c>
      <c r="O108" s="13">
        <v>837</v>
      </c>
      <c r="P108" s="17">
        <v>784.74099999999999</v>
      </c>
      <c r="Q108" s="16">
        <v>15.923999999999999</v>
      </c>
      <c r="R108" s="18">
        <v>6.9379999999999997E-2</v>
      </c>
      <c r="S108" s="18">
        <v>5.0880000000000002E-2</v>
      </c>
      <c r="T108" s="18">
        <v>4.0629999999999999E-2</v>
      </c>
      <c r="U108" s="13">
        <v>376</v>
      </c>
      <c r="V108" s="13">
        <v>270</v>
      </c>
      <c r="W108" s="13">
        <v>747</v>
      </c>
      <c r="X108" s="13">
        <v>837</v>
      </c>
      <c r="Y108" s="17">
        <v>791.16899999999998</v>
      </c>
      <c r="Z108" s="16">
        <v>13.946999999999999</v>
      </c>
      <c r="AA108" s="18">
        <v>5.6829999999999999E-2</v>
      </c>
      <c r="AB108" s="18">
        <v>3.7629999999999997E-2</v>
      </c>
      <c r="AC108" s="18">
        <v>3.8089999999999999E-2</v>
      </c>
      <c r="AD108" s="16">
        <v>58.654332719715789</v>
      </c>
    </row>
    <row r="109" spans="2:30" x14ac:dyDescent="0.25">
      <c r="B109" s="13" t="s">
        <v>42</v>
      </c>
      <c r="C109" s="14">
        <v>42543</v>
      </c>
      <c r="D109" s="22">
        <v>0.30865740740740738</v>
      </c>
      <c r="E109" s="13" t="s">
        <v>43</v>
      </c>
      <c r="F109" s="13">
        <v>109.8</v>
      </c>
      <c r="G109" s="13">
        <v>134.19999999999999</v>
      </c>
      <c r="H109" s="13" t="s">
        <v>44</v>
      </c>
      <c r="I109" s="13">
        <v>4000001</v>
      </c>
      <c r="J109" s="17">
        <v>272</v>
      </c>
      <c r="K109" s="13">
        <v>6.4290000000000003</v>
      </c>
      <c r="L109" s="13">
        <v>501</v>
      </c>
      <c r="M109" s="13">
        <v>360</v>
      </c>
      <c r="N109" s="13">
        <v>725</v>
      </c>
      <c r="O109" s="13">
        <v>840</v>
      </c>
      <c r="P109" s="17">
        <v>784.83699999999999</v>
      </c>
      <c r="Q109" s="16">
        <v>16.184999999999999</v>
      </c>
      <c r="R109" s="18">
        <v>7.3499999999999996E-2</v>
      </c>
      <c r="S109" s="18">
        <v>4.2009999999999999E-2</v>
      </c>
      <c r="T109" s="18">
        <v>4.5150000000000003E-2</v>
      </c>
      <c r="U109" s="13">
        <v>376</v>
      </c>
      <c r="V109" s="13">
        <v>270</v>
      </c>
      <c r="W109" s="13">
        <v>743</v>
      </c>
      <c r="X109" s="13">
        <v>840</v>
      </c>
      <c r="Y109" s="17">
        <v>790.99599999999998</v>
      </c>
      <c r="Z109" s="16">
        <v>14.555999999999999</v>
      </c>
      <c r="AA109" s="18">
        <v>6.1449999999999998E-2</v>
      </c>
      <c r="AB109" s="18">
        <v>3.7010000000000001E-2</v>
      </c>
      <c r="AC109" s="18">
        <v>4.2999999999999997E-2</v>
      </c>
      <c r="AD109" s="16">
        <v>58.37175424819462</v>
      </c>
    </row>
    <row r="110" spans="2:30" x14ac:dyDescent="0.25">
      <c r="B110" s="13" t="s">
        <v>42</v>
      </c>
      <c r="C110" s="14">
        <v>42544</v>
      </c>
      <c r="D110" s="22">
        <v>0.2945949074074074</v>
      </c>
      <c r="E110" s="13" t="s">
        <v>43</v>
      </c>
      <c r="F110" s="13">
        <v>109.8</v>
      </c>
      <c r="G110" s="13">
        <v>134.19999999999999</v>
      </c>
      <c r="H110" s="13" t="s">
        <v>44</v>
      </c>
      <c r="I110" s="13">
        <v>4000001</v>
      </c>
      <c r="J110" s="17">
        <v>272</v>
      </c>
      <c r="K110" s="13">
        <v>6.4290000000000003</v>
      </c>
      <c r="L110" s="13">
        <v>501</v>
      </c>
      <c r="M110" s="13">
        <v>360</v>
      </c>
      <c r="N110" s="13">
        <v>732</v>
      </c>
      <c r="O110" s="13">
        <v>837</v>
      </c>
      <c r="P110" s="17">
        <v>784.81399999999996</v>
      </c>
      <c r="Q110" s="16">
        <v>16.245000000000001</v>
      </c>
      <c r="R110" s="18">
        <v>6.6960000000000006E-2</v>
      </c>
      <c r="S110" s="18">
        <v>4.7539999999999999E-2</v>
      </c>
      <c r="T110" s="18">
        <v>4.233E-2</v>
      </c>
      <c r="U110" s="13">
        <v>376</v>
      </c>
      <c r="V110" s="13">
        <v>270</v>
      </c>
      <c r="W110" s="13">
        <v>745</v>
      </c>
      <c r="X110" s="13">
        <v>837</v>
      </c>
      <c r="Y110" s="17">
        <v>790.62199999999996</v>
      </c>
      <c r="Z110" s="16">
        <v>14.2</v>
      </c>
      <c r="AA110" s="18">
        <v>5.824E-2</v>
      </c>
      <c r="AB110" s="18">
        <v>3.5659999999999997E-2</v>
      </c>
      <c r="AC110" s="18">
        <v>0.04</v>
      </c>
      <c r="AD110" s="16">
        <v>58.520837427736005</v>
      </c>
    </row>
    <row r="111" spans="2:30" x14ac:dyDescent="0.25">
      <c r="B111" s="13" t="s">
        <v>42</v>
      </c>
      <c r="C111" s="14">
        <v>42549</v>
      </c>
      <c r="D111" s="22">
        <v>0.31300925925925926</v>
      </c>
      <c r="E111" s="13" t="s">
        <v>43</v>
      </c>
      <c r="F111" s="13">
        <v>109.8</v>
      </c>
      <c r="G111" s="13">
        <v>134.19999999999999</v>
      </c>
      <c r="H111" s="13" t="s">
        <v>44</v>
      </c>
      <c r="I111" s="13">
        <v>4000001</v>
      </c>
      <c r="J111" s="17">
        <v>275</v>
      </c>
      <c r="K111" s="13">
        <v>6.4290000000000003</v>
      </c>
      <c r="L111" s="13">
        <v>501</v>
      </c>
      <c r="M111" s="13">
        <v>360</v>
      </c>
      <c r="N111" s="13">
        <v>724</v>
      </c>
      <c r="O111" s="13">
        <v>847</v>
      </c>
      <c r="P111" s="17">
        <v>785.26900000000001</v>
      </c>
      <c r="Q111" s="16">
        <v>15.106</v>
      </c>
      <c r="R111" s="18">
        <v>7.8259999999999996E-2</v>
      </c>
      <c r="S111" s="18">
        <v>4.5359999999999998E-2</v>
      </c>
      <c r="T111" s="18">
        <v>4.3569999999999998E-2</v>
      </c>
      <c r="U111" s="13">
        <v>376</v>
      </c>
      <c r="V111" s="13">
        <v>270</v>
      </c>
      <c r="W111" s="13">
        <v>749</v>
      </c>
      <c r="X111" s="13">
        <v>847</v>
      </c>
      <c r="Y111" s="17">
        <v>790.48199999999997</v>
      </c>
      <c r="Z111" s="16">
        <v>13.499000000000001</v>
      </c>
      <c r="AA111" s="18">
        <v>6.1039999999999997E-2</v>
      </c>
      <c r="AB111" s="18">
        <v>3.3619999999999997E-2</v>
      </c>
      <c r="AC111" s="18">
        <v>4.3569999999999998E-2</v>
      </c>
      <c r="AD111" s="16">
        <v>58.625380790200246</v>
      </c>
    </row>
    <row r="112" spans="2:30" x14ac:dyDescent="0.25">
      <c r="B112" s="13" t="s">
        <v>42</v>
      </c>
      <c r="C112" s="14">
        <v>42550</v>
      </c>
      <c r="D112" s="22">
        <v>0.31282407407407409</v>
      </c>
      <c r="E112" s="13" t="s">
        <v>43</v>
      </c>
      <c r="F112" s="13">
        <v>109.8</v>
      </c>
      <c r="G112" s="13">
        <v>134.19999999999999</v>
      </c>
      <c r="H112" s="13" t="s">
        <v>44</v>
      </c>
      <c r="I112" s="13">
        <v>4000001</v>
      </c>
      <c r="J112" s="17">
        <v>276</v>
      </c>
      <c r="K112" s="13">
        <v>6.4290000000000003</v>
      </c>
      <c r="L112" s="13">
        <v>501</v>
      </c>
      <c r="M112" s="13">
        <v>360</v>
      </c>
      <c r="N112" s="13">
        <v>720</v>
      </c>
      <c r="O112" s="13">
        <v>840</v>
      </c>
      <c r="P112" s="17">
        <v>784.83299999999997</v>
      </c>
      <c r="Q112" s="16">
        <v>16.327999999999999</v>
      </c>
      <c r="R112" s="18">
        <v>7.7340000000000006E-2</v>
      </c>
      <c r="S112" s="18">
        <v>5.738E-2</v>
      </c>
      <c r="T112" s="18">
        <v>5.5030000000000003E-2</v>
      </c>
      <c r="U112" s="13">
        <v>376</v>
      </c>
      <c r="V112" s="13">
        <v>270</v>
      </c>
      <c r="W112" s="13">
        <v>739</v>
      </c>
      <c r="X112" s="13">
        <v>840</v>
      </c>
      <c r="Y112" s="17">
        <v>791.19200000000001</v>
      </c>
      <c r="Z112" s="16">
        <v>13.942</v>
      </c>
      <c r="AA112" s="18">
        <v>6.3750000000000001E-2</v>
      </c>
      <c r="AB112" s="18">
        <v>3.465E-2</v>
      </c>
      <c r="AC112" s="18">
        <v>3.6670000000000001E-2</v>
      </c>
      <c r="AD112" s="16">
        <v>58.562158435996224</v>
      </c>
    </row>
    <row r="113" spans="2:30" x14ac:dyDescent="0.25">
      <c r="B113" s="13" t="s">
        <v>42</v>
      </c>
      <c r="C113" s="14">
        <v>42551</v>
      </c>
      <c r="D113" s="22">
        <v>0.29287037037037039</v>
      </c>
      <c r="E113" s="13" t="s">
        <v>43</v>
      </c>
      <c r="F113" s="13">
        <v>109.8</v>
      </c>
      <c r="G113" s="13">
        <v>134.19999999999999</v>
      </c>
      <c r="H113" s="13" t="s">
        <v>44</v>
      </c>
      <c r="I113" s="13">
        <v>4000001</v>
      </c>
      <c r="J113" s="17">
        <v>276</v>
      </c>
      <c r="K113" s="13">
        <v>6.4290000000000003</v>
      </c>
      <c r="L113" s="13">
        <v>501</v>
      </c>
      <c r="M113" s="13">
        <v>360</v>
      </c>
      <c r="N113" s="13">
        <v>716</v>
      </c>
      <c r="O113" s="13">
        <v>839</v>
      </c>
      <c r="P113" s="17">
        <v>785.11500000000001</v>
      </c>
      <c r="Q113" s="16">
        <v>16.623000000000001</v>
      </c>
      <c r="R113" s="18">
        <v>7.9219999999999999E-2</v>
      </c>
      <c r="S113" s="18">
        <v>4.6260000000000003E-2</v>
      </c>
      <c r="T113" s="18">
        <v>3.712E-2</v>
      </c>
      <c r="U113" s="13">
        <v>376</v>
      </c>
      <c r="V113" s="13">
        <v>270</v>
      </c>
      <c r="W113" s="13">
        <v>738</v>
      </c>
      <c r="X113" s="13">
        <v>839</v>
      </c>
      <c r="Y113" s="17">
        <v>791.96500000000003</v>
      </c>
      <c r="Z113" s="16">
        <v>14</v>
      </c>
      <c r="AA113" s="18">
        <v>6.4170000000000005E-2</v>
      </c>
      <c r="AB113" s="18">
        <v>3.4930000000000003E-2</v>
      </c>
      <c r="AC113" s="18">
        <v>3.6020000000000003E-2</v>
      </c>
      <c r="AD113" s="16">
        <v>58.711727913441116</v>
      </c>
    </row>
    <row r="114" spans="2:30" x14ac:dyDescent="0.25">
      <c r="B114" s="13" t="s">
        <v>42</v>
      </c>
      <c r="C114" s="14">
        <v>42552</v>
      </c>
      <c r="D114" s="22">
        <v>0.31417824074074074</v>
      </c>
      <c r="E114" s="13" t="s">
        <v>43</v>
      </c>
      <c r="F114" s="13">
        <v>109.8</v>
      </c>
      <c r="G114" s="13">
        <v>134.19999999999999</v>
      </c>
      <c r="H114" s="13" t="s">
        <v>44</v>
      </c>
      <c r="I114" s="13">
        <v>4000001</v>
      </c>
      <c r="J114" s="17">
        <v>278</v>
      </c>
      <c r="K114" s="13">
        <v>6.4290000000000003</v>
      </c>
      <c r="L114" s="13">
        <v>501</v>
      </c>
      <c r="M114" s="13">
        <v>360</v>
      </c>
      <c r="N114" s="13">
        <v>710</v>
      </c>
      <c r="O114" s="13">
        <v>838</v>
      </c>
      <c r="P114" s="17">
        <v>787.49699999999996</v>
      </c>
      <c r="Q114" s="16">
        <v>16.795999999999999</v>
      </c>
      <c r="R114" s="18">
        <v>8.2699999999999996E-2</v>
      </c>
      <c r="S114" s="18">
        <v>4.1209999999999997E-2</v>
      </c>
      <c r="T114" s="18">
        <v>4.8489999999999998E-2</v>
      </c>
      <c r="U114" s="13">
        <v>376</v>
      </c>
      <c r="V114" s="13">
        <v>270</v>
      </c>
      <c r="W114" s="13">
        <v>746</v>
      </c>
      <c r="X114" s="13">
        <v>838</v>
      </c>
      <c r="Y114" s="17">
        <v>793.91700000000003</v>
      </c>
      <c r="Z114" s="16">
        <v>13.695</v>
      </c>
      <c r="AA114" s="18">
        <v>5.8549999999999998E-2</v>
      </c>
      <c r="AB114" s="18">
        <v>4.1209999999999997E-2</v>
      </c>
      <c r="AC114" s="18">
        <v>3.5909999999999997E-2</v>
      </c>
      <c r="AD114" s="16">
        <v>58.43821407634281</v>
      </c>
    </row>
    <row r="115" spans="2:30" x14ac:dyDescent="0.25">
      <c r="B115" s="13" t="s">
        <v>42</v>
      </c>
      <c r="C115" s="14">
        <v>42555</v>
      </c>
      <c r="D115" s="22">
        <v>0.32916666666666666</v>
      </c>
      <c r="E115" s="13" t="s">
        <v>43</v>
      </c>
      <c r="F115" s="13">
        <v>109.8</v>
      </c>
      <c r="G115" s="13">
        <v>134.19999999999999</v>
      </c>
      <c r="H115" s="13" t="s">
        <v>44</v>
      </c>
      <c r="I115" s="13">
        <v>4000001</v>
      </c>
      <c r="J115" s="17">
        <v>284</v>
      </c>
      <c r="K115" s="13">
        <v>6.4290000000000003</v>
      </c>
      <c r="L115" s="13">
        <v>501</v>
      </c>
      <c r="M115" s="13">
        <v>360</v>
      </c>
      <c r="N115" s="13">
        <v>721</v>
      </c>
      <c r="O115" s="13">
        <v>840</v>
      </c>
      <c r="P115" s="17">
        <v>785.30399999999997</v>
      </c>
      <c r="Q115" s="16">
        <v>17.193999999999999</v>
      </c>
      <c r="R115" s="18">
        <v>7.6539999999999997E-2</v>
      </c>
      <c r="S115" s="18">
        <v>5.067E-2</v>
      </c>
      <c r="T115" s="18">
        <v>4.3900000000000002E-2</v>
      </c>
      <c r="U115" s="13">
        <v>376</v>
      </c>
      <c r="V115" s="13">
        <v>270</v>
      </c>
      <c r="W115" s="13">
        <v>744</v>
      </c>
      <c r="X115" s="13">
        <v>840</v>
      </c>
      <c r="Y115" s="17">
        <v>791.96100000000001</v>
      </c>
      <c r="Z115" s="16">
        <v>14.702</v>
      </c>
      <c r="AA115" s="18">
        <v>6.028E-2</v>
      </c>
      <c r="AB115" s="18">
        <v>4.1110000000000001E-2</v>
      </c>
      <c r="AC115" s="18">
        <v>4.2959999999999998E-2</v>
      </c>
      <c r="AD115" s="16">
        <v>57.643023369139264</v>
      </c>
    </row>
    <row r="116" spans="2:30" x14ac:dyDescent="0.25">
      <c r="B116" s="13" t="s">
        <v>42</v>
      </c>
      <c r="C116" s="14">
        <v>42557</v>
      </c>
      <c r="D116" s="22">
        <v>0.31516203703703705</v>
      </c>
      <c r="E116" s="13" t="s">
        <v>43</v>
      </c>
      <c r="F116" s="13">
        <v>109.8</v>
      </c>
      <c r="G116" s="13">
        <v>134.19999999999999</v>
      </c>
      <c r="H116" s="13" t="s">
        <v>44</v>
      </c>
      <c r="I116" s="13">
        <v>4000001</v>
      </c>
      <c r="J116" s="17">
        <v>280</v>
      </c>
      <c r="K116" s="13">
        <v>6.4290000000000003</v>
      </c>
      <c r="L116" s="13">
        <v>501</v>
      </c>
      <c r="M116" s="13">
        <v>360</v>
      </c>
      <c r="N116" s="13">
        <v>725</v>
      </c>
      <c r="O116" s="13">
        <v>831</v>
      </c>
      <c r="P116" s="17">
        <v>784.82100000000003</v>
      </c>
      <c r="Q116" s="16">
        <v>15.827999999999999</v>
      </c>
      <c r="R116" s="18">
        <v>6.7989999999999995E-2</v>
      </c>
      <c r="S116" s="18">
        <v>4.5260000000000002E-2</v>
      </c>
      <c r="T116" s="18">
        <v>3.9780000000000003E-2</v>
      </c>
      <c r="U116" s="13">
        <v>376</v>
      </c>
      <c r="V116" s="13">
        <v>270</v>
      </c>
      <c r="W116" s="13">
        <v>742</v>
      </c>
      <c r="X116" s="13">
        <v>831</v>
      </c>
      <c r="Y116" s="17">
        <v>790.93200000000002</v>
      </c>
      <c r="Z116" s="16">
        <v>13.63</v>
      </c>
      <c r="AA116" s="18">
        <v>5.602E-2</v>
      </c>
      <c r="AB116" s="18">
        <v>3.5209999999999998E-2</v>
      </c>
      <c r="AC116" s="18">
        <v>3.9780000000000003E-2</v>
      </c>
      <c r="AD116" s="16">
        <v>58.765526813483703</v>
      </c>
    </row>
    <row r="117" spans="2:30" x14ac:dyDescent="0.25">
      <c r="B117" s="13" t="s">
        <v>42</v>
      </c>
      <c r="C117" s="14">
        <v>42558</v>
      </c>
      <c r="D117" s="22">
        <v>0.31038194444444445</v>
      </c>
      <c r="E117" s="13" t="s">
        <v>43</v>
      </c>
      <c r="F117" s="13">
        <v>109.8</v>
      </c>
      <c r="G117" s="13">
        <v>134.19999999999999</v>
      </c>
      <c r="H117" s="13" t="s">
        <v>44</v>
      </c>
      <c r="I117" s="13">
        <v>4000001</v>
      </c>
      <c r="J117" s="17">
        <v>281</v>
      </c>
      <c r="K117" s="13">
        <v>6.4290000000000003</v>
      </c>
      <c r="L117" s="13">
        <v>501</v>
      </c>
      <c r="M117" s="13">
        <v>360</v>
      </c>
      <c r="N117" s="13">
        <v>728</v>
      </c>
      <c r="O117" s="13">
        <v>847</v>
      </c>
      <c r="P117" s="17">
        <v>787.18799999999999</v>
      </c>
      <c r="Q117" s="16">
        <v>16.359000000000002</v>
      </c>
      <c r="R117" s="18">
        <v>7.5139999999999998E-2</v>
      </c>
      <c r="S117" s="18">
        <v>4.1259999999999998E-2</v>
      </c>
      <c r="T117" s="18">
        <v>4.2340000000000003E-2</v>
      </c>
      <c r="U117" s="13">
        <v>376</v>
      </c>
      <c r="V117" s="13">
        <v>270</v>
      </c>
      <c r="W117" s="13">
        <v>742</v>
      </c>
      <c r="X117" s="13">
        <v>847</v>
      </c>
      <c r="Y117" s="17">
        <v>792.73500000000001</v>
      </c>
      <c r="Z117" s="16">
        <v>14.888</v>
      </c>
      <c r="AA117" s="18">
        <v>6.6180000000000003E-2</v>
      </c>
      <c r="AB117" s="18">
        <v>4.1259999999999998E-2</v>
      </c>
      <c r="AC117" s="18">
        <v>4.2340000000000003E-2</v>
      </c>
      <c r="AD117" s="16">
        <v>58.705951586943904</v>
      </c>
    </row>
    <row r="118" spans="2:30" x14ac:dyDescent="0.25">
      <c r="B118" s="13" t="s">
        <v>42</v>
      </c>
      <c r="C118" s="14">
        <v>42559</v>
      </c>
      <c r="D118" s="22">
        <v>0.31667824074074075</v>
      </c>
      <c r="E118" s="13" t="s">
        <v>43</v>
      </c>
      <c r="F118" s="13">
        <v>109.8</v>
      </c>
      <c r="G118" s="13">
        <v>134.19999999999999</v>
      </c>
      <c r="H118" s="13" t="s">
        <v>44</v>
      </c>
      <c r="I118" s="13">
        <v>4000001</v>
      </c>
      <c r="J118" s="17">
        <v>281</v>
      </c>
      <c r="K118" s="13">
        <v>6.4290000000000003</v>
      </c>
      <c r="L118" s="13">
        <v>501</v>
      </c>
      <c r="M118" s="13">
        <v>360</v>
      </c>
      <c r="N118" s="13">
        <v>706</v>
      </c>
      <c r="O118" s="13">
        <v>839</v>
      </c>
      <c r="P118" s="17">
        <v>784.89</v>
      </c>
      <c r="Q118" s="16">
        <v>16.18</v>
      </c>
      <c r="R118" s="18">
        <v>8.6120000000000002E-2</v>
      </c>
      <c r="S118" s="18">
        <v>5.2179999999999997E-2</v>
      </c>
      <c r="T118" s="18">
        <v>4.9950000000000001E-2</v>
      </c>
      <c r="U118" s="13">
        <v>376</v>
      </c>
      <c r="V118" s="13">
        <v>270</v>
      </c>
      <c r="W118" s="13">
        <v>750</v>
      </c>
      <c r="X118" s="13">
        <v>839</v>
      </c>
      <c r="Y118" s="17">
        <v>791.71500000000003</v>
      </c>
      <c r="Z118" s="16">
        <v>14.2</v>
      </c>
      <c r="AA118" s="18">
        <v>5.6180000000000001E-2</v>
      </c>
      <c r="AB118" s="18">
        <v>3.7769999999999998E-2</v>
      </c>
      <c r="AC118" s="18">
        <v>4.0919999999999998E-2</v>
      </c>
      <c r="AD118" s="16">
        <v>58.855888316331374</v>
      </c>
    </row>
    <row r="119" spans="2:30" x14ac:dyDescent="0.25">
      <c r="B119" s="13" t="s">
        <v>42</v>
      </c>
      <c r="C119" s="14">
        <v>42562</v>
      </c>
      <c r="D119" s="22">
        <v>0.3260763888888889</v>
      </c>
      <c r="E119" s="13" t="s">
        <v>43</v>
      </c>
      <c r="F119" s="13">
        <v>109.8</v>
      </c>
      <c r="G119" s="13">
        <v>134.19999999999999</v>
      </c>
      <c r="H119" s="13" t="s">
        <v>44</v>
      </c>
      <c r="I119" s="13">
        <v>4000001</v>
      </c>
      <c r="J119" s="17">
        <v>289</v>
      </c>
      <c r="K119" s="13">
        <v>6.4290000000000003</v>
      </c>
      <c r="L119" s="13">
        <v>501</v>
      </c>
      <c r="M119" s="13">
        <v>360</v>
      </c>
      <c r="N119" s="13">
        <v>697</v>
      </c>
      <c r="O119" s="13">
        <v>835</v>
      </c>
      <c r="P119" s="17">
        <v>784.86900000000003</v>
      </c>
      <c r="Q119" s="16">
        <v>17.962</v>
      </c>
      <c r="R119" s="18">
        <v>9.0499999999999997E-2</v>
      </c>
      <c r="S119" s="18">
        <v>4.6730000000000001E-2</v>
      </c>
      <c r="T119" s="18">
        <v>5.9209999999999999E-2</v>
      </c>
      <c r="U119" s="13">
        <v>376</v>
      </c>
      <c r="V119" s="13">
        <v>270</v>
      </c>
      <c r="W119" s="13">
        <v>739</v>
      </c>
      <c r="X119" s="13">
        <v>834</v>
      </c>
      <c r="Y119" s="17">
        <v>791.90899999999999</v>
      </c>
      <c r="Z119" s="16">
        <v>15.435</v>
      </c>
      <c r="AA119" s="18">
        <v>6.0690000000000001E-2</v>
      </c>
      <c r="AB119" s="18">
        <v>3.5639999999999998E-2</v>
      </c>
      <c r="AC119" s="18">
        <v>4.6429999999999999E-2</v>
      </c>
      <c r="AD119" s="16">
        <v>57.666256129374183</v>
      </c>
    </row>
    <row r="120" spans="2:30" x14ac:dyDescent="0.25">
      <c r="B120" s="13" t="s">
        <v>42</v>
      </c>
      <c r="C120" s="14">
        <v>42563</v>
      </c>
      <c r="D120" s="22">
        <v>0.30916666666666665</v>
      </c>
      <c r="E120" s="13" t="s">
        <v>43</v>
      </c>
      <c r="F120" s="13">
        <v>109.8</v>
      </c>
      <c r="G120" s="13">
        <v>134.19999999999999</v>
      </c>
      <c r="H120" s="13" t="s">
        <v>44</v>
      </c>
      <c r="I120" s="13">
        <v>4000001</v>
      </c>
      <c r="J120" s="17">
        <v>284</v>
      </c>
      <c r="K120" s="13">
        <v>6.4290000000000003</v>
      </c>
      <c r="L120" s="13">
        <v>501</v>
      </c>
      <c r="M120" s="13">
        <v>360</v>
      </c>
      <c r="N120" s="13">
        <v>719</v>
      </c>
      <c r="O120" s="13">
        <v>836</v>
      </c>
      <c r="P120" s="17">
        <v>784.98500000000001</v>
      </c>
      <c r="Q120" s="16">
        <v>15.653</v>
      </c>
      <c r="R120" s="18">
        <v>7.4990000000000001E-2</v>
      </c>
      <c r="S120" s="18">
        <v>4.768E-2</v>
      </c>
      <c r="T120" s="18">
        <v>4.4949999999999997E-2</v>
      </c>
      <c r="U120" s="13">
        <v>376</v>
      </c>
      <c r="V120" s="13">
        <v>270</v>
      </c>
      <c r="W120" s="13">
        <v>743</v>
      </c>
      <c r="X120" s="13">
        <v>836</v>
      </c>
      <c r="Y120" s="17">
        <v>791.41</v>
      </c>
      <c r="Z120" s="16">
        <v>13.398999999999999</v>
      </c>
      <c r="AA120" s="18">
        <v>5.8930000000000003E-2</v>
      </c>
      <c r="AB120" s="18">
        <v>3.4619999999999998E-2</v>
      </c>
      <c r="AC120" s="18">
        <v>3.551E-2</v>
      </c>
      <c r="AD120" s="16">
        <v>58.831381415060136</v>
      </c>
    </row>
    <row r="121" spans="2:30" x14ac:dyDescent="0.25">
      <c r="B121" s="13" t="s">
        <v>42</v>
      </c>
      <c r="C121" s="14">
        <v>42564</v>
      </c>
      <c r="D121" s="22">
        <v>0.34037037037037038</v>
      </c>
      <c r="E121" s="13" t="s">
        <v>43</v>
      </c>
      <c r="F121" s="13">
        <v>109.8</v>
      </c>
      <c r="G121" s="13">
        <v>134.19999999999999</v>
      </c>
      <c r="H121" s="13" t="s">
        <v>44</v>
      </c>
      <c r="I121" s="13">
        <v>4000001</v>
      </c>
      <c r="J121" s="17">
        <v>285</v>
      </c>
      <c r="K121" s="13">
        <v>6.4290000000000003</v>
      </c>
      <c r="L121" s="13">
        <v>501</v>
      </c>
      <c r="M121" s="13">
        <v>360</v>
      </c>
      <c r="N121" s="13">
        <v>726</v>
      </c>
      <c r="O121" s="13">
        <v>837</v>
      </c>
      <c r="P121" s="17">
        <v>784.726</v>
      </c>
      <c r="Q121" s="16">
        <v>16.137</v>
      </c>
      <c r="R121" s="18">
        <v>7.1029999999999996E-2</v>
      </c>
      <c r="S121" s="18">
        <v>4.4490000000000002E-2</v>
      </c>
      <c r="T121" s="18">
        <v>4.7300000000000002E-2</v>
      </c>
      <c r="U121" s="13">
        <v>376</v>
      </c>
      <c r="V121" s="13">
        <v>270</v>
      </c>
      <c r="W121" s="13">
        <v>735</v>
      </c>
      <c r="X121" s="13">
        <v>837</v>
      </c>
      <c r="Y121" s="17">
        <v>790.60500000000002</v>
      </c>
      <c r="Z121" s="16">
        <v>14.365</v>
      </c>
      <c r="AA121" s="18">
        <v>6.4409999999999995E-2</v>
      </c>
      <c r="AB121" s="18">
        <v>3.6220000000000002E-2</v>
      </c>
      <c r="AC121" s="18">
        <v>4.6879999999999998E-2</v>
      </c>
      <c r="AD121" s="16">
        <v>58.774685378393293</v>
      </c>
    </row>
    <row r="122" spans="2:30" x14ac:dyDescent="0.25">
      <c r="B122" s="13" t="s">
        <v>42</v>
      </c>
      <c r="C122" s="14">
        <v>42565</v>
      </c>
      <c r="D122" s="22">
        <v>0.34923611111111108</v>
      </c>
      <c r="E122" s="13" t="s">
        <v>43</v>
      </c>
      <c r="F122" s="13">
        <v>109.8</v>
      </c>
      <c r="G122" s="13">
        <v>134.19999999999999</v>
      </c>
      <c r="H122" s="13" t="s">
        <v>44</v>
      </c>
      <c r="I122" s="13">
        <v>4000001</v>
      </c>
      <c r="J122" s="17">
        <v>285</v>
      </c>
      <c r="K122" s="13">
        <v>6.4290000000000003</v>
      </c>
      <c r="L122" s="13">
        <v>501</v>
      </c>
      <c r="M122" s="13">
        <v>360</v>
      </c>
      <c r="N122" s="13">
        <v>736</v>
      </c>
      <c r="O122" s="13">
        <v>836</v>
      </c>
      <c r="P122" s="17">
        <v>785.05</v>
      </c>
      <c r="Q122" s="16">
        <v>15.13</v>
      </c>
      <c r="R122" s="18">
        <v>6.3600000000000004E-2</v>
      </c>
      <c r="S122" s="18">
        <v>4.3430000000000003E-2</v>
      </c>
      <c r="T122" s="18">
        <v>4.2619999999999998E-2</v>
      </c>
      <c r="U122" s="13">
        <v>376</v>
      </c>
      <c r="V122" s="13">
        <v>270</v>
      </c>
      <c r="W122" s="13">
        <v>755</v>
      </c>
      <c r="X122" s="13">
        <v>836</v>
      </c>
      <c r="Y122" s="17">
        <v>791.23699999999997</v>
      </c>
      <c r="Z122" s="16">
        <v>13.031000000000001</v>
      </c>
      <c r="AA122" s="18">
        <v>5.0849999999999999E-2</v>
      </c>
      <c r="AB122" s="18">
        <v>3.7249999999999998E-2</v>
      </c>
      <c r="AC122" s="18">
        <v>4.2619999999999998E-2</v>
      </c>
      <c r="AD122" s="16">
        <v>58.924797655908513</v>
      </c>
    </row>
    <row r="123" spans="2:30" x14ac:dyDescent="0.25">
      <c r="B123" s="13" t="s">
        <v>42</v>
      </c>
      <c r="C123" s="14">
        <v>42566</v>
      </c>
      <c r="D123" s="22">
        <v>0.31395833333333334</v>
      </c>
      <c r="E123" s="13" t="s">
        <v>43</v>
      </c>
      <c r="F123" s="13">
        <v>109.8</v>
      </c>
      <c r="G123" s="13">
        <v>134.19999999999999</v>
      </c>
      <c r="H123" s="13" t="s">
        <v>44</v>
      </c>
      <c r="I123" s="13">
        <v>4000001</v>
      </c>
      <c r="J123" s="17">
        <v>286</v>
      </c>
      <c r="K123" s="13">
        <v>6.4290000000000003</v>
      </c>
      <c r="L123" s="13">
        <v>501</v>
      </c>
      <c r="M123" s="13">
        <v>360</v>
      </c>
      <c r="N123" s="13">
        <v>721</v>
      </c>
      <c r="O123" s="13">
        <v>829</v>
      </c>
      <c r="P123" s="17">
        <v>784.84100000000001</v>
      </c>
      <c r="Q123" s="16">
        <v>16.498999999999999</v>
      </c>
      <c r="R123" s="18">
        <v>6.9690000000000002E-2</v>
      </c>
      <c r="S123" s="18">
        <v>4.2540000000000001E-2</v>
      </c>
      <c r="T123" s="18">
        <v>4.1360000000000001E-2</v>
      </c>
      <c r="U123" s="13">
        <v>376</v>
      </c>
      <c r="V123" s="13">
        <v>270</v>
      </c>
      <c r="W123" s="13">
        <v>745</v>
      </c>
      <c r="X123" s="13">
        <v>829</v>
      </c>
      <c r="Y123" s="17">
        <v>791.97400000000005</v>
      </c>
      <c r="Z123" s="16">
        <v>13.39</v>
      </c>
      <c r="AA123" s="18">
        <v>5.391E-2</v>
      </c>
      <c r="AB123" s="18">
        <v>3.3390000000000003E-2</v>
      </c>
      <c r="AC123" s="18">
        <v>3.7909999999999999E-2</v>
      </c>
      <c r="AD123" s="16">
        <v>58.868736354935251</v>
      </c>
    </row>
    <row r="124" spans="2:30" x14ac:dyDescent="0.25">
      <c r="B124" s="13" t="s">
        <v>42</v>
      </c>
      <c r="C124" s="14">
        <v>42571</v>
      </c>
      <c r="D124" s="22">
        <v>0.31438657407407405</v>
      </c>
      <c r="E124" s="13" t="s">
        <v>43</v>
      </c>
      <c r="F124" s="13">
        <v>109.8</v>
      </c>
      <c r="G124" s="13">
        <v>134.19999999999999</v>
      </c>
      <c r="H124" s="13" t="s">
        <v>44</v>
      </c>
      <c r="I124" s="13">
        <v>4000001</v>
      </c>
      <c r="J124" s="17">
        <v>290</v>
      </c>
      <c r="K124" s="13">
        <v>6.4290000000000003</v>
      </c>
      <c r="L124" s="13">
        <v>501</v>
      </c>
      <c r="M124" s="13">
        <v>360</v>
      </c>
      <c r="N124" s="13">
        <v>724</v>
      </c>
      <c r="O124" s="13">
        <v>836</v>
      </c>
      <c r="P124" s="17">
        <v>784.92899999999997</v>
      </c>
      <c r="Q124" s="16">
        <v>15.805999999999999</v>
      </c>
      <c r="R124" s="18">
        <v>7.1879999999999999E-2</v>
      </c>
      <c r="S124" s="18">
        <v>4.308E-2</v>
      </c>
      <c r="T124" s="18">
        <v>3.7109999999999997E-2</v>
      </c>
      <c r="U124" s="13">
        <v>376</v>
      </c>
      <c r="V124" s="13">
        <v>270</v>
      </c>
      <c r="W124" s="13">
        <v>744</v>
      </c>
      <c r="X124" s="13">
        <v>836</v>
      </c>
      <c r="Y124" s="17">
        <v>790.83500000000004</v>
      </c>
      <c r="Z124" s="16">
        <v>13.661</v>
      </c>
      <c r="AA124" s="18">
        <v>5.7930000000000002E-2</v>
      </c>
      <c r="AB124" s="18">
        <v>3.5490000000000001E-2</v>
      </c>
      <c r="AC124" s="18">
        <v>3.7109999999999997E-2</v>
      </c>
      <c r="AD124" s="16">
        <v>58.801943845218531</v>
      </c>
    </row>
    <row r="125" spans="2:30" x14ac:dyDescent="0.25">
      <c r="B125" s="13" t="s">
        <v>42</v>
      </c>
      <c r="C125" s="14">
        <v>42576</v>
      </c>
      <c r="D125" s="22">
        <v>0.31437500000000002</v>
      </c>
      <c r="E125" s="13" t="s">
        <v>43</v>
      </c>
      <c r="F125" s="13">
        <v>109.8</v>
      </c>
      <c r="G125" s="13">
        <v>134.19999999999999</v>
      </c>
      <c r="H125" s="13" t="s">
        <v>44</v>
      </c>
      <c r="I125" s="13">
        <v>4000001</v>
      </c>
      <c r="J125" s="17">
        <v>298</v>
      </c>
      <c r="K125" s="13">
        <v>6.4290000000000003</v>
      </c>
      <c r="L125" s="13">
        <v>501</v>
      </c>
      <c r="M125" s="13">
        <v>360</v>
      </c>
      <c r="N125" s="13">
        <v>723</v>
      </c>
      <c r="O125" s="13">
        <v>845</v>
      </c>
      <c r="P125" s="17">
        <v>784.85799999999995</v>
      </c>
      <c r="Q125" s="16">
        <v>16.719000000000001</v>
      </c>
      <c r="R125" s="18">
        <v>7.7590000000000006E-2</v>
      </c>
      <c r="S125" s="18">
        <v>4.2849999999999999E-2</v>
      </c>
      <c r="T125" s="18">
        <v>3.9919999999999997E-2</v>
      </c>
      <c r="U125" s="13">
        <v>376</v>
      </c>
      <c r="V125" s="13">
        <v>270</v>
      </c>
      <c r="W125" s="13">
        <v>734</v>
      </c>
      <c r="X125" s="13">
        <v>845</v>
      </c>
      <c r="Y125" s="17">
        <v>790.33199999999999</v>
      </c>
      <c r="Z125" s="16">
        <v>15.23</v>
      </c>
      <c r="AA125" s="18">
        <v>7.0510000000000003E-2</v>
      </c>
      <c r="AB125" s="18">
        <v>4.2849999999999999E-2</v>
      </c>
      <c r="AC125" s="18">
        <v>3.9919999999999997E-2</v>
      </c>
      <c r="AD125" s="16">
        <v>57.957861273895716</v>
      </c>
    </row>
    <row r="126" spans="2:30" x14ac:dyDescent="0.25">
      <c r="B126" s="13" t="s">
        <v>42</v>
      </c>
      <c r="C126" s="14">
        <v>42578</v>
      </c>
      <c r="D126" s="22">
        <v>0.31672453703703701</v>
      </c>
      <c r="E126" s="13" t="s">
        <v>43</v>
      </c>
      <c r="F126" s="13">
        <v>109.8</v>
      </c>
      <c r="G126" s="13">
        <v>134.19999999999999</v>
      </c>
      <c r="H126" s="13" t="s">
        <v>44</v>
      </c>
      <c r="I126" s="13">
        <v>4000001</v>
      </c>
      <c r="J126" s="17">
        <v>295</v>
      </c>
      <c r="K126" s="13">
        <v>6.4290000000000003</v>
      </c>
      <c r="L126" s="13">
        <v>501</v>
      </c>
      <c r="M126" s="13">
        <v>360</v>
      </c>
      <c r="N126" s="13">
        <v>721</v>
      </c>
      <c r="O126" s="13">
        <v>835</v>
      </c>
      <c r="P126" s="17">
        <v>785.62599999999998</v>
      </c>
      <c r="Q126" s="16">
        <v>16.035</v>
      </c>
      <c r="R126" s="18">
        <v>7.3150000000000007E-2</v>
      </c>
      <c r="S126" s="18">
        <v>4.9410000000000003E-2</v>
      </c>
      <c r="T126" s="18">
        <v>4.4819999999999999E-2</v>
      </c>
      <c r="U126" s="13">
        <v>376</v>
      </c>
      <c r="V126" s="13">
        <v>270</v>
      </c>
      <c r="W126" s="13">
        <v>747</v>
      </c>
      <c r="X126" s="13">
        <v>835</v>
      </c>
      <c r="Y126" s="17">
        <v>791.38099999999997</v>
      </c>
      <c r="Z126" s="16">
        <v>14.297000000000001</v>
      </c>
      <c r="AA126" s="18">
        <v>5.6030000000000003E-2</v>
      </c>
      <c r="AB126" s="18">
        <v>3.8339999999999999E-2</v>
      </c>
      <c r="AC126" s="18">
        <v>3.7019999999999997E-2</v>
      </c>
      <c r="AD126" s="16">
        <v>58.846708030058018</v>
      </c>
    </row>
    <row r="127" spans="2:30" x14ac:dyDescent="0.25">
      <c r="B127" s="13" t="s">
        <v>42</v>
      </c>
      <c r="C127" s="14">
        <v>42580</v>
      </c>
      <c r="D127" s="22">
        <v>0.30150462962962959</v>
      </c>
      <c r="E127" s="13" t="s">
        <v>43</v>
      </c>
      <c r="F127" s="13">
        <v>109.8</v>
      </c>
      <c r="G127" s="13">
        <v>134.19999999999999</v>
      </c>
      <c r="H127" s="13" t="s">
        <v>44</v>
      </c>
      <c r="I127" s="13">
        <v>4000001</v>
      </c>
      <c r="J127" s="17">
        <v>295</v>
      </c>
      <c r="K127" s="13">
        <v>6.4290000000000003</v>
      </c>
      <c r="L127" s="13">
        <v>501</v>
      </c>
      <c r="M127" s="13">
        <v>360</v>
      </c>
      <c r="N127" s="13">
        <v>710</v>
      </c>
      <c r="O127" s="13">
        <v>857</v>
      </c>
      <c r="P127" s="17">
        <v>786.471</v>
      </c>
      <c r="Q127" s="16">
        <v>16.13</v>
      </c>
      <c r="R127" s="18">
        <v>9.3840000000000007E-2</v>
      </c>
      <c r="S127" s="18">
        <v>4.9230000000000003E-2</v>
      </c>
      <c r="T127" s="18">
        <v>4.9529999999999998E-2</v>
      </c>
      <c r="U127" s="13">
        <v>376</v>
      </c>
      <c r="V127" s="13">
        <v>270</v>
      </c>
      <c r="W127" s="13">
        <v>741</v>
      </c>
      <c r="X127" s="13">
        <v>857</v>
      </c>
      <c r="Y127" s="17">
        <v>792.11300000000006</v>
      </c>
      <c r="Z127" s="16">
        <v>14.38</v>
      </c>
      <c r="AA127" s="18">
        <v>7.2330000000000005E-2</v>
      </c>
      <c r="AB127" s="18">
        <v>3.5880000000000002E-2</v>
      </c>
      <c r="AC127" s="18">
        <v>3.6159999999999998E-2</v>
      </c>
      <c r="AD127" s="16">
        <v>59.147684342022146</v>
      </c>
    </row>
    <row r="128" spans="2:30" x14ac:dyDescent="0.25">
      <c r="B128" s="13" t="s">
        <v>42</v>
      </c>
      <c r="C128" s="14">
        <v>42584</v>
      </c>
      <c r="D128" s="22">
        <v>0.31339120370370371</v>
      </c>
      <c r="E128" s="13" t="s">
        <v>43</v>
      </c>
      <c r="F128" s="13">
        <v>109.8</v>
      </c>
      <c r="G128" s="13">
        <v>134.19999999999999</v>
      </c>
      <c r="H128" s="13" t="s">
        <v>44</v>
      </c>
      <c r="I128" s="13">
        <v>4000001</v>
      </c>
      <c r="J128" s="17">
        <v>305</v>
      </c>
      <c r="K128" s="13">
        <v>6.4290000000000003</v>
      </c>
      <c r="L128" s="13">
        <v>501</v>
      </c>
      <c r="M128" s="13">
        <v>360</v>
      </c>
      <c r="N128" s="13">
        <v>731</v>
      </c>
      <c r="O128" s="13">
        <v>838</v>
      </c>
      <c r="P128" s="17">
        <v>785.4</v>
      </c>
      <c r="Q128" s="16">
        <v>16.510000000000002</v>
      </c>
      <c r="R128" s="18">
        <v>6.8409999999999999E-2</v>
      </c>
      <c r="S128" s="18">
        <v>4.8500000000000001E-2</v>
      </c>
      <c r="T128" s="18">
        <v>4.9279999999999997E-2</v>
      </c>
      <c r="U128" s="13">
        <v>376</v>
      </c>
      <c r="V128" s="13">
        <v>270</v>
      </c>
      <c r="W128" s="13">
        <v>741</v>
      </c>
      <c r="X128" s="13">
        <v>838</v>
      </c>
      <c r="Y128" s="17">
        <v>791.47199999999998</v>
      </c>
      <c r="Z128" s="16">
        <v>15.137</v>
      </c>
      <c r="AA128" s="18">
        <v>6.1400000000000003E-2</v>
      </c>
      <c r="AB128" s="18">
        <v>4.8500000000000001E-2</v>
      </c>
      <c r="AC128" s="18">
        <v>4.9279999999999997E-2</v>
      </c>
      <c r="AD128" s="16">
        <v>57.795106781158076</v>
      </c>
    </row>
    <row r="129" spans="2:30" x14ac:dyDescent="0.25">
      <c r="B129" s="13" t="s">
        <v>42</v>
      </c>
      <c r="C129" s="14">
        <v>42585</v>
      </c>
      <c r="D129" s="22">
        <v>0.29987268518518517</v>
      </c>
      <c r="E129" s="13" t="s">
        <v>43</v>
      </c>
      <c r="F129" s="13">
        <v>109.8</v>
      </c>
      <c r="G129" s="13">
        <v>134.19999999999999</v>
      </c>
      <c r="H129" s="13" t="s">
        <v>44</v>
      </c>
      <c r="I129" s="13">
        <v>4000001</v>
      </c>
      <c r="J129" s="17">
        <v>299</v>
      </c>
      <c r="K129" s="13">
        <v>6.4290000000000003</v>
      </c>
      <c r="L129" s="13">
        <v>501</v>
      </c>
      <c r="M129" s="13">
        <v>360</v>
      </c>
      <c r="N129" s="13">
        <v>729</v>
      </c>
      <c r="O129" s="13">
        <v>838</v>
      </c>
      <c r="P129" s="17">
        <v>785.34199999999998</v>
      </c>
      <c r="Q129" s="16">
        <v>15.944000000000001</v>
      </c>
      <c r="R129" s="18">
        <v>6.948E-2</v>
      </c>
      <c r="S129" s="18">
        <v>4.5740000000000003E-2</v>
      </c>
      <c r="T129" s="18">
        <v>4.3839999999999997E-2</v>
      </c>
      <c r="U129" s="13">
        <v>376</v>
      </c>
      <c r="V129" s="13">
        <v>270</v>
      </c>
      <c r="W129" s="13">
        <v>741</v>
      </c>
      <c r="X129" s="13">
        <v>838</v>
      </c>
      <c r="Y129" s="17">
        <v>791.505</v>
      </c>
      <c r="Z129" s="16">
        <v>14.439</v>
      </c>
      <c r="AA129" s="18">
        <v>6.1210000000000001E-2</v>
      </c>
      <c r="AB129" s="18">
        <v>3.9489999999999997E-2</v>
      </c>
      <c r="AC129" s="18">
        <v>3.9809999999999998E-2</v>
      </c>
      <c r="AD129" s="16">
        <v>59.10544729684252</v>
      </c>
    </row>
    <row r="130" spans="2:30" x14ac:dyDescent="0.25">
      <c r="B130" s="13" t="s">
        <v>42</v>
      </c>
      <c r="C130" s="14">
        <v>42590</v>
      </c>
      <c r="D130" s="22">
        <v>0.3133333333333333</v>
      </c>
      <c r="E130" s="13" t="s">
        <v>43</v>
      </c>
      <c r="F130" s="13">
        <v>109.8</v>
      </c>
      <c r="G130" s="13">
        <v>134.19999999999999</v>
      </c>
      <c r="H130" s="13" t="s">
        <v>44</v>
      </c>
      <c r="I130" s="13">
        <v>4000001</v>
      </c>
      <c r="J130" s="17">
        <v>309</v>
      </c>
      <c r="K130" s="13">
        <v>6.4290000000000003</v>
      </c>
      <c r="L130" s="13">
        <v>501</v>
      </c>
      <c r="M130" s="13">
        <v>360</v>
      </c>
      <c r="N130" s="13">
        <v>714</v>
      </c>
      <c r="O130" s="13">
        <v>845</v>
      </c>
      <c r="P130" s="17">
        <v>786.66600000000005</v>
      </c>
      <c r="Q130" s="16">
        <v>16.920000000000002</v>
      </c>
      <c r="R130" s="18">
        <v>8.3949999999999997E-2</v>
      </c>
      <c r="S130" s="18">
        <v>5.203E-2</v>
      </c>
      <c r="T130" s="18">
        <v>5.7849999999999999E-2</v>
      </c>
      <c r="U130" s="13">
        <v>376</v>
      </c>
      <c r="V130" s="13">
        <v>270</v>
      </c>
      <c r="W130" s="13">
        <v>751</v>
      </c>
      <c r="X130" s="13">
        <v>838</v>
      </c>
      <c r="Y130" s="17">
        <v>792.60500000000002</v>
      </c>
      <c r="Z130" s="16">
        <v>14.304</v>
      </c>
      <c r="AA130" s="18">
        <v>5.4489999999999997E-2</v>
      </c>
      <c r="AB130" s="18">
        <v>3.6229999999999998E-2</v>
      </c>
      <c r="AC130" s="18">
        <v>3.6260000000000001E-2</v>
      </c>
      <c r="AD130" s="16">
        <v>57.926748463108595</v>
      </c>
    </row>
    <row r="131" spans="2:30" x14ac:dyDescent="0.25">
      <c r="B131" s="13" t="s">
        <v>42</v>
      </c>
      <c r="C131" s="14">
        <v>42591</v>
      </c>
      <c r="D131" s="22">
        <v>0.30843749999999998</v>
      </c>
      <c r="E131" s="13" t="s">
        <v>43</v>
      </c>
      <c r="F131" s="13">
        <v>109.8</v>
      </c>
      <c r="G131" s="13">
        <v>134.19999999999999</v>
      </c>
      <c r="H131" s="13" t="s">
        <v>44</v>
      </c>
      <c r="I131" s="13">
        <v>4000001</v>
      </c>
      <c r="J131" s="17">
        <v>303</v>
      </c>
      <c r="K131" s="13">
        <v>6.4290000000000003</v>
      </c>
      <c r="L131" s="13">
        <v>501</v>
      </c>
      <c r="M131" s="13">
        <v>360</v>
      </c>
      <c r="N131" s="13">
        <v>727</v>
      </c>
      <c r="O131" s="13">
        <v>831</v>
      </c>
      <c r="P131" s="17">
        <v>784.77700000000004</v>
      </c>
      <c r="Q131" s="16">
        <v>15.811999999999999</v>
      </c>
      <c r="R131" s="18">
        <v>6.676E-2</v>
      </c>
      <c r="S131" s="18">
        <v>4.4769999999999997E-2</v>
      </c>
      <c r="T131" s="18">
        <v>4.036E-2</v>
      </c>
      <c r="U131" s="13">
        <v>376</v>
      </c>
      <c r="V131" s="13">
        <v>270</v>
      </c>
      <c r="W131" s="13">
        <v>742</v>
      </c>
      <c r="X131" s="13">
        <v>831</v>
      </c>
      <c r="Y131" s="17">
        <v>790.35199999999998</v>
      </c>
      <c r="Z131" s="16">
        <v>13.919</v>
      </c>
      <c r="AA131" s="18">
        <v>5.6370000000000003E-2</v>
      </c>
      <c r="AB131" s="18">
        <v>3.6069999999999998E-2</v>
      </c>
      <c r="AC131" s="18">
        <v>3.4880000000000001E-2</v>
      </c>
      <c r="AD131" s="16">
        <v>59.224689046842975</v>
      </c>
    </row>
    <row r="132" spans="2:30" x14ac:dyDescent="0.25">
      <c r="B132" s="13" t="s">
        <v>42</v>
      </c>
      <c r="C132" s="14">
        <v>42592</v>
      </c>
      <c r="D132" s="22">
        <v>0.31193287037037037</v>
      </c>
      <c r="E132" s="13" t="s">
        <v>43</v>
      </c>
      <c r="F132" s="13">
        <v>109.8</v>
      </c>
      <c r="G132" s="13">
        <v>134.19999999999999</v>
      </c>
      <c r="H132" s="13" t="s">
        <v>44</v>
      </c>
      <c r="I132" s="13">
        <v>4000001</v>
      </c>
      <c r="J132" s="17">
        <v>305</v>
      </c>
      <c r="K132" s="13">
        <v>6.4290000000000003</v>
      </c>
      <c r="L132" s="13">
        <v>501</v>
      </c>
      <c r="M132" s="13">
        <v>360</v>
      </c>
      <c r="N132" s="13">
        <v>716</v>
      </c>
      <c r="O132" s="13">
        <v>846</v>
      </c>
      <c r="P132" s="17">
        <v>786.125</v>
      </c>
      <c r="Q132" s="16">
        <v>15.791</v>
      </c>
      <c r="R132" s="18">
        <v>8.3739999999999995E-2</v>
      </c>
      <c r="S132" s="18">
        <v>4.9250000000000002E-2</v>
      </c>
      <c r="T132" s="18">
        <v>4.7809999999999998E-2</v>
      </c>
      <c r="U132" s="13">
        <v>376</v>
      </c>
      <c r="V132" s="13">
        <v>270</v>
      </c>
      <c r="W132" s="13">
        <v>744</v>
      </c>
      <c r="X132" s="13">
        <v>846</v>
      </c>
      <c r="Y132" s="17">
        <v>791.59900000000005</v>
      </c>
      <c r="Z132" s="16">
        <v>13.667999999999999</v>
      </c>
      <c r="AA132" s="18">
        <v>6.472E-2</v>
      </c>
      <c r="AB132" s="18">
        <v>4.1790000000000001E-2</v>
      </c>
      <c r="AC132" s="18">
        <v>3.662E-2</v>
      </c>
      <c r="AD132" s="16">
        <v>58.986600150935352</v>
      </c>
    </row>
    <row r="133" spans="2:30" x14ac:dyDescent="0.25">
      <c r="B133" s="13" t="s">
        <v>42</v>
      </c>
      <c r="C133" s="14">
        <v>42598</v>
      </c>
      <c r="D133" s="22">
        <v>0.3026388888888889</v>
      </c>
      <c r="E133" s="13" t="s">
        <v>43</v>
      </c>
      <c r="F133" s="13">
        <v>109.8</v>
      </c>
      <c r="G133" s="13">
        <v>134.19999999999999</v>
      </c>
      <c r="H133" s="13" t="s">
        <v>44</v>
      </c>
      <c r="I133" s="13">
        <v>4000001</v>
      </c>
      <c r="J133" s="17">
        <v>308</v>
      </c>
      <c r="K133" s="13">
        <v>6.4290000000000003</v>
      </c>
      <c r="L133" s="13">
        <v>501</v>
      </c>
      <c r="M133" s="13">
        <v>360</v>
      </c>
      <c r="N133" s="13">
        <v>722</v>
      </c>
      <c r="O133" s="13">
        <v>834</v>
      </c>
      <c r="P133" s="17">
        <v>785.27300000000002</v>
      </c>
      <c r="Q133" s="16">
        <v>15.683</v>
      </c>
      <c r="R133" s="18">
        <v>7.1679999999999994E-2</v>
      </c>
      <c r="S133" s="18">
        <v>5.9299999999999999E-2</v>
      </c>
      <c r="T133" s="18">
        <v>4.4049999999999999E-2</v>
      </c>
      <c r="U133" s="13">
        <v>376</v>
      </c>
      <c r="V133" s="13">
        <v>270</v>
      </c>
      <c r="W133" s="13">
        <v>750</v>
      </c>
      <c r="X133" s="13">
        <v>834</v>
      </c>
      <c r="Y133" s="17">
        <v>790.976</v>
      </c>
      <c r="Z133" s="16">
        <v>13.585000000000001</v>
      </c>
      <c r="AA133" s="18">
        <v>5.2720000000000003E-2</v>
      </c>
      <c r="AB133" s="18">
        <v>3.508E-2</v>
      </c>
      <c r="AC133" s="18">
        <v>3.6299999999999999E-2</v>
      </c>
      <c r="AD133" s="16">
        <v>59.312906888746951</v>
      </c>
    </row>
    <row r="134" spans="2:30" x14ac:dyDescent="0.25">
      <c r="B134" s="13" t="s">
        <v>42</v>
      </c>
      <c r="C134" s="14">
        <v>42599</v>
      </c>
      <c r="D134" s="22">
        <v>0.31329861111111112</v>
      </c>
      <c r="E134" s="13" t="s">
        <v>43</v>
      </c>
      <c r="F134" s="13">
        <v>109.8</v>
      </c>
      <c r="G134" s="13">
        <v>134.19999999999999</v>
      </c>
      <c r="H134" s="13" t="s">
        <v>44</v>
      </c>
      <c r="I134" s="13">
        <v>4000001</v>
      </c>
      <c r="J134" s="17">
        <v>311</v>
      </c>
      <c r="K134" s="13">
        <v>6.4290000000000003</v>
      </c>
      <c r="L134" s="13">
        <v>501</v>
      </c>
      <c r="M134" s="13">
        <v>360</v>
      </c>
      <c r="N134" s="13">
        <v>706</v>
      </c>
      <c r="O134" s="13">
        <v>837</v>
      </c>
      <c r="P134" s="17">
        <v>786.673</v>
      </c>
      <c r="Q134" s="16">
        <v>16.434000000000001</v>
      </c>
      <c r="R134" s="18">
        <v>8.4909999999999999E-2</v>
      </c>
      <c r="S134" s="18">
        <v>4.7419999999999997E-2</v>
      </c>
      <c r="T134" s="18">
        <v>4.3049999999999998E-2</v>
      </c>
      <c r="U134" s="13">
        <v>376</v>
      </c>
      <c r="V134" s="13">
        <v>270</v>
      </c>
      <c r="W134" s="13">
        <v>743</v>
      </c>
      <c r="X134" s="13">
        <v>837</v>
      </c>
      <c r="Y134" s="17">
        <v>792.471</v>
      </c>
      <c r="Z134" s="16">
        <v>14.638999999999999</v>
      </c>
      <c r="AA134" s="18">
        <v>5.9549999999999999E-2</v>
      </c>
      <c r="AB134" s="18">
        <v>3.6089999999999997E-2</v>
      </c>
      <c r="AC134" s="18">
        <v>4.3049999999999998E-2</v>
      </c>
      <c r="AD134" s="16">
        <v>58.890782284097362</v>
      </c>
    </row>
    <row r="135" spans="2:30" x14ac:dyDescent="0.25">
      <c r="B135" s="13" t="s">
        <v>42</v>
      </c>
      <c r="C135" s="14">
        <v>42600</v>
      </c>
      <c r="D135" s="22">
        <v>0.31487268518518519</v>
      </c>
      <c r="E135" s="13" t="s">
        <v>43</v>
      </c>
      <c r="F135" s="13">
        <v>109.8</v>
      </c>
      <c r="G135" s="13">
        <v>134.19999999999999</v>
      </c>
      <c r="H135" s="13" t="s">
        <v>44</v>
      </c>
      <c r="I135" s="13">
        <v>4000001</v>
      </c>
      <c r="J135" s="17">
        <v>312</v>
      </c>
      <c r="K135" s="13">
        <v>6.4290000000000003</v>
      </c>
      <c r="L135" s="13">
        <v>501</v>
      </c>
      <c r="M135" s="13">
        <v>354</v>
      </c>
      <c r="N135" s="13">
        <v>728</v>
      </c>
      <c r="O135" s="13">
        <v>843</v>
      </c>
      <c r="P135" s="17">
        <v>788.43200000000002</v>
      </c>
      <c r="Q135" s="16">
        <v>17.030999999999999</v>
      </c>
      <c r="R135" s="18">
        <v>7.3340000000000002E-2</v>
      </c>
      <c r="S135" s="18">
        <v>4.6719999999999998E-2</v>
      </c>
      <c r="T135" s="18">
        <v>4.5350000000000001E-2</v>
      </c>
      <c r="U135" s="13">
        <v>376</v>
      </c>
      <c r="V135" s="13">
        <v>265</v>
      </c>
      <c r="W135" s="13">
        <v>744</v>
      </c>
      <c r="X135" s="13">
        <v>843</v>
      </c>
      <c r="Y135" s="17">
        <v>794.63900000000001</v>
      </c>
      <c r="Z135" s="16">
        <v>14.919</v>
      </c>
      <c r="AA135" s="18">
        <v>6.1940000000000002E-2</v>
      </c>
      <c r="AB135" s="18">
        <v>3.9559999999999998E-2</v>
      </c>
      <c r="AC135" s="18">
        <v>3.8089999999999999E-2</v>
      </c>
      <c r="AD135" s="16">
        <v>58.851956489745355</v>
      </c>
    </row>
    <row r="136" spans="2:30" x14ac:dyDescent="0.25">
      <c r="B136" s="13" t="s">
        <v>42</v>
      </c>
      <c r="C136" s="14">
        <v>42601</v>
      </c>
      <c r="D136" s="22">
        <v>0.41545138888888888</v>
      </c>
      <c r="E136" s="13" t="s">
        <v>43</v>
      </c>
      <c r="F136" s="13">
        <v>109.8</v>
      </c>
      <c r="G136" s="13">
        <v>134.19999999999999</v>
      </c>
      <c r="H136" s="13" t="s">
        <v>44</v>
      </c>
      <c r="I136" s="13">
        <v>4000001</v>
      </c>
      <c r="J136" s="17">
        <v>312</v>
      </c>
      <c r="K136" s="13">
        <v>6.4290000000000003</v>
      </c>
      <c r="L136" s="13">
        <v>501</v>
      </c>
      <c r="M136" s="13">
        <v>354</v>
      </c>
      <c r="N136" s="13">
        <v>731</v>
      </c>
      <c r="O136" s="13">
        <v>846</v>
      </c>
      <c r="P136" s="17">
        <v>788.98599999999999</v>
      </c>
      <c r="Q136" s="16">
        <v>16.693999999999999</v>
      </c>
      <c r="R136" s="18">
        <v>7.3039999999999994E-2</v>
      </c>
      <c r="S136" s="18">
        <v>4.0960000000000003E-2</v>
      </c>
      <c r="T136" s="18">
        <v>4.7469999999999998E-2</v>
      </c>
      <c r="U136" s="13">
        <v>376</v>
      </c>
      <c r="V136" s="13">
        <v>265</v>
      </c>
      <c r="W136" s="13">
        <v>747</v>
      </c>
      <c r="X136" s="13">
        <v>846</v>
      </c>
      <c r="Y136" s="17">
        <v>795.11300000000006</v>
      </c>
      <c r="Z136" s="16">
        <v>14.688000000000001</v>
      </c>
      <c r="AA136" s="18">
        <v>6.2109999999999999E-2</v>
      </c>
      <c r="AB136" s="18">
        <v>3.3799999999999997E-2</v>
      </c>
      <c r="AC136" s="18">
        <v>4.0280000000000003E-2</v>
      </c>
      <c r="AD136" s="16">
        <v>59.002266119954783</v>
      </c>
    </row>
    <row r="137" spans="2:30" x14ac:dyDescent="0.25">
      <c r="B137" s="13" t="s">
        <v>42</v>
      </c>
      <c r="C137" s="14">
        <v>42604</v>
      </c>
      <c r="D137" s="22">
        <v>0.32086805555555559</v>
      </c>
      <c r="E137" s="13" t="s">
        <v>43</v>
      </c>
      <c r="F137" s="13">
        <v>109.8</v>
      </c>
      <c r="G137" s="13">
        <v>134.19999999999999</v>
      </c>
      <c r="H137" s="13" t="s">
        <v>44</v>
      </c>
      <c r="I137" s="13">
        <v>4000001</v>
      </c>
      <c r="J137" s="17">
        <v>320</v>
      </c>
      <c r="K137" s="13">
        <v>6.4290000000000003</v>
      </c>
      <c r="L137" s="13">
        <v>501</v>
      </c>
      <c r="M137" s="13">
        <v>360</v>
      </c>
      <c r="N137" s="13">
        <v>724</v>
      </c>
      <c r="O137" s="13">
        <v>844</v>
      </c>
      <c r="P137" s="17">
        <v>784.774</v>
      </c>
      <c r="Q137" s="16">
        <v>16.847000000000001</v>
      </c>
      <c r="R137" s="18">
        <v>7.6999999999999999E-2</v>
      </c>
      <c r="S137" s="18">
        <v>4.1930000000000002E-2</v>
      </c>
      <c r="T137" s="18">
        <v>4.5990000000000003E-2</v>
      </c>
      <c r="U137" s="13">
        <v>376</v>
      </c>
      <c r="V137" s="13">
        <v>270</v>
      </c>
      <c r="W137" s="13">
        <v>737</v>
      </c>
      <c r="X137" s="13">
        <v>844</v>
      </c>
      <c r="Y137" s="17">
        <v>790.91099999999994</v>
      </c>
      <c r="Z137" s="16">
        <v>15.512</v>
      </c>
      <c r="AA137" s="18">
        <v>6.8049999999999999E-2</v>
      </c>
      <c r="AB137" s="18">
        <v>4.1930000000000002E-2</v>
      </c>
      <c r="AC137" s="18">
        <v>4.5990000000000003E-2</v>
      </c>
      <c r="AD137" s="16">
        <v>57.969114748682827</v>
      </c>
    </row>
    <row r="138" spans="2:30" x14ac:dyDescent="0.25">
      <c r="B138" s="13" t="s">
        <v>42</v>
      </c>
      <c r="C138" s="14">
        <v>42606</v>
      </c>
      <c r="D138" s="22">
        <v>0.29803240740740738</v>
      </c>
      <c r="E138" s="13" t="s">
        <v>43</v>
      </c>
      <c r="F138" s="13">
        <v>109.8</v>
      </c>
      <c r="G138" s="13">
        <v>134.19999999999999</v>
      </c>
      <c r="H138" s="13" t="s">
        <v>44</v>
      </c>
      <c r="I138" s="13">
        <v>4000001</v>
      </c>
      <c r="J138" s="17">
        <v>315</v>
      </c>
      <c r="K138" s="13">
        <v>6.4290000000000003</v>
      </c>
      <c r="L138" s="13">
        <v>501</v>
      </c>
      <c r="M138" s="13">
        <v>360</v>
      </c>
      <c r="N138" s="13">
        <v>720</v>
      </c>
      <c r="O138" s="13">
        <v>843</v>
      </c>
      <c r="P138" s="17">
        <v>786.60699999999997</v>
      </c>
      <c r="Q138" s="16">
        <v>16.783999999999999</v>
      </c>
      <c r="R138" s="18">
        <v>7.8969999999999999E-2</v>
      </c>
      <c r="S138" s="18">
        <v>5.7459999999999997E-2</v>
      </c>
      <c r="T138" s="18">
        <v>4.7750000000000001E-2</v>
      </c>
      <c r="U138" s="13">
        <v>376</v>
      </c>
      <c r="V138" s="13">
        <v>270</v>
      </c>
      <c r="W138" s="13">
        <v>741</v>
      </c>
      <c r="X138" s="13">
        <v>843</v>
      </c>
      <c r="Y138" s="17">
        <v>792.84</v>
      </c>
      <c r="Z138" s="16">
        <v>14.728</v>
      </c>
      <c r="AA138" s="18">
        <v>6.4869999999999997E-2</v>
      </c>
      <c r="AB138" s="18">
        <v>3.9579999999999997E-2</v>
      </c>
      <c r="AC138" s="18">
        <v>3.4680000000000002E-2</v>
      </c>
      <c r="AD138" s="16">
        <v>59.190453371806321</v>
      </c>
    </row>
    <row r="139" spans="2:30" x14ac:dyDescent="0.25">
      <c r="B139" s="13" t="s">
        <v>42</v>
      </c>
      <c r="C139" s="14">
        <v>42607</v>
      </c>
      <c r="D139" s="22">
        <v>0.31555555555555553</v>
      </c>
      <c r="E139" s="13" t="s">
        <v>43</v>
      </c>
      <c r="F139" s="13">
        <v>109.8</v>
      </c>
      <c r="G139" s="13">
        <v>134.19999999999999</v>
      </c>
      <c r="H139" s="13" t="s">
        <v>44</v>
      </c>
      <c r="I139" s="13">
        <v>4000001</v>
      </c>
      <c r="J139" s="17">
        <v>314</v>
      </c>
      <c r="K139" s="13">
        <v>6.4290000000000003</v>
      </c>
      <c r="L139" s="13">
        <v>501</v>
      </c>
      <c r="M139" s="13">
        <v>360</v>
      </c>
      <c r="N139" s="13">
        <v>714</v>
      </c>
      <c r="O139" s="13">
        <v>834</v>
      </c>
      <c r="P139" s="17">
        <v>785.08299999999997</v>
      </c>
      <c r="Q139" s="16">
        <v>16.047000000000001</v>
      </c>
      <c r="R139" s="18">
        <v>7.7560000000000004E-2</v>
      </c>
      <c r="S139" s="18">
        <v>4.3209999999999998E-2</v>
      </c>
      <c r="T139" s="18">
        <v>4.6539999999999998E-2</v>
      </c>
      <c r="U139" s="13">
        <v>376</v>
      </c>
      <c r="V139" s="13">
        <v>270</v>
      </c>
      <c r="W139" s="13">
        <v>734</v>
      </c>
      <c r="X139" s="13">
        <v>834</v>
      </c>
      <c r="Y139" s="17">
        <v>790.67399999999998</v>
      </c>
      <c r="Z139" s="16">
        <v>13.643000000000001</v>
      </c>
      <c r="AA139" s="18">
        <v>6.3399999999999998E-2</v>
      </c>
      <c r="AB139" s="18">
        <v>4.1669999999999999E-2</v>
      </c>
      <c r="AC139" s="18">
        <v>4.1779999999999998E-2</v>
      </c>
      <c r="AD139" s="16">
        <v>59.530613607968036</v>
      </c>
    </row>
    <row r="140" spans="2:30" x14ac:dyDescent="0.25">
      <c r="B140" s="13" t="s">
        <v>42</v>
      </c>
      <c r="C140" s="14">
        <v>42608</v>
      </c>
      <c r="D140" s="22">
        <v>0.32019675925925922</v>
      </c>
      <c r="E140" s="13" t="s">
        <v>43</v>
      </c>
      <c r="F140" s="13">
        <v>109.8</v>
      </c>
      <c r="G140" s="13">
        <v>134.19999999999999</v>
      </c>
      <c r="H140" s="13" t="s">
        <v>44</v>
      </c>
      <c r="I140" s="13">
        <v>4000001</v>
      </c>
      <c r="J140" s="17">
        <v>317</v>
      </c>
      <c r="K140" s="13">
        <v>6.4290000000000003</v>
      </c>
      <c r="L140" s="13">
        <v>501</v>
      </c>
      <c r="M140" s="13">
        <v>354</v>
      </c>
      <c r="N140" s="13">
        <v>730</v>
      </c>
      <c r="O140" s="13">
        <v>838</v>
      </c>
      <c r="P140" s="17">
        <v>790.04499999999996</v>
      </c>
      <c r="Q140" s="16">
        <v>15.836</v>
      </c>
      <c r="R140" s="18">
        <v>6.9419999999999996E-2</v>
      </c>
      <c r="S140" s="18">
        <v>4.2630000000000001E-2</v>
      </c>
      <c r="T140" s="18">
        <v>4.0869999999999997E-2</v>
      </c>
      <c r="U140" s="13">
        <v>376</v>
      </c>
      <c r="V140" s="13">
        <v>265</v>
      </c>
      <c r="W140" s="13">
        <v>743</v>
      </c>
      <c r="X140" s="13">
        <v>838</v>
      </c>
      <c r="Y140" s="17">
        <v>796.03399999999999</v>
      </c>
      <c r="Z140" s="16">
        <v>13.824999999999999</v>
      </c>
      <c r="AA140" s="18">
        <v>6.0440000000000001E-2</v>
      </c>
      <c r="AB140" s="18">
        <v>3.7339999999999998E-2</v>
      </c>
      <c r="AC140" s="18">
        <v>3.8440000000000002E-2</v>
      </c>
      <c r="AD140" s="16">
        <v>59.117836454927115</v>
      </c>
    </row>
    <row r="141" spans="2:30" x14ac:dyDescent="0.25">
      <c r="B141" s="13" t="s">
        <v>42</v>
      </c>
      <c r="C141" s="14">
        <v>42611</v>
      </c>
      <c r="D141" s="22">
        <v>0.3115046296296296</v>
      </c>
      <c r="E141" s="13" t="s">
        <v>43</v>
      </c>
      <c r="F141" s="13">
        <v>109.8</v>
      </c>
      <c r="G141" s="13">
        <v>134.19999999999999</v>
      </c>
      <c r="H141" s="13" t="s">
        <v>44</v>
      </c>
      <c r="I141" s="13">
        <v>4000001</v>
      </c>
      <c r="J141" s="17">
        <v>325</v>
      </c>
      <c r="K141" s="13">
        <v>6.4290000000000003</v>
      </c>
      <c r="L141" s="13">
        <v>501</v>
      </c>
      <c r="M141" s="13">
        <v>360</v>
      </c>
      <c r="N141" s="13">
        <v>717</v>
      </c>
      <c r="O141" s="13">
        <v>832</v>
      </c>
      <c r="P141" s="17">
        <v>784.68100000000004</v>
      </c>
      <c r="Q141" s="16">
        <v>17.206</v>
      </c>
      <c r="R141" s="18">
        <v>7.4090000000000003E-2</v>
      </c>
      <c r="S141" s="18">
        <v>4.5190000000000001E-2</v>
      </c>
      <c r="T141" s="18">
        <v>4.2560000000000001E-2</v>
      </c>
      <c r="U141" s="13">
        <v>376</v>
      </c>
      <c r="V141" s="13">
        <v>270</v>
      </c>
      <c r="W141" s="13">
        <v>734</v>
      </c>
      <c r="X141" s="13">
        <v>832</v>
      </c>
      <c r="Y141" s="17">
        <v>790.596</v>
      </c>
      <c r="Z141" s="16">
        <v>15.112</v>
      </c>
      <c r="AA141" s="18">
        <v>6.2350000000000003E-2</v>
      </c>
      <c r="AB141" s="18">
        <v>3.8519999999999999E-2</v>
      </c>
      <c r="AC141" s="18">
        <v>4.0320000000000002E-2</v>
      </c>
      <c r="AD141" s="16">
        <v>58.105573697068962</v>
      </c>
    </row>
    <row r="142" spans="2:30" x14ac:dyDescent="0.25">
      <c r="B142" s="13" t="s">
        <v>42</v>
      </c>
      <c r="C142" s="14">
        <v>42612</v>
      </c>
      <c r="D142" s="22">
        <v>0.3422337962962963</v>
      </c>
      <c r="E142" s="13" t="s">
        <v>43</v>
      </c>
      <c r="F142" s="13">
        <v>109.8</v>
      </c>
      <c r="G142" s="13">
        <v>134.19999999999999</v>
      </c>
      <c r="H142" s="13" t="s">
        <v>44</v>
      </c>
      <c r="I142" s="13">
        <v>4000001</v>
      </c>
      <c r="J142" s="17">
        <v>319</v>
      </c>
      <c r="K142" s="13">
        <v>6.4290000000000003</v>
      </c>
      <c r="L142" s="13">
        <v>501</v>
      </c>
      <c r="M142" s="13">
        <v>360</v>
      </c>
      <c r="N142" s="13">
        <v>724</v>
      </c>
      <c r="O142" s="13">
        <v>829</v>
      </c>
      <c r="P142" s="17">
        <v>785.43499999999995</v>
      </c>
      <c r="Q142" s="16">
        <v>15.952999999999999</v>
      </c>
      <c r="R142" s="18">
        <v>6.7669999999999994E-2</v>
      </c>
      <c r="S142" s="18">
        <v>4.2720000000000001E-2</v>
      </c>
      <c r="T142" s="18">
        <v>3.7499999999999999E-2</v>
      </c>
      <c r="U142" s="13">
        <v>376</v>
      </c>
      <c r="V142" s="13">
        <v>270</v>
      </c>
      <c r="W142" s="13">
        <v>741</v>
      </c>
      <c r="X142" s="13">
        <v>829</v>
      </c>
      <c r="Y142" s="17">
        <v>791.09799999999996</v>
      </c>
      <c r="Z142" s="16">
        <v>14.179</v>
      </c>
      <c r="AA142" s="18">
        <v>5.6300000000000003E-2</v>
      </c>
      <c r="AB142" s="18">
        <v>4.2720000000000001E-2</v>
      </c>
      <c r="AC142" s="18">
        <v>3.7499999999999999E-2</v>
      </c>
      <c r="AD142" s="16">
        <v>59.349663132238277</v>
      </c>
    </row>
    <row r="143" spans="2:30" x14ac:dyDescent="0.25">
      <c r="B143" s="13" t="s">
        <v>42</v>
      </c>
      <c r="C143" s="14">
        <v>42613</v>
      </c>
      <c r="D143" s="22">
        <v>0.31390046296296298</v>
      </c>
      <c r="E143" s="13" t="s">
        <v>43</v>
      </c>
      <c r="F143" s="13">
        <v>109.8</v>
      </c>
      <c r="G143" s="13">
        <v>134.19999999999999</v>
      </c>
      <c r="H143" s="13" t="s">
        <v>44</v>
      </c>
      <c r="I143" s="13">
        <v>4000001</v>
      </c>
      <c r="J143" s="17">
        <v>320</v>
      </c>
      <c r="K143" s="13">
        <v>6.4290000000000003</v>
      </c>
      <c r="L143" s="13">
        <v>501</v>
      </c>
      <c r="M143" s="13">
        <v>360</v>
      </c>
      <c r="N143" s="13">
        <v>716</v>
      </c>
      <c r="O143" s="13">
        <v>839</v>
      </c>
      <c r="P143" s="17">
        <v>785.46500000000003</v>
      </c>
      <c r="Q143" s="16">
        <v>16.599</v>
      </c>
      <c r="R143" s="18">
        <v>7.9020000000000007E-2</v>
      </c>
      <c r="S143" s="18">
        <v>4.9230000000000003E-2</v>
      </c>
      <c r="T143" s="18">
        <v>4.2180000000000002E-2</v>
      </c>
      <c r="U143" s="13">
        <v>376</v>
      </c>
      <c r="V143" s="13">
        <v>270</v>
      </c>
      <c r="W143" s="13">
        <v>727</v>
      </c>
      <c r="X143" s="13">
        <v>839</v>
      </c>
      <c r="Y143" s="17">
        <v>791.81200000000001</v>
      </c>
      <c r="Z143" s="16">
        <v>14.603999999999999</v>
      </c>
      <c r="AA143" s="18">
        <v>7.1559999999999999E-2</v>
      </c>
      <c r="AB143" s="18">
        <v>4.9230000000000003E-2</v>
      </c>
      <c r="AC143" s="18">
        <v>4.1279999999999997E-2</v>
      </c>
      <c r="AD143" s="16">
        <v>59.315302532621729</v>
      </c>
    </row>
    <row r="144" spans="2:30" x14ac:dyDescent="0.25">
      <c r="B144" s="13" t="s">
        <v>42</v>
      </c>
      <c r="C144" s="14">
        <v>42614</v>
      </c>
      <c r="D144" s="22">
        <v>0.33629629629629632</v>
      </c>
      <c r="E144" s="13" t="s">
        <v>43</v>
      </c>
      <c r="F144" s="13">
        <v>109.8</v>
      </c>
      <c r="G144" s="13">
        <v>134.19999999999999</v>
      </c>
      <c r="H144" s="13" t="s">
        <v>44</v>
      </c>
      <c r="I144" s="13">
        <v>4000001</v>
      </c>
      <c r="J144" s="17">
        <v>320</v>
      </c>
      <c r="K144" s="13">
        <v>6.4290000000000003</v>
      </c>
      <c r="L144" s="13">
        <v>501</v>
      </c>
      <c r="M144" s="13">
        <v>360</v>
      </c>
      <c r="N144" s="13">
        <v>714</v>
      </c>
      <c r="O144" s="13">
        <v>837</v>
      </c>
      <c r="P144" s="17">
        <v>784.80499999999995</v>
      </c>
      <c r="Q144" s="16">
        <v>16.047999999999998</v>
      </c>
      <c r="R144" s="18">
        <v>7.9649999999999999E-2</v>
      </c>
      <c r="S144" s="18">
        <v>4.7730000000000002E-2</v>
      </c>
      <c r="T144" s="18">
        <v>4.1570000000000003E-2</v>
      </c>
      <c r="U144" s="13">
        <v>376</v>
      </c>
      <c r="V144" s="13">
        <v>270</v>
      </c>
      <c r="W144" s="13">
        <v>744</v>
      </c>
      <c r="X144" s="13">
        <v>834</v>
      </c>
      <c r="Y144" s="17">
        <v>790.69299999999998</v>
      </c>
      <c r="Z144" s="16">
        <v>13.941000000000001</v>
      </c>
      <c r="AA144" s="18">
        <v>5.6890000000000003E-2</v>
      </c>
      <c r="AB144" s="18">
        <v>3.6209999999999999E-2</v>
      </c>
      <c r="AC144" s="18">
        <v>4.1570000000000003E-2</v>
      </c>
      <c r="AD144" s="16">
        <v>59.466795562271351</v>
      </c>
    </row>
    <row r="145" spans="2:30" x14ac:dyDescent="0.25">
      <c r="B145" s="13" t="s">
        <v>42</v>
      </c>
      <c r="C145" s="14">
        <v>42615</v>
      </c>
      <c r="D145" s="22">
        <v>0.31297453703703704</v>
      </c>
      <c r="E145" s="13" t="s">
        <v>43</v>
      </c>
      <c r="F145" s="13">
        <v>109.8</v>
      </c>
      <c r="G145" s="13">
        <v>134.19999999999999</v>
      </c>
      <c r="H145" s="13" t="s">
        <v>44</v>
      </c>
      <c r="I145" s="13">
        <v>4000001</v>
      </c>
      <c r="J145" s="17">
        <v>322</v>
      </c>
      <c r="K145" s="13">
        <v>6.4290000000000003</v>
      </c>
      <c r="L145" s="13">
        <v>501</v>
      </c>
      <c r="M145" s="13">
        <v>354</v>
      </c>
      <c r="N145" s="13">
        <v>727</v>
      </c>
      <c r="O145" s="13">
        <v>855</v>
      </c>
      <c r="P145" s="17">
        <v>789.70100000000002</v>
      </c>
      <c r="Q145" s="16">
        <v>16.306000000000001</v>
      </c>
      <c r="R145" s="18">
        <v>8.0990000000000006E-2</v>
      </c>
      <c r="S145" s="18">
        <v>4.1869999999999997E-2</v>
      </c>
      <c r="T145" s="18">
        <v>5.3319999999999999E-2</v>
      </c>
      <c r="U145" s="13">
        <v>376</v>
      </c>
      <c r="V145" s="13">
        <v>265</v>
      </c>
      <c r="W145" s="13">
        <v>748</v>
      </c>
      <c r="X145" s="13">
        <v>855</v>
      </c>
      <c r="Y145" s="17">
        <v>795.74300000000005</v>
      </c>
      <c r="Z145" s="16">
        <v>14.593999999999999</v>
      </c>
      <c r="AA145" s="18">
        <v>6.6970000000000002E-2</v>
      </c>
      <c r="AB145" s="18">
        <v>4.1869999999999997E-2</v>
      </c>
      <c r="AC145" s="18">
        <v>4.1709999999999997E-2</v>
      </c>
      <c r="AD145" s="16">
        <v>59.248373177222895</v>
      </c>
    </row>
    <row r="146" spans="2:30" x14ac:dyDescent="0.25">
      <c r="B146" s="13" t="s">
        <v>42</v>
      </c>
      <c r="C146" s="14">
        <v>42618</v>
      </c>
      <c r="D146" s="22">
        <v>0.29854166666666665</v>
      </c>
      <c r="E146" s="13" t="s">
        <v>43</v>
      </c>
      <c r="F146" s="13">
        <v>109.8</v>
      </c>
      <c r="G146" s="13">
        <v>134.19999999999999</v>
      </c>
      <c r="H146" s="13" t="s">
        <v>44</v>
      </c>
      <c r="I146" s="13">
        <v>4000001</v>
      </c>
      <c r="J146" s="17">
        <v>329</v>
      </c>
      <c r="K146" s="13">
        <v>6.4290000000000003</v>
      </c>
      <c r="L146" s="13">
        <v>501</v>
      </c>
      <c r="M146" s="13">
        <v>360</v>
      </c>
      <c r="N146" s="13">
        <v>716</v>
      </c>
      <c r="O146" s="13">
        <v>842</v>
      </c>
      <c r="P146" s="17">
        <v>784.99300000000005</v>
      </c>
      <c r="Q146" s="16">
        <v>16.864000000000001</v>
      </c>
      <c r="R146" s="18">
        <v>8.0699999999999994E-2</v>
      </c>
      <c r="S146" s="18">
        <v>5.2179999999999997E-2</v>
      </c>
      <c r="T146" s="18">
        <v>4.4299999999999999E-2</v>
      </c>
      <c r="U146" s="13">
        <v>376</v>
      </c>
      <c r="V146" s="13">
        <v>270</v>
      </c>
      <c r="W146" s="13">
        <v>748</v>
      </c>
      <c r="X146" s="13">
        <v>838</v>
      </c>
      <c r="Y146" s="17">
        <v>790.84299999999996</v>
      </c>
      <c r="Z146" s="16">
        <v>14.46</v>
      </c>
      <c r="AA146" s="18">
        <v>5.6759999999999998E-2</v>
      </c>
      <c r="AB146" s="18">
        <v>3.5060000000000001E-2</v>
      </c>
      <c r="AC146" s="18">
        <v>3.9730000000000001E-2</v>
      </c>
      <c r="AD146" s="16">
        <v>58.433212646402325</v>
      </c>
    </row>
    <row r="147" spans="2:30" x14ac:dyDescent="0.25">
      <c r="B147" s="13" t="s">
        <v>42</v>
      </c>
      <c r="C147" s="14">
        <v>42619</v>
      </c>
      <c r="D147" s="22">
        <v>0.302650462962963</v>
      </c>
      <c r="E147" s="13" t="s">
        <v>43</v>
      </c>
      <c r="F147" s="13">
        <v>109.8</v>
      </c>
      <c r="G147" s="13">
        <v>134.19999999999999</v>
      </c>
      <c r="H147" s="13" t="s">
        <v>44</v>
      </c>
      <c r="I147" s="13">
        <v>4000001</v>
      </c>
      <c r="J147" s="17">
        <v>324</v>
      </c>
      <c r="K147" s="13">
        <v>6.4290000000000003</v>
      </c>
      <c r="L147" s="13">
        <v>501</v>
      </c>
      <c r="M147" s="13">
        <v>360</v>
      </c>
      <c r="N147" s="13">
        <v>724</v>
      </c>
      <c r="O147" s="13">
        <v>835</v>
      </c>
      <c r="P147" s="17">
        <v>785.71699999999998</v>
      </c>
      <c r="Q147" s="16">
        <v>15.375</v>
      </c>
      <c r="R147" s="18">
        <v>7.1440000000000003E-2</v>
      </c>
      <c r="S147" s="18">
        <v>4.0379999999999999E-2</v>
      </c>
      <c r="T147" s="18">
        <v>4.4240000000000002E-2</v>
      </c>
      <c r="U147" s="13">
        <v>376</v>
      </c>
      <c r="V147" s="13">
        <v>270</v>
      </c>
      <c r="W147" s="13">
        <v>747</v>
      </c>
      <c r="X147" s="13">
        <v>831</v>
      </c>
      <c r="Y147" s="17">
        <v>791.00400000000002</v>
      </c>
      <c r="Z147" s="16">
        <v>13.423</v>
      </c>
      <c r="AA147" s="18">
        <v>5.3179999999999998E-2</v>
      </c>
      <c r="AB147" s="18">
        <v>3.8210000000000001E-2</v>
      </c>
      <c r="AC147" s="18">
        <v>3.8449999999999998E-2</v>
      </c>
      <c r="AD147" s="16">
        <v>59.486502989917994</v>
      </c>
    </row>
    <row r="148" spans="2:30" x14ac:dyDescent="0.25">
      <c r="B148" s="13" t="s">
        <v>42</v>
      </c>
      <c r="C148" s="14">
        <v>42620</v>
      </c>
      <c r="D148" s="22">
        <v>0.32074074074074072</v>
      </c>
      <c r="E148" s="13" t="s">
        <v>43</v>
      </c>
      <c r="F148" s="13">
        <v>109.8</v>
      </c>
      <c r="G148" s="13">
        <v>134.19999999999999</v>
      </c>
      <c r="H148" s="13" t="s">
        <v>44</v>
      </c>
      <c r="I148" s="13">
        <v>4000001</v>
      </c>
      <c r="J148" s="17">
        <v>329</v>
      </c>
      <c r="K148" s="13">
        <v>6.4290000000000003</v>
      </c>
      <c r="L148" s="13">
        <v>501</v>
      </c>
      <c r="M148" s="13">
        <v>354</v>
      </c>
      <c r="N148" s="13">
        <v>732</v>
      </c>
      <c r="O148" s="13">
        <v>858</v>
      </c>
      <c r="P148" s="17">
        <v>797.38099999999997</v>
      </c>
      <c r="Q148" s="16">
        <v>17.024000000000001</v>
      </c>
      <c r="R148" s="18">
        <v>7.9469999999999999E-2</v>
      </c>
      <c r="S148" s="18">
        <v>4.1599999999999998E-2</v>
      </c>
      <c r="T148" s="18">
        <v>3.7999999999999999E-2</v>
      </c>
      <c r="U148" s="13">
        <v>376</v>
      </c>
      <c r="V148" s="13">
        <v>265</v>
      </c>
      <c r="W148" s="13">
        <v>756</v>
      </c>
      <c r="X148" s="13">
        <v>858</v>
      </c>
      <c r="Y148" s="17">
        <v>803.18299999999999</v>
      </c>
      <c r="Z148" s="16">
        <v>15.021000000000001</v>
      </c>
      <c r="AA148" s="18">
        <v>6.3109999999999999E-2</v>
      </c>
      <c r="AB148" s="18">
        <v>3.6249999999999998E-2</v>
      </c>
      <c r="AC148" s="18">
        <v>3.6179999999999997E-2</v>
      </c>
      <c r="AD148" s="16">
        <v>58.732074102331971</v>
      </c>
    </row>
    <row r="149" spans="2:30" x14ac:dyDescent="0.25">
      <c r="B149" s="13" t="s">
        <v>42</v>
      </c>
      <c r="C149" s="14">
        <v>42621</v>
      </c>
      <c r="D149" s="22">
        <v>0.33427083333333335</v>
      </c>
      <c r="E149" s="13" t="s">
        <v>43</v>
      </c>
      <c r="F149" s="13">
        <v>109.8</v>
      </c>
      <c r="G149" s="13">
        <v>134.19999999999999</v>
      </c>
      <c r="H149" s="13" t="s">
        <v>44</v>
      </c>
      <c r="I149" s="13">
        <v>4000001</v>
      </c>
      <c r="J149" s="17">
        <v>325</v>
      </c>
      <c r="K149" s="13">
        <v>6.4290000000000003</v>
      </c>
      <c r="L149" s="13">
        <v>501</v>
      </c>
      <c r="M149" s="13">
        <v>360</v>
      </c>
      <c r="N149" s="13">
        <v>725</v>
      </c>
      <c r="O149" s="13">
        <v>841</v>
      </c>
      <c r="P149" s="17">
        <v>785.14</v>
      </c>
      <c r="Q149" s="16">
        <v>16.032</v>
      </c>
      <c r="R149" s="18">
        <v>7.399E-2</v>
      </c>
      <c r="S149" s="18">
        <v>5.1560000000000002E-2</v>
      </c>
      <c r="T149" s="18">
        <v>4.2659999999999997E-2</v>
      </c>
      <c r="U149" s="13">
        <v>376</v>
      </c>
      <c r="V149" s="13">
        <v>270</v>
      </c>
      <c r="W149" s="13">
        <v>743</v>
      </c>
      <c r="X149" s="13">
        <v>841</v>
      </c>
      <c r="Y149" s="17">
        <v>791.34199999999998</v>
      </c>
      <c r="Z149" s="16">
        <v>13.728</v>
      </c>
      <c r="AA149" s="18">
        <v>6.1580000000000003E-2</v>
      </c>
      <c r="AB149" s="18">
        <v>3.7620000000000001E-2</v>
      </c>
      <c r="AC149" s="18">
        <v>4.2659999999999997E-2</v>
      </c>
      <c r="AD149" s="16">
        <v>59.606780042308728</v>
      </c>
    </row>
    <row r="150" spans="2:30" x14ac:dyDescent="0.25">
      <c r="B150" s="13" t="s">
        <v>42</v>
      </c>
      <c r="C150" s="14">
        <v>42622</v>
      </c>
      <c r="D150" s="22">
        <v>0.32596064814814812</v>
      </c>
      <c r="E150" s="13" t="s">
        <v>43</v>
      </c>
      <c r="F150" s="13">
        <v>109.8</v>
      </c>
      <c r="G150" s="13">
        <v>134.19999999999999</v>
      </c>
      <c r="H150" s="13" t="s">
        <v>44</v>
      </c>
      <c r="I150" s="13">
        <v>4000001</v>
      </c>
      <c r="J150" s="17">
        <v>326</v>
      </c>
      <c r="K150" s="13">
        <v>6.4290000000000003</v>
      </c>
      <c r="L150" s="13">
        <v>501</v>
      </c>
      <c r="M150" s="13">
        <v>360</v>
      </c>
      <c r="N150" s="13">
        <v>723</v>
      </c>
      <c r="O150" s="13">
        <v>842</v>
      </c>
      <c r="P150" s="17">
        <v>784.899</v>
      </c>
      <c r="Q150" s="16">
        <v>16.526</v>
      </c>
      <c r="R150" s="18">
        <v>7.5889999999999999E-2</v>
      </c>
      <c r="S150" s="18">
        <v>5.0930000000000003E-2</v>
      </c>
      <c r="T150" s="18">
        <v>4.904E-2</v>
      </c>
      <c r="U150" s="13">
        <v>376</v>
      </c>
      <c r="V150" s="13">
        <v>270</v>
      </c>
      <c r="W150" s="13">
        <v>745</v>
      </c>
      <c r="X150" s="13">
        <v>842</v>
      </c>
      <c r="Y150" s="17">
        <v>790.74300000000005</v>
      </c>
      <c r="Z150" s="16">
        <v>14.345000000000001</v>
      </c>
      <c r="AA150" s="18">
        <v>6.0999999999999999E-2</v>
      </c>
      <c r="AB150" s="18">
        <v>3.7990000000000003E-2</v>
      </c>
      <c r="AC150" s="18">
        <v>3.678E-2</v>
      </c>
      <c r="AD150" s="16">
        <v>59.575707644427666</v>
      </c>
    </row>
    <row r="151" spans="2:30" x14ac:dyDescent="0.25">
      <c r="B151" s="13" t="s">
        <v>42</v>
      </c>
      <c r="C151" s="14">
        <v>42625</v>
      </c>
      <c r="D151" s="22">
        <v>0.33865740740740741</v>
      </c>
      <c r="E151" s="13" t="s">
        <v>43</v>
      </c>
      <c r="F151" s="13">
        <v>109.8</v>
      </c>
      <c r="G151" s="13">
        <v>134.19999999999999</v>
      </c>
      <c r="H151" s="13" t="s">
        <v>44</v>
      </c>
      <c r="I151" s="13">
        <v>4000002</v>
      </c>
      <c r="J151" s="17">
        <v>336</v>
      </c>
      <c r="K151" s="13">
        <v>6.4290000000000003</v>
      </c>
      <c r="L151" s="13">
        <v>501</v>
      </c>
      <c r="M151" s="13">
        <v>360</v>
      </c>
      <c r="N151" s="13">
        <v>722</v>
      </c>
      <c r="O151" s="13">
        <v>834</v>
      </c>
      <c r="P151" s="17">
        <v>784.71400000000006</v>
      </c>
      <c r="Q151" s="16">
        <v>17.183</v>
      </c>
      <c r="R151" s="18">
        <v>7.1590000000000001E-2</v>
      </c>
      <c r="S151" s="18">
        <v>4.2689999999999999E-2</v>
      </c>
      <c r="T151" s="18">
        <v>5.2449999999999997E-2</v>
      </c>
      <c r="U151" s="13">
        <v>376</v>
      </c>
      <c r="V151" s="13">
        <v>270</v>
      </c>
      <c r="W151" s="13">
        <v>747</v>
      </c>
      <c r="X151" s="13">
        <v>834</v>
      </c>
      <c r="Y151" s="17">
        <v>790.42</v>
      </c>
      <c r="Z151" s="16">
        <v>14.93</v>
      </c>
      <c r="AA151" s="18">
        <v>5.4829999999999997E-2</v>
      </c>
      <c r="AB151" s="18">
        <v>3.2239999999999998E-2</v>
      </c>
      <c r="AC151" s="18">
        <v>4.4110000000000003E-2</v>
      </c>
      <c r="AD151" s="16">
        <v>58.246656573272219</v>
      </c>
    </row>
    <row r="152" spans="2:30" x14ac:dyDescent="0.25">
      <c r="B152" s="13" t="s">
        <v>42</v>
      </c>
      <c r="C152" s="14">
        <v>42626</v>
      </c>
      <c r="D152" s="22">
        <v>0.29854166666666665</v>
      </c>
      <c r="E152" s="13" t="s">
        <v>43</v>
      </c>
      <c r="F152" s="13">
        <v>109.8</v>
      </c>
      <c r="G152" s="13">
        <v>134.19999999999999</v>
      </c>
      <c r="H152" s="13" t="s">
        <v>44</v>
      </c>
      <c r="I152" s="13">
        <v>4000001</v>
      </c>
      <c r="J152" s="17">
        <v>329</v>
      </c>
      <c r="K152" s="13">
        <v>6.4290000000000003</v>
      </c>
      <c r="L152" s="13">
        <v>501</v>
      </c>
      <c r="M152" s="13">
        <v>360</v>
      </c>
      <c r="N152" s="13">
        <v>714</v>
      </c>
      <c r="O152" s="13">
        <v>842</v>
      </c>
      <c r="P152" s="17">
        <v>785.34299999999996</v>
      </c>
      <c r="Q152" s="16">
        <v>16.402999999999999</v>
      </c>
      <c r="R152" s="18">
        <v>8.2150000000000001E-2</v>
      </c>
      <c r="S152" s="18">
        <v>4.555E-2</v>
      </c>
      <c r="T152" s="18">
        <v>6.4839999999999995E-2</v>
      </c>
      <c r="U152" s="13">
        <v>376</v>
      </c>
      <c r="V152" s="13">
        <v>270</v>
      </c>
      <c r="W152" s="13">
        <v>738</v>
      </c>
      <c r="X152" s="13">
        <v>842</v>
      </c>
      <c r="Y152" s="17">
        <v>790.80799999999999</v>
      </c>
      <c r="Z152" s="16">
        <v>14.94</v>
      </c>
      <c r="AA152" s="18">
        <v>6.608E-2</v>
      </c>
      <c r="AB152" s="18">
        <v>3.798E-2</v>
      </c>
      <c r="AC152" s="18">
        <v>3.7069999999999999E-2</v>
      </c>
      <c r="AD152" s="16">
        <v>59.637861090198804</v>
      </c>
    </row>
    <row r="153" spans="2:30" x14ac:dyDescent="0.25">
      <c r="B153" s="13" t="s">
        <v>42</v>
      </c>
      <c r="C153" s="14">
        <v>42626</v>
      </c>
      <c r="D153" s="22">
        <v>0.29854166666666665</v>
      </c>
      <c r="E153" s="13" t="s">
        <v>43</v>
      </c>
      <c r="F153" s="13">
        <v>109.8</v>
      </c>
      <c r="G153" s="13">
        <v>134.19999999999999</v>
      </c>
      <c r="H153" s="13" t="s">
        <v>44</v>
      </c>
      <c r="I153" s="13">
        <v>4000001</v>
      </c>
      <c r="J153" s="17">
        <v>329</v>
      </c>
      <c r="K153" s="13">
        <v>6.4290000000000003</v>
      </c>
      <c r="L153" s="13">
        <v>501</v>
      </c>
      <c r="M153" s="13">
        <v>360</v>
      </c>
      <c r="N153" s="13">
        <v>714</v>
      </c>
      <c r="O153" s="13">
        <v>842</v>
      </c>
      <c r="P153" s="17">
        <v>785.34299999999996</v>
      </c>
      <c r="Q153" s="16">
        <v>16.402999999999999</v>
      </c>
      <c r="R153" s="18">
        <v>8.2150000000000001E-2</v>
      </c>
      <c r="S153" s="18">
        <v>4.555E-2</v>
      </c>
      <c r="T153" s="18">
        <v>6.4839999999999995E-2</v>
      </c>
      <c r="U153" s="13">
        <v>376</v>
      </c>
      <c r="V153" s="13">
        <v>270</v>
      </c>
      <c r="W153" s="13">
        <v>738</v>
      </c>
      <c r="X153" s="13">
        <v>842</v>
      </c>
      <c r="Y153" s="17">
        <v>790.80799999999999</v>
      </c>
      <c r="Z153" s="16">
        <v>14.94</v>
      </c>
      <c r="AA153" s="18">
        <v>6.608E-2</v>
      </c>
      <c r="AB153" s="18">
        <v>3.798E-2</v>
      </c>
      <c r="AC153" s="18">
        <v>3.7069999999999999E-2</v>
      </c>
      <c r="AD153" s="16">
        <v>59.637861090198804</v>
      </c>
    </row>
    <row r="154" spans="2:30" x14ac:dyDescent="0.25">
      <c r="B154" s="13" t="s">
        <v>42</v>
      </c>
      <c r="C154" s="14">
        <v>42627</v>
      </c>
      <c r="D154" s="22">
        <v>0.33813657407407405</v>
      </c>
      <c r="E154" s="13" t="s">
        <v>43</v>
      </c>
      <c r="F154" s="13">
        <v>109.8</v>
      </c>
      <c r="G154" s="13">
        <v>134.19999999999999</v>
      </c>
      <c r="H154" s="13" t="s">
        <v>44</v>
      </c>
      <c r="I154" s="13">
        <v>4000001</v>
      </c>
      <c r="J154" s="17">
        <v>331</v>
      </c>
      <c r="K154" s="13">
        <v>6.4290000000000003</v>
      </c>
      <c r="L154" s="13">
        <v>501</v>
      </c>
      <c r="M154" s="13">
        <v>360</v>
      </c>
      <c r="N154" s="13">
        <v>718</v>
      </c>
      <c r="O154" s="13">
        <v>837</v>
      </c>
      <c r="P154" s="17">
        <v>785.34900000000005</v>
      </c>
      <c r="Q154" s="16">
        <v>16.356999999999999</v>
      </c>
      <c r="R154" s="18">
        <v>7.6060000000000003E-2</v>
      </c>
      <c r="S154" s="18">
        <v>5.5199999999999999E-2</v>
      </c>
      <c r="T154" s="18">
        <v>4.6489999999999997E-2</v>
      </c>
      <c r="U154" s="13">
        <v>376</v>
      </c>
      <c r="V154" s="13">
        <v>270</v>
      </c>
      <c r="W154" s="13">
        <v>736</v>
      </c>
      <c r="X154" s="13">
        <v>837</v>
      </c>
      <c r="Y154" s="17">
        <v>790.69899999999996</v>
      </c>
      <c r="Z154" s="16">
        <v>15.131</v>
      </c>
      <c r="AA154" s="18">
        <v>6.3710000000000003E-2</v>
      </c>
      <c r="AB154" s="18">
        <v>3.6760000000000001E-2</v>
      </c>
      <c r="AC154" s="18">
        <v>4.1340000000000002E-2</v>
      </c>
      <c r="AD154" s="16">
        <v>59.428907986539627</v>
      </c>
    </row>
    <row r="155" spans="2:30" x14ac:dyDescent="0.25">
      <c r="B155" s="13" t="s">
        <v>42</v>
      </c>
      <c r="C155" s="14">
        <v>42628</v>
      </c>
      <c r="D155" s="22">
        <v>0.31185185185185188</v>
      </c>
      <c r="E155" s="13" t="s">
        <v>43</v>
      </c>
      <c r="F155" s="13">
        <v>109.8</v>
      </c>
      <c r="G155" s="13">
        <v>134.19999999999999</v>
      </c>
      <c r="H155" s="13" t="s">
        <v>44</v>
      </c>
      <c r="I155" s="13">
        <v>4000001</v>
      </c>
      <c r="J155" s="17">
        <v>331</v>
      </c>
      <c r="K155" s="13">
        <v>6.4290000000000003</v>
      </c>
      <c r="L155" s="13">
        <v>501</v>
      </c>
      <c r="M155" s="13">
        <v>360</v>
      </c>
      <c r="N155" s="13">
        <v>710</v>
      </c>
      <c r="O155" s="13">
        <v>867</v>
      </c>
      <c r="P155" s="17">
        <v>786.78</v>
      </c>
      <c r="Q155" s="16">
        <v>16.88</v>
      </c>
      <c r="R155" s="18">
        <v>9.9790000000000004E-2</v>
      </c>
      <c r="S155" s="18">
        <v>5.0410000000000003E-2</v>
      </c>
      <c r="T155" s="18">
        <v>5.7020000000000001E-2</v>
      </c>
      <c r="U155" s="13">
        <v>376</v>
      </c>
      <c r="V155" s="13">
        <v>270</v>
      </c>
      <c r="W155" s="13">
        <v>738</v>
      </c>
      <c r="X155" s="13">
        <v>867</v>
      </c>
      <c r="Y155" s="17">
        <v>792.625</v>
      </c>
      <c r="Z155" s="16">
        <v>15.39</v>
      </c>
      <c r="AA155" s="18">
        <v>8.0060000000000006E-2</v>
      </c>
      <c r="AB155" s="18">
        <v>5.0410000000000003E-2</v>
      </c>
      <c r="AC155" s="18">
        <v>4.8750000000000002E-2</v>
      </c>
      <c r="AD155" s="16">
        <v>59.580691167864515</v>
      </c>
    </row>
    <row r="156" spans="2:30" x14ac:dyDescent="0.25">
      <c r="B156" s="13" t="s">
        <v>42</v>
      </c>
      <c r="C156" s="14">
        <v>42629</v>
      </c>
      <c r="D156" s="22">
        <v>0.31502314814814814</v>
      </c>
      <c r="E156" s="13" t="s">
        <v>43</v>
      </c>
      <c r="F156" s="13">
        <v>109.8</v>
      </c>
      <c r="G156" s="13">
        <v>134.19999999999999</v>
      </c>
      <c r="H156" s="13" t="s">
        <v>44</v>
      </c>
      <c r="I156" s="13">
        <v>4000001</v>
      </c>
      <c r="J156" s="17">
        <v>332</v>
      </c>
      <c r="K156" s="13">
        <v>6.4290000000000003</v>
      </c>
      <c r="L156" s="13">
        <v>501</v>
      </c>
      <c r="M156" s="13">
        <v>360</v>
      </c>
      <c r="N156" s="13">
        <v>718</v>
      </c>
      <c r="O156" s="13">
        <v>839</v>
      </c>
      <c r="P156" s="17">
        <v>786.125</v>
      </c>
      <c r="Q156" s="16">
        <v>16.771000000000001</v>
      </c>
      <c r="R156" s="18">
        <v>7.7890000000000001E-2</v>
      </c>
      <c r="S156" s="18">
        <v>4.301E-2</v>
      </c>
      <c r="T156" s="18">
        <v>4.6440000000000002E-2</v>
      </c>
      <c r="U156" s="13">
        <v>376</v>
      </c>
      <c r="V156" s="13">
        <v>270</v>
      </c>
      <c r="W156" s="13">
        <v>746</v>
      </c>
      <c r="X156" s="13">
        <v>839</v>
      </c>
      <c r="Y156" s="17">
        <v>792.452</v>
      </c>
      <c r="Z156" s="16">
        <v>13.907</v>
      </c>
      <c r="AA156" s="18">
        <v>5.8779999999999999E-2</v>
      </c>
      <c r="AB156" s="18">
        <v>3.8550000000000001E-2</v>
      </c>
      <c r="AC156" s="18">
        <v>3.6749999999999998E-2</v>
      </c>
      <c r="AD156" s="16">
        <v>59.552943748844946</v>
      </c>
    </row>
    <row r="157" spans="2:30" x14ac:dyDescent="0.25">
      <c r="B157" s="13" t="s">
        <v>42</v>
      </c>
      <c r="C157" s="14">
        <v>42636</v>
      </c>
      <c r="D157" s="22">
        <v>0.28354166666666664</v>
      </c>
      <c r="E157" s="13" t="s">
        <v>43</v>
      </c>
      <c r="F157" s="13">
        <v>109.8</v>
      </c>
      <c r="G157" s="13">
        <v>134.19999999999999</v>
      </c>
      <c r="H157" s="13" t="s">
        <v>44</v>
      </c>
      <c r="I157" s="13">
        <v>4000001</v>
      </c>
      <c r="J157" s="17">
        <v>337</v>
      </c>
      <c r="K157" s="13">
        <v>6.4290000000000003</v>
      </c>
      <c r="L157" s="13">
        <v>501</v>
      </c>
      <c r="M157" s="13">
        <v>360</v>
      </c>
      <c r="N157" s="13">
        <v>715</v>
      </c>
      <c r="O157" s="13">
        <v>836</v>
      </c>
      <c r="P157" s="17">
        <v>784.62300000000005</v>
      </c>
      <c r="Q157" s="16">
        <v>15.798</v>
      </c>
      <c r="R157" s="18">
        <v>7.8060000000000004E-2</v>
      </c>
      <c r="S157" s="18">
        <v>4.2500000000000003E-2</v>
      </c>
      <c r="T157" s="18">
        <v>5.3519999999999998E-2</v>
      </c>
      <c r="U157" s="13">
        <v>376</v>
      </c>
      <c r="V157" s="13">
        <v>270</v>
      </c>
      <c r="W157" s="13">
        <v>751</v>
      </c>
      <c r="X157" s="13">
        <v>836</v>
      </c>
      <c r="Y157" s="17">
        <v>790.42600000000004</v>
      </c>
      <c r="Z157" s="16">
        <v>13.516999999999999</v>
      </c>
      <c r="AA157" s="18">
        <v>5.3400000000000003E-2</v>
      </c>
      <c r="AB157" s="18">
        <v>3.943E-2</v>
      </c>
      <c r="AC157" s="18">
        <v>3.8859999999999999E-2</v>
      </c>
      <c r="AD157" s="16">
        <v>59.726343074806472</v>
      </c>
    </row>
    <row r="158" spans="2:30" x14ac:dyDescent="0.25">
      <c r="B158" s="13" t="s">
        <v>42</v>
      </c>
      <c r="C158" s="14">
        <v>42639</v>
      </c>
      <c r="D158" s="22">
        <v>0.30427083333333332</v>
      </c>
      <c r="E158" s="13" t="s">
        <v>43</v>
      </c>
      <c r="F158" s="13">
        <v>109.8</v>
      </c>
      <c r="G158" s="13">
        <v>134.19999999999999</v>
      </c>
      <c r="H158" s="13" t="s">
        <v>44</v>
      </c>
      <c r="I158" s="13">
        <v>4000001</v>
      </c>
      <c r="J158" s="17">
        <v>347</v>
      </c>
      <c r="K158" s="13">
        <v>6.4290000000000003</v>
      </c>
      <c r="L158" s="13">
        <v>501</v>
      </c>
      <c r="M158" s="13">
        <v>360</v>
      </c>
      <c r="N158" s="13">
        <v>700</v>
      </c>
      <c r="O158" s="13">
        <v>842</v>
      </c>
      <c r="P158" s="17">
        <v>785.327</v>
      </c>
      <c r="Q158" s="16">
        <v>17.495999999999999</v>
      </c>
      <c r="R158" s="18">
        <v>9.2109999999999997E-2</v>
      </c>
      <c r="S158" s="18">
        <v>5.3990000000000003E-2</v>
      </c>
      <c r="T158" s="18">
        <v>5.2440000000000001E-2</v>
      </c>
      <c r="U158" s="13">
        <v>376</v>
      </c>
      <c r="V158" s="13">
        <v>270</v>
      </c>
      <c r="W158" s="13">
        <v>745</v>
      </c>
      <c r="X158" s="13">
        <v>842</v>
      </c>
      <c r="Y158" s="17">
        <v>791.702</v>
      </c>
      <c r="Z158" s="16">
        <v>15.314</v>
      </c>
      <c r="AA158" s="18">
        <v>6.0900000000000003E-2</v>
      </c>
      <c r="AB158" s="18">
        <v>3.6450000000000003E-2</v>
      </c>
      <c r="AC158" s="18">
        <v>4.4760000000000001E-2</v>
      </c>
      <c r="AD158" s="16">
        <v>58.450699269641937</v>
      </c>
    </row>
    <row r="159" spans="2:30" x14ac:dyDescent="0.25">
      <c r="B159" s="13" t="s">
        <v>42</v>
      </c>
      <c r="C159" s="14">
        <v>42640</v>
      </c>
      <c r="D159" s="22">
        <v>0.30606481481481479</v>
      </c>
      <c r="E159" s="13" t="s">
        <v>43</v>
      </c>
      <c r="F159" s="13">
        <v>109.8</v>
      </c>
      <c r="G159" s="13">
        <v>134.19999999999999</v>
      </c>
      <c r="H159" s="13" t="s">
        <v>44</v>
      </c>
      <c r="I159" s="13">
        <v>4000001</v>
      </c>
      <c r="J159" s="17">
        <v>342</v>
      </c>
      <c r="K159" s="13">
        <v>6.4290000000000003</v>
      </c>
      <c r="L159" s="13">
        <v>501</v>
      </c>
      <c r="M159" s="13">
        <v>360</v>
      </c>
      <c r="N159" s="13">
        <v>721</v>
      </c>
      <c r="O159" s="13">
        <v>841</v>
      </c>
      <c r="P159" s="17">
        <v>786.755</v>
      </c>
      <c r="Q159" s="16">
        <v>17.337</v>
      </c>
      <c r="R159" s="18">
        <v>7.6689999999999994E-2</v>
      </c>
      <c r="S159" s="18">
        <v>4.2779999999999999E-2</v>
      </c>
      <c r="T159" s="18">
        <v>4.0259999999999997E-2</v>
      </c>
      <c r="U159" s="13">
        <v>376</v>
      </c>
      <c r="V159" s="13">
        <v>270</v>
      </c>
      <c r="W159" s="13">
        <v>744</v>
      </c>
      <c r="X159" s="13">
        <v>841</v>
      </c>
      <c r="Y159" s="17">
        <v>793.14499999999998</v>
      </c>
      <c r="Z159" s="16">
        <v>14.906000000000001</v>
      </c>
      <c r="AA159" s="18">
        <v>6.1039999999999997E-2</v>
      </c>
      <c r="AB159" s="18">
        <v>3.8830000000000003E-2</v>
      </c>
      <c r="AC159" s="18">
        <v>4.0259999999999997E-2</v>
      </c>
      <c r="AD159" s="16">
        <v>59.456708990501014</v>
      </c>
    </row>
    <row r="160" spans="2:30" x14ac:dyDescent="0.25">
      <c r="B160" s="13" t="s">
        <v>42</v>
      </c>
      <c r="C160" s="14">
        <v>42641</v>
      </c>
      <c r="D160" s="22">
        <v>0.30412037037037037</v>
      </c>
      <c r="E160" s="13" t="s">
        <v>43</v>
      </c>
      <c r="F160" s="13">
        <v>109.8</v>
      </c>
      <c r="G160" s="13">
        <v>134.19999999999999</v>
      </c>
      <c r="H160" s="13" t="s">
        <v>44</v>
      </c>
      <c r="I160" s="13">
        <v>4000001</v>
      </c>
      <c r="J160" s="17">
        <v>343</v>
      </c>
      <c r="K160" s="13">
        <v>6.4290000000000003</v>
      </c>
      <c r="L160" s="13">
        <v>501</v>
      </c>
      <c r="M160" s="13">
        <v>360</v>
      </c>
      <c r="N160" s="13">
        <v>713</v>
      </c>
      <c r="O160" s="13">
        <v>845</v>
      </c>
      <c r="P160" s="17">
        <v>785.05700000000002</v>
      </c>
      <c r="Q160" s="16">
        <v>16.010000000000002</v>
      </c>
      <c r="R160" s="18">
        <v>8.4760000000000002E-2</v>
      </c>
      <c r="S160" s="18">
        <v>4.3920000000000001E-2</v>
      </c>
      <c r="T160" s="18">
        <v>6.4670000000000005E-2</v>
      </c>
      <c r="U160" s="13">
        <v>376</v>
      </c>
      <c r="V160" s="13">
        <v>270</v>
      </c>
      <c r="W160" s="13">
        <v>741</v>
      </c>
      <c r="X160" s="13">
        <v>845</v>
      </c>
      <c r="Y160" s="17">
        <v>790.66</v>
      </c>
      <c r="Z160" s="16">
        <v>13.871</v>
      </c>
      <c r="AA160" s="18">
        <v>6.5449999999999994E-2</v>
      </c>
      <c r="AB160" s="18">
        <v>3.7470000000000003E-2</v>
      </c>
      <c r="AC160" s="18">
        <v>3.9690000000000003E-2</v>
      </c>
      <c r="AD160" s="16">
        <v>59.434777277935339</v>
      </c>
    </row>
    <row r="161" spans="2:31" x14ac:dyDescent="0.25">
      <c r="B161" s="13" t="s">
        <v>42</v>
      </c>
      <c r="C161" s="14">
        <v>42642</v>
      </c>
      <c r="D161" s="22">
        <v>0.30561342592592594</v>
      </c>
      <c r="E161" s="13" t="s">
        <v>43</v>
      </c>
      <c r="F161" s="13">
        <v>109.8</v>
      </c>
      <c r="G161" s="13">
        <v>134.19999999999999</v>
      </c>
      <c r="H161" s="13" t="s">
        <v>44</v>
      </c>
      <c r="I161" s="13">
        <v>4000001</v>
      </c>
      <c r="J161" s="17">
        <v>342</v>
      </c>
      <c r="K161" s="13">
        <v>6.4290000000000003</v>
      </c>
      <c r="L161" s="13">
        <v>501</v>
      </c>
      <c r="M161" s="13">
        <v>360</v>
      </c>
      <c r="N161" s="13">
        <v>728</v>
      </c>
      <c r="O161" s="13">
        <v>836</v>
      </c>
      <c r="P161" s="17">
        <v>784.82</v>
      </c>
      <c r="Q161" s="16">
        <v>15.593</v>
      </c>
      <c r="R161" s="18">
        <v>6.9099999999999995E-2</v>
      </c>
      <c r="S161" s="18">
        <v>4.4589999999999998E-2</v>
      </c>
      <c r="T161" s="18">
        <v>4.2720000000000001E-2</v>
      </c>
      <c r="U161" s="13">
        <v>376</v>
      </c>
      <c r="V161" s="13">
        <v>270</v>
      </c>
      <c r="W161" s="13">
        <v>743</v>
      </c>
      <c r="X161" s="13">
        <v>836</v>
      </c>
      <c r="Y161" s="17">
        <v>790.93299999999999</v>
      </c>
      <c r="Z161" s="16">
        <v>13.728</v>
      </c>
      <c r="AA161" s="18">
        <v>5.8909999999999997E-2</v>
      </c>
      <c r="AB161" s="18">
        <v>3.7039999999999997E-2</v>
      </c>
      <c r="AC161" s="18">
        <v>3.5299999999999998E-2</v>
      </c>
      <c r="AD161" s="16">
        <v>59.760805202379935</v>
      </c>
    </row>
    <row r="162" spans="2:31" x14ac:dyDescent="0.25">
      <c r="B162" s="13" t="s">
        <v>42</v>
      </c>
      <c r="C162" s="14">
        <v>42643</v>
      </c>
      <c r="D162" s="22">
        <v>0.32556712962962964</v>
      </c>
      <c r="E162" s="13" t="s">
        <v>43</v>
      </c>
      <c r="F162" s="13">
        <v>109.8</v>
      </c>
      <c r="G162" s="13">
        <v>134.19999999999999</v>
      </c>
      <c r="H162" s="13" t="s">
        <v>44</v>
      </c>
      <c r="I162" s="13">
        <v>4000001</v>
      </c>
      <c r="J162" s="17">
        <v>344</v>
      </c>
      <c r="K162" s="13">
        <v>6.4290000000000003</v>
      </c>
      <c r="L162" s="13">
        <v>501</v>
      </c>
      <c r="M162" s="13">
        <v>360</v>
      </c>
      <c r="N162" s="13">
        <v>726</v>
      </c>
      <c r="O162" s="13">
        <v>840</v>
      </c>
      <c r="P162" s="17">
        <v>785.65499999999997</v>
      </c>
      <c r="Q162" s="16">
        <v>16.588000000000001</v>
      </c>
      <c r="R162" s="18">
        <v>7.2950000000000001E-2</v>
      </c>
      <c r="S162" s="18">
        <v>4.7980000000000002E-2</v>
      </c>
      <c r="T162" s="18">
        <v>4.1439999999999998E-2</v>
      </c>
      <c r="U162" s="13">
        <v>376</v>
      </c>
      <c r="V162" s="13">
        <v>270</v>
      </c>
      <c r="W162" s="13">
        <v>734</v>
      </c>
      <c r="X162" s="13">
        <v>840</v>
      </c>
      <c r="Y162" s="17">
        <v>791.678</v>
      </c>
      <c r="Z162" s="16">
        <v>15.12</v>
      </c>
      <c r="AA162" s="18">
        <v>6.7500000000000004E-2</v>
      </c>
      <c r="AB162" s="18">
        <v>4.4229999999999998E-2</v>
      </c>
      <c r="AC162" s="18">
        <v>4.1439999999999998E-2</v>
      </c>
      <c r="AD162" s="16">
        <v>59.565102128393868</v>
      </c>
    </row>
    <row r="163" spans="2:31" x14ac:dyDescent="0.25">
      <c r="B163" s="13" t="s">
        <v>42</v>
      </c>
      <c r="C163" s="14">
        <v>42647</v>
      </c>
      <c r="D163" s="22">
        <v>0.30104166666666665</v>
      </c>
      <c r="E163" s="13" t="s">
        <v>43</v>
      </c>
      <c r="F163" s="13">
        <v>109.8</v>
      </c>
      <c r="G163" s="13">
        <v>134.19999999999999</v>
      </c>
      <c r="H163" s="13" t="s">
        <v>44</v>
      </c>
      <c r="I163" s="13">
        <v>4000001</v>
      </c>
      <c r="J163" s="17">
        <v>347</v>
      </c>
      <c r="K163" s="13">
        <v>6.4290000000000003</v>
      </c>
      <c r="L163" s="13">
        <v>501</v>
      </c>
      <c r="M163" s="13">
        <v>360</v>
      </c>
      <c r="N163" s="13">
        <v>727</v>
      </c>
      <c r="O163" s="13">
        <v>835</v>
      </c>
      <c r="P163" s="17">
        <v>785.19299999999998</v>
      </c>
      <c r="Q163" s="16">
        <v>15.923999999999999</v>
      </c>
      <c r="R163" s="18">
        <v>6.9320000000000007E-2</v>
      </c>
      <c r="S163" s="18">
        <v>4.8230000000000002E-2</v>
      </c>
      <c r="T163" s="18">
        <v>4.462E-2</v>
      </c>
      <c r="U163" s="13">
        <v>376</v>
      </c>
      <c r="V163" s="13">
        <v>270</v>
      </c>
      <c r="W163" s="13">
        <v>738</v>
      </c>
      <c r="X163" s="13">
        <v>835</v>
      </c>
      <c r="Y163" s="17">
        <v>791.19500000000005</v>
      </c>
      <c r="Z163" s="16">
        <v>14.516999999999999</v>
      </c>
      <c r="AA163" s="18">
        <v>6.1469999999999997E-2</v>
      </c>
      <c r="AB163" s="18">
        <v>3.7780000000000001E-2</v>
      </c>
      <c r="AC163" s="18">
        <v>4.462E-2</v>
      </c>
      <c r="AD163" s="16">
        <v>59.6557082144706</v>
      </c>
    </row>
    <row r="164" spans="2:31" x14ac:dyDescent="0.25">
      <c r="B164" s="13" t="s">
        <v>42</v>
      </c>
      <c r="C164" s="14">
        <v>42648</v>
      </c>
      <c r="D164" s="22">
        <v>0.3107523148148148</v>
      </c>
      <c r="E164" s="13" t="s">
        <v>43</v>
      </c>
      <c r="F164" s="13">
        <v>109.8</v>
      </c>
      <c r="G164" s="13">
        <v>134.19999999999999</v>
      </c>
      <c r="H164" s="13" t="s">
        <v>44</v>
      </c>
      <c r="I164" s="13">
        <v>4000001</v>
      </c>
      <c r="J164" s="17">
        <v>350</v>
      </c>
      <c r="K164" s="13">
        <v>6.4290000000000003</v>
      </c>
      <c r="L164" s="13">
        <v>501</v>
      </c>
      <c r="M164" s="13">
        <v>360</v>
      </c>
      <c r="N164" s="13">
        <v>724</v>
      </c>
      <c r="O164" s="13">
        <v>841</v>
      </c>
      <c r="P164" s="17">
        <v>788.09</v>
      </c>
      <c r="Q164" s="16">
        <v>16.53</v>
      </c>
      <c r="R164" s="18">
        <v>7.485E-2</v>
      </c>
      <c r="S164" s="18">
        <v>4.9000000000000002E-2</v>
      </c>
      <c r="T164" s="18">
        <v>3.952E-2</v>
      </c>
      <c r="U164" s="13">
        <v>376</v>
      </c>
      <c r="V164" s="13">
        <v>270</v>
      </c>
      <c r="W164" s="13">
        <v>742</v>
      </c>
      <c r="X164" s="13">
        <v>841</v>
      </c>
      <c r="Y164" s="17">
        <v>794.17499999999995</v>
      </c>
      <c r="Z164" s="16">
        <v>15.412000000000001</v>
      </c>
      <c r="AA164" s="18">
        <v>6.2280000000000002E-2</v>
      </c>
      <c r="AB164" s="18">
        <v>4.2619999999999998E-2</v>
      </c>
      <c r="AC164" s="18">
        <v>3.8359999999999998E-2</v>
      </c>
      <c r="AD164" s="16">
        <v>59.295430044683819</v>
      </c>
    </row>
    <row r="165" spans="2:31" x14ac:dyDescent="0.25">
      <c r="B165" s="13" t="s">
        <v>42</v>
      </c>
      <c r="C165" s="14">
        <v>42649</v>
      </c>
      <c r="D165" s="22">
        <v>0.3077199074074074</v>
      </c>
      <c r="E165" s="13" t="s">
        <v>43</v>
      </c>
      <c r="F165" s="13">
        <v>109.8</v>
      </c>
      <c r="G165" s="13">
        <v>134.19999999999999</v>
      </c>
      <c r="H165" s="13" t="s">
        <v>44</v>
      </c>
      <c r="I165" s="13">
        <v>4000001</v>
      </c>
      <c r="J165" s="17">
        <v>349</v>
      </c>
      <c r="K165" s="13">
        <v>6.4290000000000003</v>
      </c>
      <c r="L165" s="13">
        <v>501</v>
      </c>
      <c r="M165" s="13">
        <v>360</v>
      </c>
      <c r="N165" s="13">
        <v>720</v>
      </c>
      <c r="O165" s="13">
        <v>836</v>
      </c>
      <c r="P165" s="17">
        <v>785.49900000000002</v>
      </c>
      <c r="Q165" s="16">
        <v>15.223000000000001</v>
      </c>
      <c r="R165" s="18">
        <v>7.4249999999999997E-2</v>
      </c>
      <c r="S165" s="18">
        <v>4.1980000000000003E-2</v>
      </c>
      <c r="T165" s="18">
        <v>4.2770000000000002E-2</v>
      </c>
      <c r="U165" s="13">
        <v>376</v>
      </c>
      <c r="V165" s="13">
        <v>270</v>
      </c>
      <c r="W165" s="13">
        <v>749</v>
      </c>
      <c r="X165" s="13">
        <v>836</v>
      </c>
      <c r="Y165" s="17">
        <v>791.13300000000004</v>
      </c>
      <c r="Z165" s="16">
        <v>13.061999999999999</v>
      </c>
      <c r="AA165" s="18">
        <v>5.4519999999999999E-2</v>
      </c>
      <c r="AB165" s="18">
        <v>4.0430000000000001E-2</v>
      </c>
      <c r="AC165" s="18">
        <v>4.2770000000000002E-2</v>
      </c>
      <c r="AD165" s="16">
        <v>59.61720719712001</v>
      </c>
    </row>
    <row r="166" spans="2:31" x14ac:dyDescent="0.25">
      <c r="B166" s="13" t="s">
        <v>42</v>
      </c>
      <c r="C166" s="14">
        <v>42650</v>
      </c>
      <c r="D166" s="22">
        <v>0.33648148148148144</v>
      </c>
      <c r="E166" s="13" t="s">
        <v>43</v>
      </c>
      <c r="F166" s="13">
        <v>109.8</v>
      </c>
      <c r="G166" s="13">
        <v>134.19999999999999</v>
      </c>
      <c r="H166" s="13" t="s">
        <v>44</v>
      </c>
      <c r="I166" s="13">
        <v>4000001</v>
      </c>
      <c r="J166" s="17">
        <v>349</v>
      </c>
      <c r="K166" s="13">
        <v>6.4290000000000003</v>
      </c>
      <c r="L166" s="13">
        <v>501</v>
      </c>
      <c r="M166" s="13">
        <v>360</v>
      </c>
      <c r="N166" s="13">
        <v>706</v>
      </c>
      <c r="O166" s="13">
        <v>840</v>
      </c>
      <c r="P166" s="17">
        <v>785.68200000000002</v>
      </c>
      <c r="Q166" s="16">
        <v>16.393000000000001</v>
      </c>
      <c r="R166" s="18">
        <v>8.652E-2</v>
      </c>
      <c r="S166" s="18">
        <v>4.58E-2</v>
      </c>
      <c r="T166" s="18">
        <v>4.2549999999999998E-2</v>
      </c>
      <c r="U166" s="13">
        <v>376</v>
      </c>
      <c r="V166" s="13">
        <v>270</v>
      </c>
      <c r="W166" s="13">
        <v>747</v>
      </c>
      <c r="X166" s="13">
        <v>840</v>
      </c>
      <c r="Y166" s="17">
        <v>792.245</v>
      </c>
      <c r="Z166" s="16">
        <v>13.805</v>
      </c>
      <c r="AA166" s="18">
        <v>5.8560000000000001E-2</v>
      </c>
      <c r="AB166" s="18">
        <v>4.3540000000000002E-2</v>
      </c>
      <c r="AC166" s="18">
        <v>3.7929999999999998E-2</v>
      </c>
      <c r="AD166" s="16">
        <v>59.769471300174594</v>
      </c>
    </row>
    <row r="167" spans="2:31" x14ac:dyDescent="0.25">
      <c r="B167" s="13" t="s">
        <v>42</v>
      </c>
      <c r="C167" s="14">
        <v>42653</v>
      </c>
      <c r="D167" s="22">
        <v>0.30824074074074076</v>
      </c>
      <c r="E167" s="13" t="s">
        <v>43</v>
      </c>
      <c r="F167" s="13">
        <v>109.8</v>
      </c>
      <c r="G167" s="13">
        <v>134.19999999999999</v>
      </c>
      <c r="H167" s="13" t="s">
        <v>44</v>
      </c>
      <c r="I167" s="13">
        <v>4000001</v>
      </c>
      <c r="J167" s="17">
        <v>359</v>
      </c>
      <c r="K167" s="13">
        <v>6.4290000000000003</v>
      </c>
      <c r="L167" s="13">
        <v>501</v>
      </c>
      <c r="M167" s="13">
        <v>360</v>
      </c>
      <c r="N167" s="13">
        <v>709</v>
      </c>
      <c r="O167" s="13">
        <v>844</v>
      </c>
      <c r="P167" s="17">
        <v>785.59</v>
      </c>
      <c r="Q167" s="16">
        <v>16.876999999999999</v>
      </c>
      <c r="R167" s="18">
        <v>8.7169999999999997E-2</v>
      </c>
      <c r="S167" s="18">
        <v>5.2479999999999999E-2</v>
      </c>
      <c r="T167" s="18">
        <v>4.3069999999999997E-2</v>
      </c>
      <c r="U167" s="13">
        <v>376</v>
      </c>
      <c r="V167" s="13">
        <v>270</v>
      </c>
      <c r="W167" s="13">
        <v>746</v>
      </c>
      <c r="X167" s="13">
        <v>844</v>
      </c>
      <c r="Y167" s="17">
        <v>792.03200000000004</v>
      </c>
      <c r="Z167" s="16">
        <v>14.117000000000001</v>
      </c>
      <c r="AA167" s="18">
        <v>6.1589999999999999E-2</v>
      </c>
      <c r="AB167" s="18">
        <v>3.8609999999999998E-2</v>
      </c>
      <c r="AC167" s="18">
        <v>3.9100000000000003E-2</v>
      </c>
      <c r="AD167" s="16">
        <v>58.550924001330799</v>
      </c>
    </row>
    <row r="168" spans="2:31" x14ac:dyDescent="0.25">
      <c r="B168" s="13" t="s">
        <v>42</v>
      </c>
      <c r="C168" s="14">
        <v>42654</v>
      </c>
      <c r="D168" s="22">
        <v>0.32195601851851852</v>
      </c>
      <c r="E168" s="13" t="s">
        <v>43</v>
      </c>
      <c r="F168" s="13">
        <v>109.8</v>
      </c>
      <c r="G168" s="13">
        <v>134.19999999999999</v>
      </c>
      <c r="H168" s="13" t="s">
        <v>44</v>
      </c>
      <c r="I168" s="13">
        <v>4000001</v>
      </c>
      <c r="J168" s="17">
        <v>354</v>
      </c>
      <c r="K168" s="13">
        <v>6.4290000000000003</v>
      </c>
      <c r="L168" s="13">
        <v>501</v>
      </c>
      <c r="M168" s="13">
        <v>360</v>
      </c>
      <c r="N168" s="13">
        <v>697</v>
      </c>
      <c r="O168" s="13">
        <v>838</v>
      </c>
      <c r="P168" s="17">
        <v>785.23099999999999</v>
      </c>
      <c r="Q168" s="16">
        <v>16.623999999999999</v>
      </c>
      <c r="R168" s="18">
        <v>9.1490000000000002E-2</v>
      </c>
      <c r="S168" s="18">
        <v>5.7450000000000001E-2</v>
      </c>
      <c r="T168" s="18">
        <v>4.9639999999999997E-2</v>
      </c>
      <c r="U168" s="13">
        <v>376</v>
      </c>
      <c r="V168" s="13">
        <v>270</v>
      </c>
      <c r="W168" s="13">
        <v>748</v>
      </c>
      <c r="X168" s="13">
        <v>838</v>
      </c>
      <c r="Y168" s="17">
        <v>791.577</v>
      </c>
      <c r="Z168" s="16">
        <v>13.993</v>
      </c>
      <c r="AA168" s="18">
        <v>5.6500000000000002E-2</v>
      </c>
      <c r="AB168" s="18">
        <v>4.2540000000000001E-2</v>
      </c>
      <c r="AC168" s="18">
        <v>3.5430000000000003E-2</v>
      </c>
      <c r="AD168" s="16">
        <v>59.52956739566617</v>
      </c>
    </row>
    <row r="169" spans="2:31" x14ac:dyDescent="0.25">
      <c r="B169" s="13" t="s">
        <v>42</v>
      </c>
      <c r="C169" s="14">
        <v>42655</v>
      </c>
      <c r="D169" s="22">
        <v>0.30789351851851848</v>
      </c>
      <c r="E169" s="13" t="s">
        <v>43</v>
      </c>
      <c r="F169" s="13">
        <v>109.8</v>
      </c>
      <c r="G169" s="13">
        <v>134.19999999999999</v>
      </c>
      <c r="H169" s="13" t="s">
        <v>44</v>
      </c>
      <c r="I169" s="13">
        <v>4000001</v>
      </c>
      <c r="J169" s="17">
        <v>355</v>
      </c>
      <c r="K169" s="13">
        <v>6.4290000000000003</v>
      </c>
      <c r="L169" s="13">
        <v>501</v>
      </c>
      <c r="M169" s="13">
        <v>360</v>
      </c>
      <c r="N169" s="13">
        <v>724</v>
      </c>
      <c r="O169" s="13">
        <v>843</v>
      </c>
      <c r="P169" s="17">
        <v>785.27300000000002</v>
      </c>
      <c r="Q169" s="16">
        <v>15.48</v>
      </c>
      <c r="R169" s="18">
        <v>7.6079999999999995E-2</v>
      </c>
      <c r="S169" s="18">
        <v>5.2260000000000001E-2</v>
      </c>
      <c r="T169" s="18">
        <v>4.3679999999999997E-2</v>
      </c>
      <c r="U169" s="13">
        <v>376</v>
      </c>
      <c r="V169" s="13">
        <v>270</v>
      </c>
      <c r="W169" s="13">
        <v>749</v>
      </c>
      <c r="X169" s="13">
        <v>843</v>
      </c>
      <c r="Y169" s="17">
        <v>791.18</v>
      </c>
      <c r="Z169" s="16">
        <v>13.845000000000001</v>
      </c>
      <c r="AA169" s="18">
        <v>5.9150000000000001E-2</v>
      </c>
      <c r="AB169" s="18">
        <v>5.2260000000000001E-2</v>
      </c>
      <c r="AC169" s="18">
        <v>3.9070000000000001E-2</v>
      </c>
      <c r="AD169" s="16">
        <v>59.513490459399073</v>
      </c>
    </row>
    <row r="170" spans="2:31" x14ac:dyDescent="0.25">
      <c r="B170" s="13" t="s">
        <v>42</v>
      </c>
      <c r="C170" s="14">
        <v>42656</v>
      </c>
      <c r="D170" s="22">
        <v>0.30790509259259258</v>
      </c>
      <c r="E170" s="13" t="s">
        <v>43</v>
      </c>
      <c r="F170" s="13">
        <v>109.8</v>
      </c>
      <c r="G170" s="13">
        <v>134.19999999999999</v>
      </c>
      <c r="H170" s="13" t="s">
        <v>44</v>
      </c>
      <c r="I170" s="13">
        <v>4000001</v>
      </c>
      <c r="J170" s="17">
        <v>355</v>
      </c>
      <c r="K170" s="13">
        <v>6.4290000000000003</v>
      </c>
      <c r="L170" s="13">
        <v>501</v>
      </c>
      <c r="M170" s="13">
        <v>360</v>
      </c>
      <c r="N170" s="13">
        <v>724</v>
      </c>
      <c r="O170" s="13">
        <v>836</v>
      </c>
      <c r="P170" s="17">
        <v>784.78200000000004</v>
      </c>
      <c r="Q170" s="16">
        <v>15.784000000000001</v>
      </c>
      <c r="R170" s="18">
        <v>7.1489999999999998E-2</v>
      </c>
      <c r="S170" s="18">
        <v>4.7169999999999997E-2</v>
      </c>
      <c r="T170" s="18">
        <v>5.6710000000000003E-2</v>
      </c>
      <c r="U170" s="13">
        <v>376</v>
      </c>
      <c r="V170" s="13">
        <v>270</v>
      </c>
      <c r="W170" s="13">
        <v>740</v>
      </c>
      <c r="X170" s="13">
        <v>836</v>
      </c>
      <c r="Y170" s="17">
        <v>790.60299999999995</v>
      </c>
      <c r="Z170" s="16">
        <v>14.005000000000001</v>
      </c>
      <c r="AA170" s="18">
        <v>6.0859999999999997E-2</v>
      </c>
      <c r="AB170" s="18">
        <v>3.739E-2</v>
      </c>
      <c r="AC170" s="18">
        <v>3.7650000000000003E-2</v>
      </c>
      <c r="AD170" s="16">
        <v>59.665489666850803</v>
      </c>
    </row>
    <row r="171" spans="2:31" x14ac:dyDescent="0.25">
      <c r="B171" s="13" t="s">
        <v>42</v>
      </c>
      <c r="C171" s="14">
        <v>42657</v>
      </c>
      <c r="D171" s="22">
        <v>0.33204861111111111</v>
      </c>
      <c r="E171" s="13" t="s">
        <v>43</v>
      </c>
      <c r="F171" s="13">
        <v>109.8</v>
      </c>
      <c r="G171" s="13">
        <v>134.19999999999999</v>
      </c>
      <c r="H171" s="13" t="s">
        <v>44</v>
      </c>
      <c r="I171" s="13">
        <v>4000001</v>
      </c>
      <c r="J171" s="17">
        <v>356</v>
      </c>
      <c r="K171" s="13">
        <v>6.4290000000000003</v>
      </c>
      <c r="L171" s="13">
        <v>501</v>
      </c>
      <c r="M171" s="13">
        <v>360</v>
      </c>
      <c r="N171" s="13">
        <v>722</v>
      </c>
      <c r="O171" s="13">
        <v>839</v>
      </c>
      <c r="P171" s="17">
        <v>785.45799999999997</v>
      </c>
      <c r="Q171" s="16">
        <v>16.103000000000002</v>
      </c>
      <c r="R171" s="18">
        <v>7.4810000000000001E-2</v>
      </c>
      <c r="S171" s="18">
        <v>5.3949999999999998E-2</v>
      </c>
      <c r="T171" s="18">
        <v>4.2999999999999997E-2</v>
      </c>
      <c r="U171" s="13">
        <v>376</v>
      </c>
      <c r="V171" s="13">
        <v>270</v>
      </c>
      <c r="W171" s="13">
        <v>744</v>
      </c>
      <c r="X171" s="13">
        <v>839</v>
      </c>
      <c r="Y171" s="17">
        <v>790.86300000000006</v>
      </c>
      <c r="Z171" s="16">
        <v>14.365</v>
      </c>
      <c r="AA171" s="18">
        <v>6.0310000000000002E-2</v>
      </c>
      <c r="AB171" s="18">
        <v>3.653E-2</v>
      </c>
      <c r="AC171" s="18">
        <v>3.3270000000000001E-2</v>
      </c>
      <c r="AD171" s="16">
        <v>59.649849340135027</v>
      </c>
    </row>
    <row r="172" spans="2:31" x14ac:dyDescent="0.25">
      <c r="B172" s="13" t="s">
        <v>42</v>
      </c>
      <c r="C172" s="14">
        <v>42660</v>
      </c>
      <c r="D172" s="22">
        <v>0.30793981481481481</v>
      </c>
      <c r="E172" s="13" t="s">
        <v>43</v>
      </c>
      <c r="F172" s="13">
        <v>109.8</v>
      </c>
      <c r="G172" s="13">
        <v>134.19999999999999</v>
      </c>
      <c r="H172" s="13" t="s">
        <v>44</v>
      </c>
      <c r="I172" s="13">
        <v>4000001</v>
      </c>
      <c r="J172" s="17">
        <v>365</v>
      </c>
      <c r="K172" s="13">
        <v>6.4290000000000003</v>
      </c>
      <c r="L172" s="13">
        <v>501</v>
      </c>
      <c r="M172" s="13">
        <v>360</v>
      </c>
      <c r="N172" s="13">
        <v>717</v>
      </c>
      <c r="O172" s="13">
        <v>835</v>
      </c>
      <c r="P172" s="17">
        <v>785.47400000000005</v>
      </c>
      <c r="Q172" s="16">
        <v>17.785</v>
      </c>
      <c r="R172" s="18">
        <v>7.5759999999999994E-2</v>
      </c>
      <c r="S172" s="18">
        <v>4.3470000000000002E-2</v>
      </c>
      <c r="T172" s="18">
        <v>4.5319999999999999E-2</v>
      </c>
      <c r="U172" s="13">
        <v>376</v>
      </c>
      <c r="V172" s="13">
        <v>270</v>
      </c>
      <c r="W172" s="13">
        <v>732</v>
      </c>
      <c r="X172" s="13">
        <v>833</v>
      </c>
      <c r="Y172" s="17">
        <v>791.58199999999999</v>
      </c>
      <c r="Z172" s="16">
        <v>15.632999999999999</v>
      </c>
      <c r="AA172" s="18">
        <v>6.404E-2</v>
      </c>
      <c r="AB172" s="18">
        <v>3.5630000000000002E-2</v>
      </c>
      <c r="AC172" s="18">
        <v>3.5249999999999997E-2</v>
      </c>
      <c r="AD172" s="16">
        <v>58.625943500672967</v>
      </c>
    </row>
    <row r="173" spans="2:31" x14ac:dyDescent="0.25">
      <c r="B173" s="13" t="s">
        <v>42</v>
      </c>
      <c r="C173" s="14">
        <v>42662</v>
      </c>
      <c r="D173" s="22">
        <v>0.71612268518518529</v>
      </c>
      <c r="E173" s="13" t="s">
        <v>43</v>
      </c>
      <c r="F173" s="13">
        <v>109.8</v>
      </c>
      <c r="G173" s="13">
        <v>134.19999999999999</v>
      </c>
      <c r="H173" s="13" t="s">
        <v>44</v>
      </c>
      <c r="I173" s="13">
        <v>4000001</v>
      </c>
      <c r="J173" s="17">
        <v>362</v>
      </c>
      <c r="K173" s="13">
        <v>6.4290000000000003</v>
      </c>
      <c r="L173" s="13">
        <v>501</v>
      </c>
      <c r="M173" s="13">
        <v>360</v>
      </c>
      <c r="N173" s="13">
        <v>728</v>
      </c>
      <c r="O173" s="13">
        <v>833</v>
      </c>
      <c r="P173" s="17">
        <v>785.17200000000003</v>
      </c>
      <c r="Q173" s="16">
        <v>15.661</v>
      </c>
      <c r="R173" s="18">
        <v>6.7540000000000003E-2</v>
      </c>
      <c r="S173" s="18">
        <v>3.6249999999999998E-2</v>
      </c>
      <c r="T173" s="18">
        <v>4.6829999999999997E-2</v>
      </c>
      <c r="U173" s="13">
        <v>376</v>
      </c>
      <c r="V173" s="13">
        <v>270</v>
      </c>
      <c r="W173" s="13">
        <v>748</v>
      </c>
      <c r="X173" s="13">
        <v>829</v>
      </c>
      <c r="Y173" s="17">
        <v>791.02200000000005</v>
      </c>
      <c r="Z173" s="16">
        <v>13.327</v>
      </c>
      <c r="AA173" s="18">
        <v>5.1200000000000002E-2</v>
      </c>
      <c r="AB173" s="18">
        <v>3.3669999999999999E-2</v>
      </c>
      <c r="AC173" s="18">
        <v>3.5830000000000001E-2</v>
      </c>
      <c r="AD173" s="16">
        <v>59.414125976352608</v>
      </c>
    </row>
    <row r="174" spans="2:31" x14ac:dyDescent="0.25">
      <c r="B174" s="13" t="s">
        <v>42</v>
      </c>
      <c r="C174" s="14">
        <v>42663</v>
      </c>
      <c r="D174" s="22">
        <v>0.32016203703703705</v>
      </c>
      <c r="E174" s="13" t="s">
        <v>43</v>
      </c>
      <c r="F174" s="13">
        <v>109.8</v>
      </c>
      <c r="G174" s="13">
        <v>134.19999999999999</v>
      </c>
      <c r="H174" s="13" t="s">
        <v>44</v>
      </c>
      <c r="I174" s="13">
        <v>4000001</v>
      </c>
      <c r="J174" s="17">
        <v>361</v>
      </c>
      <c r="K174" s="13">
        <v>6.4290000000000003</v>
      </c>
      <c r="L174" s="13">
        <v>501</v>
      </c>
      <c r="M174" s="13">
        <v>360</v>
      </c>
      <c r="N174" s="13">
        <v>726</v>
      </c>
      <c r="O174" s="13">
        <v>839</v>
      </c>
      <c r="P174" s="17">
        <v>785.29100000000005</v>
      </c>
      <c r="Q174" s="16">
        <v>16.07</v>
      </c>
      <c r="R174" s="18">
        <v>7.2230000000000003E-2</v>
      </c>
      <c r="S174" s="18">
        <v>4.7570000000000001E-2</v>
      </c>
      <c r="T174" s="18">
        <v>4.6190000000000002E-2</v>
      </c>
      <c r="U174" s="13">
        <v>376</v>
      </c>
      <c r="V174" s="13">
        <v>270</v>
      </c>
      <c r="W174" s="13">
        <v>742</v>
      </c>
      <c r="X174" s="13">
        <v>833</v>
      </c>
      <c r="Y174" s="17">
        <v>790.87699999999995</v>
      </c>
      <c r="Z174" s="16">
        <v>14.385999999999999</v>
      </c>
      <c r="AA174" s="18">
        <v>5.7849999999999999E-2</v>
      </c>
      <c r="AB174" s="18">
        <v>3.9550000000000002E-2</v>
      </c>
      <c r="AC174" s="18">
        <v>3.5369999999999999E-2</v>
      </c>
      <c r="AD174" s="16">
        <v>59.730873817849563</v>
      </c>
      <c r="AE174" t="s">
        <v>58</v>
      </c>
    </row>
    <row r="175" spans="2:31" x14ac:dyDescent="0.25">
      <c r="B175" s="13" t="s">
        <v>42</v>
      </c>
      <c r="C175" s="14">
        <v>42664</v>
      </c>
      <c r="D175" s="22">
        <v>0.3222916666666667</v>
      </c>
      <c r="E175" s="13" t="s">
        <v>43</v>
      </c>
      <c r="F175" s="13">
        <v>109.8</v>
      </c>
      <c r="G175" s="13">
        <v>134.19999999999999</v>
      </c>
      <c r="H175" s="13" t="s">
        <v>44</v>
      </c>
      <c r="I175" s="13">
        <v>4000001</v>
      </c>
      <c r="J175" s="17">
        <v>362</v>
      </c>
      <c r="K175" s="13">
        <v>6.4290000000000003</v>
      </c>
      <c r="L175" s="13">
        <v>501</v>
      </c>
      <c r="M175" s="13">
        <v>360</v>
      </c>
      <c r="N175" s="13">
        <v>727</v>
      </c>
      <c r="O175" s="13">
        <v>838</v>
      </c>
      <c r="P175" s="17">
        <v>785.846</v>
      </c>
      <c r="Q175" s="16">
        <v>16.145</v>
      </c>
      <c r="R175" s="18">
        <v>7.0349999999999996E-2</v>
      </c>
      <c r="S175" s="18">
        <v>6.2780000000000002E-2</v>
      </c>
      <c r="T175" s="18">
        <v>4.6379999999999998E-2</v>
      </c>
      <c r="U175" s="13">
        <v>376</v>
      </c>
      <c r="V175" s="13">
        <v>270</v>
      </c>
      <c r="W175" s="13">
        <v>737</v>
      </c>
      <c r="X175" s="13">
        <v>838</v>
      </c>
      <c r="Y175" s="17">
        <v>791.34400000000005</v>
      </c>
      <c r="Z175" s="16">
        <v>14.170999999999999</v>
      </c>
      <c r="AA175" s="18">
        <v>6.3960000000000003E-2</v>
      </c>
      <c r="AB175" s="18">
        <v>4.1689999999999998E-2</v>
      </c>
      <c r="AC175" s="18">
        <v>3.9879999999999999E-2</v>
      </c>
      <c r="AD175" s="16">
        <v>59.718004393915074</v>
      </c>
    </row>
    <row r="176" spans="2:31" x14ac:dyDescent="0.25">
      <c r="B176" s="13" t="s">
        <v>42</v>
      </c>
      <c r="C176" s="14">
        <v>42667</v>
      </c>
      <c r="D176" s="22">
        <v>0.30700231481481483</v>
      </c>
      <c r="E176" s="13" t="s">
        <v>43</v>
      </c>
      <c r="F176" s="13">
        <v>109.8</v>
      </c>
      <c r="G176" s="13">
        <v>134.19999999999999</v>
      </c>
      <c r="H176" s="13" t="s">
        <v>44</v>
      </c>
      <c r="I176" s="13">
        <v>4000001</v>
      </c>
      <c r="J176" s="17">
        <v>372</v>
      </c>
      <c r="K176" s="13">
        <v>6.4290000000000003</v>
      </c>
      <c r="L176" s="13">
        <v>501</v>
      </c>
      <c r="M176" s="13">
        <v>360</v>
      </c>
      <c r="N176" s="13">
        <v>730</v>
      </c>
      <c r="O176" s="13">
        <v>842</v>
      </c>
      <c r="P176" s="17">
        <v>785.12900000000002</v>
      </c>
      <c r="Q176" s="16">
        <v>16.678000000000001</v>
      </c>
      <c r="R176" s="18">
        <v>7.1760000000000004E-2</v>
      </c>
      <c r="S176" s="18">
        <v>4.1869999999999997E-2</v>
      </c>
      <c r="T176" s="18">
        <v>4.666E-2</v>
      </c>
      <c r="U176" s="13">
        <v>376</v>
      </c>
      <c r="V176" s="13">
        <v>270</v>
      </c>
      <c r="W176" s="13">
        <v>731</v>
      </c>
      <c r="X176" s="13">
        <v>839</v>
      </c>
      <c r="Y176" s="17">
        <v>790.79399999999998</v>
      </c>
      <c r="Z176" s="16">
        <v>15.093999999999999</v>
      </c>
      <c r="AA176" s="18">
        <v>6.9169999999999995E-2</v>
      </c>
      <c r="AB176" s="18">
        <v>3.7929999999999998E-2</v>
      </c>
      <c r="AC176" s="18">
        <v>4.666E-2</v>
      </c>
      <c r="AD176" s="16">
        <v>58.559084383800815</v>
      </c>
    </row>
    <row r="177" spans="2:30" x14ac:dyDescent="0.25">
      <c r="B177" s="13" t="s">
        <v>42</v>
      </c>
      <c r="C177" s="14">
        <v>42668</v>
      </c>
      <c r="D177" s="22">
        <v>0.29928240740740741</v>
      </c>
      <c r="E177" s="13" t="s">
        <v>43</v>
      </c>
      <c r="F177" s="13">
        <v>109.8</v>
      </c>
      <c r="G177" s="13">
        <v>134.19999999999999</v>
      </c>
      <c r="H177" s="13" t="s">
        <v>44</v>
      </c>
      <c r="I177" s="13">
        <v>4000001</v>
      </c>
      <c r="J177" s="17">
        <v>366</v>
      </c>
      <c r="K177" s="13">
        <v>6.4290000000000003</v>
      </c>
      <c r="L177" s="13">
        <v>501</v>
      </c>
      <c r="M177" s="13">
        <v>360</v>
      </c>
      <c r="N177" s="13">
        <v>727</v>
      </c>
      <c r="O177" s="13">
        <v>840</v>
      </c>
      <c r="P177" s="17">
        <v>784.95100000000002</v>
      </c>
      <c r="Q177" s="16">
        <v>16.286999999999999</v>
      </c>
      <c r="R177" s="18">
        <v>7.1690000000000004E-2</v>
      </c>
      <c r="S177" s="18">
        <v>3.805E-2</v>
      </c>
      <c r="T177" s="18">
        <v>4.147E-2</v>
      </c>
      <c r="U177" s="13">
        <v>376</v>
      </c>
      <c r="V177" s="13">
        <v>270</v>
      </c>
      <c r="W177" s="13">
        <v>743</v>
      </c>
      <c r="X177" s="13">
        <v>840</v>
      </c>
      <c r="Y177" s="17">
        <v>790.55</v>
      </c>
      <c r="Z177" s="16">
        <v>14.898</v>
      </c>
      <c r="AA177" s="18">
        <v>6.1199999999999997E-2</v>
      </c>
      <c r="AB177" s="18">
        <v>3.7810000000000003E-2</v>
      </c>
      <c r="AC177" s="18">
        <v>4.1180000000000001E-2</v>
      </c>
      <c r="AD177" s="16">
        <v>59.671082829862364</v>
      </c>
    </row>
    <row r="178" spans="2:30" x14ac:dyDescent="0.25">
      <c r="B178" s="13" t="s">
        <v>42</v>
      </c>
      <c r="C178" s="14">
        <v>42669</v>
      </c>
      <c r="D178" s="22">
        <v>0.30659722222222224</v>
      </c>
      <c r="E178" s="13" t="s">
        <v>43</v>
      </c>
      <c r="F178" s="13">
        <v>109.8</v>
      </c>
      <c r="G178" s="13">
        <v>134.19999999999999</v>
      </c>
      <c r="H178" s="13" t="s">
        <v>44</v>
      </c>
      <c r="I178" s="13">
        <v>4000001</v>
      </c>
      <c r="J178" s="17">
        <v>367</v>
      </c>
      <c r="K178" s="13">
        <v>6.4290000000000003</v>
      </c>
      <c r="L178" s="13">
        <v>501</v>
      </c>
      <c r="M178" s="13">
        <v>360</v>
      </c>
      <c r="N178" s="13">
        <v>712</v>
      </c>
      <c r="O178" s="13">
        <v>836</v>
      </c>
      <c r="P178" s="17">
        <v>785.67700000000002</v>
      </c>
      <c r="Q178" s="16">
        <v>16.056999999999999</v>
      </c>
      <c r="R178" s="18">
        <v>7.9939999999999997E-2</v>
      </c>
      <c r="S178" s="18">
        <v>5.0119999999999998E-2</v>
      </c>
      <c r="T178" s="18">
        <v>4.9840000000000002E-2</v>
      </c>
      <c r="U178" s="13">
        <v>376</v>
      </c>
      <c r="V178" s="13">
        <v>270</v>
      </c>
      <c r="W178" s="13">
        <v>742</v>
      </c>
      <c r="X178" s="13">
        <v>833</v>
      </c>
      <c r="Y178" s="17">
        <v>791.62</v>
      </c>
      <c r="Z178" s="16">
        <v>13.75</v>
      </c>
      <c r="AA178" s="18">
        <v>5.7579999999999999E-2</v>
      </c>
      <c r="AB178" s="18">
        <v>3.7510000000000002E-2</v>
      </c>
      <c r="AC178" s="18">
        <v>3.8039999999999997E-2</v>
      </c>
      <c r="AD178" s="16">
        <v>59.660477763025419</v>
      </c>
    </row>
    <row r="179" spans="2:30" x14ac:dyDescent="0.25">
      <c r="B179" s="13" t="s">
        <v>42</v>
      </c>
      <c r="C179" s="14">
        <v>42670</v>
      </c>
      <c r="D179" s="22">
        <v>0.31035879629629631</v>
      </c>
      <c r="E179" s="13" t="s">
        <v>43</v>
      </c>
      <c r="F179" s="13">
        <v>109.8</v>
      </c>
      <c r="G179" s="13">
        <v>134.19999999999999</v>
      </c>
      <c r="H179" s="13" t="s">
        <v>44</v>
      </c>
      <c r="I179" s="13">
        <v>4000001</v>
      </c>
      <c r="J179" s="17">
        <v>367</v>
      </c>
      <c r="K179" s="13">
        <v>6.4290000000000003</v>
      </c>
      <c r="L179" s="13">
        <v>501</v>
      </c>
      <c r="M179" s="13">
        <v>360</v>
      </c>
      <c r="N179" s="13">
        <v>721</v>
      </c>
      <c r="O179" s="13">
        <v>833</v>
      </c>
      <c r="P179" s="17">
        <v>784.62099999999998</v>
      </c>
      <c r="Q179" s="16">
        <v>15.446999999999999</v>
      </c>
      <c r="R179" s="18">
        <v>7.22E-2</v>
      </c>
      <c r="S179" s="18">
        <v>5.4359999999999999E-2</v>
      </c>
      <c r="T179" s="18">
        <v>4.163E-2</v>
      </c>
      <c r="U179" s="13">
        <v>376</v>
      </c>
      <c r="V179" s="13">
        <v>270</v>
      </c>
      <c r="W179" s="13">
        <v>749</v>
      </c>
      <c r="X179" s="13">
        <v>833</v>
      </c>
      <c r="Y179" s="17">
        <v>790.149</v>
      </c>
      <c r="Z179" s="16">
        <v>13.888</v>
      </c>
      <c r="AA179" s="18">
        <v>5.3069999999999999E-2</v>
      </c>
      <c r="AB179" s="18">
        <v>3.9539999999999999E-2</v>
      </c>
      <c r="AC179" s="18">
        <v>3.211E-2</v>
      </c>
      <c r="AD179" s="16">
        <v>59.812852380379745</v>
      </c>
    </row>
    <row r="180" spans="2:30" x14ac:dyDescent="0.25">
      <c r="B180" s="13" t="s">
        <v>42</v>
      </c>
      <c r="C180" s="14">
        <v>42671</v>
      </c>
      <c r="D180" s="22">
        <v>0.32325231481481481</v>
      </c>
      <c r="E180" s="13" t="s">
        <v>43</v>
      </c>
      <c r="F180" s="13">
        <v>109.8</v>
      </c>
      <c r="G180" s="13">
        <v>134.19999999999999</v>
      </c>
      <c r="H180" s="13" t="s">
        <v>44</v>
      </c>
      <c r="I180" s="13">
        <v>4000001</v>
      </c>
      <c r="J180" s="17">
        <v>368</v>
      </c>
      <c r="K180" s="13">
        <v>6.4290000000000003</v>
      </c>
      <c r="L180" s="13">
        <v>501</v>
      </c>
      <c r="M180" s="13">
        <v>360</v>
      </c>
      <c r="N180" s="13">
        <v>718</v>
      </c>
      <c r="O180" s="13">
        <v>834</v>
      </c>
      <c r="P180" s="17">
        <v>785.39400000000001</v>
      </c>
      <c r="Q180" s="16">
        <v>16.314</v>
      </c>
      <c r="R180" s="18">
        <v>7.4590000000000004E-2</v>
      </c>
      <c r="S180" s="18">
        <v>4.0280000000000003E-2</v>
      </c>
      <c r="T180" s="18">
        <v>3.7679999999999998E-2</v>
      </c>
      <c r="U180" s="13">
        <v>376</v>
      </c>
      <c r="V180" s="13">
        <v>270</v>
      </c>
      <c r="W180" s="13">
        <v>744</v>
      </c>
      <c r="X180" s="13">
        <v>834</v>
      </c>
      <c r="Y180" s="17">
        <v>791.07399999999996</v>
      </c>
      <c r="Z180" s="16">
        <v>14.734999999999999</v>
      </c>
      <c r="AA180" s="18">
        <v>5.7090000000000002E-2</v>
      </c>
      <c r="AB180" s="18">
        <v>3.9530000000000003E-2</v>
      </c>
      <c r="AC180" s="18">
        <v>3.7679999999999998E-2</v>
      </c>
      <c r="AD180" s="16">
        <v>59.802666123062565</v>
      </c>
    </row>
    <row r="181" spans="2:30" x14ac:dyDescent="0.25">
      <c r="B181" s="13" t="s">
        <v>42</v>
      </c>
      <c r="C181" s="14">
        <v>42674</v>
      </c>
      <c r="D181" s="22">
        <v>0.35887731481481483</v>
      </c>
      <c r="E181" s="13" t="s">
        <v>43</v>
      </c>
      <c r="F181" s="13">
        <v>109.8</v>
      </c>
      <c r="G181" s="13">
        <v>134.19999999999999</v>
      </c>
      <c r="H181" s="13" t="s">
        <v>44</v>
      </c>
      <c r="I181" s="13">
        <v>4000001</v>
      </c>
      <c r="J181" s="17">
        <v>379</v>
      </c>
      <c r="K181" s="13">
        <v>6.4290000000000003</v>
      </c>
      <c r="L181" s="13">
        <v>501</v>
      </c>
      <c r="M181" s="13">
        <v>360</v>
      </c>
      <c r="N181" s="13">
        <v>725</v>
      </c>
      <c r="O181" s="13">
        <v>841</v>
      </c>
      <c r="P181" s="17">
        <v>785.37</v>
      </c>
      <c r="Q181" s="16">
        <v>18.170000000000002</v>
      </c>
      <c r="R181" s="18">
        <v>7.4230000000000004E-2</v>
      </c>
      <c r="S181" s="18">
        <v>4.5039999999999997E-2</v>
      </c>
      <c r="T181" s="18">
        <v>5.1409999999999997E-2</v>
      </c>
      <c r="U181" s="13">
        <v>376</v>
      </c>
      <c r="V181" s="13">
        <v>270</v>
      </c>
      <c r="W181" s="13">
        <v>739</v>
      </c>
      <c r="X181" s="13">
        <v>837</v>
      </c>
      <c r="Y181" s="17">
        <v>791.25800000000004</v>
      </c>
      <c r="Z181" s="16">
        <v>16.292999999999999</v>
      </c>
      <c r="AA181" s="18">
        <v>6.2350000000000003E-2</v>
      </c>
      <c r="AB181" s="18">
        <v>4.5039999999999997E-2</v>
      </c>
      <c r="AC181" s="18">
        <v>3.8609999999999998E-2</v>
      </c>
      <c r="AD181" s="16">
        <v>58.513020225640986</v>
      </c>
    </row>
    <row r="182" spans="2:30" x14ac:dyDescent="0.25">
      <c r="B182" s="13" t="s">
        <v>42</v>
      </c>
      <c r="C182" s="14">
        <v>42675</v>
      </c>
      <c r="D182" s="22">
        <v>0.29834490740740743</v>
      </c>
      <c r="E182" s="13" t="s">
        <v>43</v>
      </c>
      <c r="F182" s="13">
        <v>109.8</v>
      </c>
      <c r="G182" s="13">
        <v>134.19999999999999</v>
      </c>
      <c r="H182" s="13" t="s">
        <v>44</v>
      </c>
      <c r="I182" s="13">
        <v>4000001</v>
      </c>
      <c r="J182" s="17">
        <v>372</v>
      </c>
      <c r="K182" s="13">
        <v>6.4290000000000003</v>
      </c>
      <c r="L182" s="13">
        <v>501</v>
      </c>
      <c r="M182" s="13">
        <v>360</v>
      </c>
      <c r="N182" s="13">
        <v>706</v>
      </c>
      <c r="O182" s="13">
        <v>839</v>
      </c>
      <c r="P182" s="17">
        <v>785.40099999999995</v>
      </c>
      <c r="Q182" s="16">
        <v>16.956</v>
      </c>
      <c r="R182" s="18">
        <v>8.6419999999999997E-2</v>
      </c>
      <c r="S182" s="18">
        <v>5.0220000000000001E-2</v>
      </c>
      <c r="T182" s="18">
        <v>4.5260000000000002E-2</v>
      </c>
      <c r="U182" s="13">
        <v>376</v>
      </c>
      <c r="V182" s="13">
        <v>270</v>
      </c>
      <c r="W182" s="13">
        <v>745</v>
      </c>
      <c r="X182" s="13">
        <v>839</v>
      </c>
      <c r="Y182" s="17">
        <v>792.21199999999999</v>
      </c>
      <c r="Z182" s="16">
        <v>14.576000000000001</v>
      </c>
      <c r="AA182" s="18">
        <v>5.9900000000000002E-2</v>
      </c>
      <c r="AB182" s="18">
        <v>3.9269999999999999E-2</v>
      </c>
      <c r="AC182" s="18">
        <v>4.5260000000000002E-2</v>
      </c>
      <c r="AD182" s="16">
        <v>59.766327776355169</v>
      </c>
    </row>
    <row r="183" spans="2:30" x14ac:dyDescent="0.25">
      <c r="B183" s="13" t="s">
        <v>42</v>
      </c>
      <c r="C183" s="14">
        <v>42676</v>
      </c>
      <c r="D183" s="22">
        <v>0.31796296296296295</v>
      </c>
      <c r="E183" s="13" t="s">
        <v>43</v>
      </c>
      <c r="F183" s="13">
        <v>109.8</v>
      </c>
      <c r="G183" s="13">
        <v>134.19999999999999</v>
      </c>
      <c r="H183" s="13" t="s">
        <v>44</v>
      </c>
      <c r="I183" s="13">
        <v>4000001</v>
      </c>
      <c r="J183" s="17">
        <v>374</v>
      </c>
      <c r="K183" s="13">
        <v>6.4290000000000003</v>
      </c>
      <c r="L183" s="13">
        <v>501</v>
      </c>
      <c r="M183" s="13">
        <v>360</v>
      </c>
      <c r="N183" s="13">
        <v>705</v>
      </c>
      <c r="O183" s="13">
        <v>835</v>
      </c>
      <c r="P183" s="17">
        <v>785.24199999999996</v>
      </c>
      <c r="Q183" s="16">
        <v>16.847999999999999</v>
      </c>
      <c r="R183" s="18">
        <v>8.4379999999999997E-2</v>
      </c>
      <c r="S183" s="18">
        <v>6.3049999999999995E-2</v>
      </c>
      <c r="T183" s="18">
        <v>4.5499999999999999E-2</v>
      </c>
      <c r="U183" s="13">
        <v>376</v>
      </c>
      <c r="V183" s="13">
        <v>270</v>
      </c>
      <c r="W183" s="13">
        <v>748</v>
      </c>
      <c r="X183" s="13">
        <v>835</v>
      </c>
      <c r="Y183" s="17">
        <v>791.85900000000004</v>
      </c>
      <c r="Z183" s="16">
        <v>14.7</v>
      </c>
      <c r="AA183" s="18">
        <v>5.4960000000000002E-2</v>
      </c>
      <c r="AB183" s="18">
        <v>3.1519999999999999E-2</v>
      </c>
      <c r="AC183" s="18">
        <v>3.8559999999999997E-2</v>
      </c>
      <c r="AD183" s="16">
        <v>59.598550423655404</v>
      </c>
    </row>
    <row r="184" spans="2:30" x14ac:dyDescent="0.25">
      <c r="B184" s="13" t="s">
        <v>42</v>
      </c>
      <c r="C184" s="14">
        <v>42677</v>
      </c>
      <c r="D184" s="22">
        <v>0.31717592592592592</v>
      </c>
      <c r="E184" s="13" t="s">
        <v>43</v>
      </c>
      <c r="F184" s="13">
        <v>109.8</v>
      </c>
      <c r="G184" s="13">
        <v>134.19999999999999</v>
      </c>
      <c r="H184" s="13" t="s">
        <v>44</v>
      </c>
      <c r="I184" s="13">
        <v>4000001</v>
      </c>
      <c r="J184" s="17">
        <v>375</v>
      </c>
      <c r="K184" s="13">
        <v>6.4290000000000003</v>
      </c>
      <c r="L184" s="13">
        <v>501</v>
      </c>
      <c r="M184" s="13">
        <v>360</v>
      </c>
      <c r="N184" s="13">
        <v>714</v>
      </c>
      <c r="O184" s="13">
        <v>839</v>
      </c>
      <c r="P184" s="17">
        <v>786.90099999999995</v>
      </c>
      <c r="Q184" s="16">
        <v>15.693</v>
      </c>
      <c r="R184" s="18">
        <v>8.0449999999999994E-2</v>
      </c>
      <c r="S184" s="18">
        <v>5.2389999999999999E-2</v>
      </c>
      <c r="T184" s="18">
        <v>4.4699999999999997E-2</v>
      </c>
      <c r="U184" s="13">
        <v>376</v>
      </c>
      <c r="V184" s="13">
        <v>270</v>
      </c>
      <c r="W184" s="13">
        <v>744</v>
      </c>
      <c r="X184" s="13">
        <v>839</v>
      </c>
      <c r="Y184" s="17">
        <v>792.03599999999994</v>
      </c>
      <c r="Z184" s="16">
        <v>14.205</v>
      </c>
      <c r="AA184" s="18">
        <v>6.0100000000000001E-2</v>
      </c>
      <c r="AB184" s="18">
        <v>3.7280000000000001E-2</v>
      </c>
      <c r="AC184" s="18">
        <v>4.233E-2</v>
      </c>
      <c r="AD184" s="16">
        <v>59.591431498423042</v>
      </c>
    </row>
    <row r="185" spans="2:30" x14ac:dyDescent="0.25">
      <c r="B185" s="13" t="s">
        <v>42</v>
      </c>
      <c r="C185" s="14">
        <v>42678</v>
      </c>
      <c r="D185" s="22">
        <v>0.34662037037037036</v>
      </c>
      <c r="E185" s="13" t="s">
        <v>43</v>
      </c>
      <c r="F185" s="13">
        <v>109.8</v>
      </c>
      <c r="G185" s="13">
        <v>134.19999999999999</v>
      </c>
      <c r="H185" s="13" t="s">
        <v>44</v>
      </c>
      <c r="I185" s="13">
        <v>4000001</v>
      </c>
      <c r="J185" s="17">
        <v>375</v>
      </c>
      <c r="K185" s="13">
        <v>6.4290000000000003</v>
      </c>
      <c r="L185" s="13">
        <v>501</v>
      </c>
      <c r="M185" s="13">
        <v>360</v>
      </c>
      <c r="N185" s="13">
        <v>723</v>
      </c>
      <c r="O185" s="13">
        <v>839</v>
      </c>
      <c r="P185" s="17">
        <v>785.32</v>
      </c>
      <c r="Q185" s="16">
        <v>16.491</v>
      </c>
      <c r="R185" s="18">
        <v>7.4490000000000001E-2</v>
      </c>
      <c r="S185" s="18">
        <v>4.6019999999999998E-2</v>
      </c>
      <c r="T185" s="18">
        <v>5.2089999999999997E-2</v>
      </c>
      <c r="U185" s="13">
        <v>376</v>
      </c>
      <c r="V185" s="13">
        <v>270</v>
      </c>
      <c r="W185" s="13">
        <v>745</v>
      </c>
      <c r="X185" s="13">
        <v>839</v>
      </c>
      <c r="Y185" s="17">
        <v>791.86099999999999</v>
      </c>
      <c r="Z185" s="16">
        <v>13.707000000000001</v>
      </c>
      <c r="AA185" s="18">
        <v>5.9459999999999999E-2</v>
      </c>
      <c r="AB185" s="18">
        <v>3.9640000000000002E-2</v>
      </c>
      <c r="AC185" s="18">
        <v>3.9480000000000001E-2</v>
      </c>
      <c r="AD185" s="16">
        <v>59.743629769584011</v>
      </c>
    </row>
    <row r="186" spans="2:30" x14ac:dyDescent="0.25">
      <c r="B186" s="13" t="s">
        <v>42</v>
      </c>
      <c r="C186" s="14">
        <v>42681</v>
      </c>
      <c r="D186" s="22">
        <v>0.30575231481481485</v>
      </c>
      <c r="E186" s="13" t="s">
        <v>43</v>
      </c>
      <c r="F186" s="13">
        <v>109.8</v>
      </c>
      <c r="G186" s="13">
        <v>134.19999999999999</v>
      </c>
      <c r="H186" s="13" t="s">
        <v>44</v>
      </c>
      <c r="I186" s="13">
        <v>4000001</v>
      </c>
      <c r="J186" s="17">
        <v>386</v>
      </c>
      <c r="K186" s="13">
        <v>6.4290000000000003</v>
      </c>
      <c r="L186" s="13">
        <v>501</v>
      </c>
      <c r="M186" s="13">
        <v>360</v>
      </c>
      <c r="N186" s="13">
        <v>704</v>
      </c>
      <c r="O186" s="13">
        <v>845</v>
      </c>
      <c r="P186" s="17">
        <v>784.96600000000001</v>
      </c>
      <c r="Q186" s="16">
        <v>16.462</v>
      </c>
      <c r="R186" s="18">
        <v>9.1079999999999994E-2</v>
      </c>
      <c r="S186" s="18">
        <v>4.8090000000000001E-2</v>
      </c>
      <c r="T186" s="18">
        <v>4.9149999999999999E-2</v>
      </c>
      <c r="U186" s="13">
        <v>376</v>
      </c>
      <c r="V186" s="13">
        <v>270</v>
      </c>
      <c r="W186" s="13">
        <v>739</v>
      </c>
      <c r="X186" s="13">
        <v>845</v>
      </c>
      <c r="Y186" s="17">
        <v>789.88</v>
      </c>
      <c r="Z186" s="16">
        <v>14.73</v>
      </c>
      <c r="AA186" s="18">
        <v>6.6600000000000006E-2</v>
      </c>
      <c r="AB186" s="18">
        <v>3.6720000000000003E-2</v>
      </c>
      <c r="AC186" s="18">
        <v>3.7789999999999997E-2</v>
      </c>
      <c r="AD186" s="16">
        <v>58.486943850391718</v>
      </c>
    </row>
    <row r="187" spans="2:30" x14ac:dyDescent="0.25">
      <c r="B187" s="13" t="s">
        <v>42</v>
      </c>
      <c r="C187" s="14">
        <v>42682</v>
      </c>
      <c r="D187" s="22">
        <v>0.36254629629629626</v>
      </c>
      <c r="E187" s="13" t="s">
        <v>43</v>
      </c>
      <c r="F187" s="13">
        <v>109.8</v>
      </c>
      <c r="G187" s="13">
        <v>134.19999999999999</v>
      </c>
      <c r="H187" s="13" t="s">
        <v>44</v>
      </c>
      <c r="I187" s="13">
        <v>4000001</v>
      </c>
      <c r="J187" s="17">
        <v>379</v>
      </c>
      <c r="K187" s="13">
        <v>6.4290000000000003</v>
      </c>
      <c r="L187" s="13">
        <v>501</v>
      </c>
      <c r="M187" s="13">
        <v>360</v>
      </c>
      <c r="N187" s="13">
        <v>713</v>
      </c>
      <c r="O187" s="13">
        <v>839</v>
      </c>
      <c r="P187" s="17">
        <v>786.42200000000003</v>
      </c>
      <c r="Q187" s="16">
        <v>16.884</v>
      </c>
      <c r="R187" s="18">
        <v>8.1320000000000003E-2</v>
      </c>
      <c r="S187" s="18">
        <v>4.725E-2</v>
      </c>
      <c r="T187" s="18">
        <v>6.9529999999999995E-2</v>
      </c>
      <c r="U187" s="13">
        <v>376</v>
      </c>
      <c r="V187" s="13">
        <v>270</v>
      </c>
      <c r="W187" s="13">
        <v>736</v>
      </c>
      <c r="X187" s="13">
        <v>839</v>
      </c>
      <c r="Y187" s="17">
        <v>792.38499999999999</v>
      </c>
      <c r="Z187" s="16">
        <v>14.975</v>
      </c>
      <c r="AA187" s="18">
        <v>6.5379999999999994E-2</v>
      </c>
      <c r="AB187" s="18">
        <v>4.0030000000000003E-2</v>
      </c>
      <c r="AC187" s="18">
        <v>3.7879999999999997E-2</v>
      </c>
      <c r="AD187" s="16">
        <v>59.71931396792062</v>
      </c>
    </row>
    <row r="188" spans="2:30" x14ac:dyDescent="0.25">
      <c r="B188" s="13" t="s">
        <v>42</v>
      </c>
      <c r="C188" s="14">
        <v>42683</v>
      </c>
      <c r="D188" s="22">
        <v>0.3177314814814815</v>
      </c>
      <c r="E188" s="13" t="s">
        <v>43</v>
      </c>
      <c r="F188" s="13">
        <v>109.8</v>
      </c>
      <c r="G188" s="13">
        <v>134.19999999999999</v>
      </c>
      <c r="H188" s="13" t="s">
        <v>44</v>
      </c>
      <c r="I188" s="13">
        <v>4000001</v>
      </c>
      <c r="J188" s="17">
        <v>380</v>
      </c>
      <c r="K188" s="13">
        <v>6.4290000000000003</v>
      </c>
      <c r="L188" s="13">
        <v>501</v>
      </c>
      <c r="M188" s="13">
        <v>360</v>
      </c>
      <c r="N188" s="13">
        <v>720</v>
      </c>
      <c r="O188" s="13">
        <v>840</v>
      </c>
      <c r="P188" s="17">
        <v>785.327</v>
      </c>
      <c r="Q188" s="16">
        <v>16.181000000000001</v>
      </c>
      <c r="R188" s="18">
        <v>7.7079999999999996E-2</v>
      </c>
      <c r="S188" s="18">
        <v>4.4850000000000001E-2</v>
      </c>
      <c r="T188" s="18">
        <v>4.3290000000000002E-2</v>
      </c>
      <c r="U188" s="13">
        <v>376</v>
      </c>
      <c r="V188" s="13">
        <v>270</v>
      </c>
      <c r="W188" s="13">
        <v>743</v>
      </c>
      <c r="X188" s="13">
        <v>835</v>
      </c>
      <c r="Y188" s="17">
        <v>790.10500000000002</v>
      </c>
      <c r="Z188" s="16">
        <v>14.467000000000001</v>
      </c>
      <c r="AA188" s="18">
        <v>5.8470000000000001E-2</v>
      </c>
      <c r="AB188" s="18">
        <v>3.8850000000000003E-2</v>
      </c>
      <c r="AC188" s="18">
        <v>3.8199999999999998E-2</v>
      </c>
      <c r="AD188" s="16">
        <v>59.714281384004934</v>
      </c>
    </row>
    <row r="189" spans="2:30" x14ac:dyDescent="0.25">
      <c r="B189" s="13" t="s">
        <v>42</v>
      </c>
      <c r="C189" s="14">
        <v>42684</v>
      </c>
      <c r="D189" s="22">
        <v>0.31289351851851849</v>
      </c>
      <c r="E189" s="13" t="s">
        <v>43</v>
      </c>
      <c r="F189" s="13">
        <v>109.8</v>
      </c>
      <c r="G189" s="13">
        <v>134.19999999999999</v>
      </c>
      <c r="H189" s="13" t="s">
        <v>44</v>
      </c>
      <c r="I189" s="13">
        <v>4000001</v>
      </c>
      <c r="J189" s="17">
        <v>381</v>
      </c>
      <c r="K189" s="13">
        <v>6.4290000000000003</v>
      </c>
      <c r="L189" s="13">
        <v>501</v>
      </c>
      <c r="M189" s="13">
        <v>360</v>
      </c>
      <c r="N189" s="13">
        <v>716</v>
      </c>
      <c r="O189" s="13">
        <v>832</v>
      </c>
      <c r="P189" s="17">
        <v>786.1</v>
      </c>
      <c r="Q189" s="16">
        <v>15.968</v>
      </c>
      <c r="R189" s="18">
        <v>7.46E-2</v>
      </c>
      <c r="S189" s="18">
        <v>4.4909999999999999E-2</v>
      </c>
      <c r="T189" s="18">
        <v>4.709E-2</v>
      </c>
      <c r="U189" s="13">
        <v>376</v>
      </c>
      <c r="V189" s="13">
        <v>270</v>
      </c>
      <c r="W189" s="13">
        <v>740</v>
      </c>
      <c r="X189" s="13">
        <v>832</v>
      </c>
      <c r="Y189" s="17">
        <v>792.19100000000003</v>
      </c>
      <c r="Z189" s="16">
        <v>13.587</v>
      </c>
      <c r="AA189" s="18">
        <v>5.8709999999999998E-2</v>
      </c>
      <c r="AB189" s="18">
        <v>3.4119999999999998E-2</v>
      </c>
      <c r="AC189" s="18">
        <v>3.3669999999999999E-2</v>
      </c>
      <c r="AD189" s="16">
        <v>59.709662726007664</v>
      </c>
    </row>
    <row r="190" spans="2:30" x14ac:dyDescent="0.25">
      <c r="B190" s="13" t="s">
        <v>42</v>
      </c>
      <c r="C190" s="14">
        <v>42685</v>
      </c>
      <c r="D190" s="22">
        <v>0.33686342592592594</v>
      </c>
      <c r="E190" s="13" t="s">
        <v>43</v>
      </c>
      <c r="F190" s="13">
        <v>109.8</v>
      </c>
      <c r="G190" s="13">
        <v>134.19999999999999</v>
      </c>
      <c r="H190" s="13" t="s">
        <v>44</v>
      </c>
      <c r="I190" s="13">
        <v>4000001</v>
      </c>
      <c r="J190" s="17">
        <v>381</v>
      </c>
      <c r="K190" s="13">
        <v>6.4290000000000003</v>
      </c>
      <c r="L190" s="13">
        <v>501</v>
      </c>
      <c r="M190" s="13">
        <v>360</v>
      </c>
      <c r="N190" s="13">
        <v>716</v>
      </c>
      <c r="O190" s="13">
        <v>830</v>
      </c>
      <c r="P190" s="17">
        <v>785.26700000000005</v>
      </c>
      <c r="Q190" s="16">
        <v>15.923999999999999</v>
      </c>
      <c r="R190" s="18">
        <v>7.3300000000000004E-2</v>
      </c>
      <c r="S190" s="18">
        <v>4.462E-2</v>
      </c>
      <c r="T190" s="18">
        <v>4.299E-2</v>
      </c>
      <c r="U190" s="13">
        <v>376</v>
      </c>
      <c r="V190" s="13">
        <v>270</v>
      </c>
      <c r="W190" s="13">
        <v>743</v>
      </c>
      <c r="X190" s="13">
        <v>830</v>
      </c>
      <c r="Y190" s="17">
        <v>790.72500000000002</v>
      </c>
      <c r="Z190" s="16">
        <v>14.162000000000001</v>
      </c>
      <c r="AA190" s="18">
        <v>5.5390000000000002E-2</v>
      </c>
      <c r="AB190" s="18">
        <v>3.6290000000000003E-2</v>
      </c>
      <c r="AC190" s="18">
        <v>4.299E-2</v>
      </c>
      <c r="AD190" s="16">
        <v>59.862162963206075</v>
      </c>
    </row>
    <row r="191" spans="2:30" x14ac:dyDescent="0.25">
      <c r="B191" s="13" t="s">
        <v>42</v>
      </c>
      <c r="C191" s="14">
        <v>42688</v>
      </c>
      <c r="D191" s="22">
        <v>0.32475694444444442</v>
      </c>
      <c r="E191" s="13" t="s">
        <v>43</v>
      </c>
      <c r="F191" s="13">
        <v>109.8</v>
      </c>
      <c r="G191" s="13">
        <v>134.19999999999999</v>
      </c>
      <c r="H191" s="13" t="s">
        <v>44</v>
      </c>
      <c r="I191" s="13">
        <v>4000001</v>
      </c>
      <c r="J191" s="17">
        <v>391</v>
      </c>
      <c r="K191" s="13">
        <v>6.4290000000000003</v>
      </c>
      <c r="L191" s="13">
        <v>501</v>
      </c>
      <c r="M191" s="13">
        <v>360</v>
      </c>
      <c r="N191" s="13">
        <v>696</v>
      </c>
      <c r="O191" s="13">
        <v>841</v>
      </c>
      <c r="P191" s="17">
        <v>784.90899999999999</v>
      </c>
      <c r="Q191" s="16">
        <v>18.138999999999999</v>
      </c>
      <c r="R191" s="18">
        <v>9.4109999999999999E-2</v>
      </c>
      <c r="S191" s="18">
        <v>5.169E-2</v>
      </c>
      <c r="T191" s="18">
        <v>4.4389999999999999E-2</v>
      </c>
      <c r="U191" s="13">
        <v>376</v>
      </c>
      <c r="V191" s="13">
        <v>270</v>
      </c>
      <c r="W191" s="13">
        <v>719</v>
      </c>
      <c r="X191" s="13">
        <v>841</v>
      </c>
      <c r="Y191" s="17">
        <v>790.21299999999997</v>
      </c>
      <c r="Z191" s="16">
        <v>16.481999999999999</v>
      </c>
      <c r="AA191" s="18">
        <v>7.8189999999999996E-2</v>
      </c>
      <c r="AB191" s="18">
        <v>5.042E-2</v>
      </c>
      <c r="AC191" s="18">
        <v>4.2880000000000001E-2</v>
      </c>
      <c r="AD191" s="16">
        <v>58.779242331094544</v>
      </c>
    </row>
    <row r="192" spans="2:30" x14ac:dyDescent="0.25">
      <c r="B192" s="13" t="s">
        <v>42</v>
      </c>
      <c r="C192" s="14">
        <v>42689</v>
      </c>
      <c r="D192" s="22">
        <v>0.32210648148148152</v>
      </c>
      <c r="E192" s="13" t="s">
        <v>43</v>
      </c>
      <c r="F192" s="13">
        <v>109.8</v>
      </c>
      <c r="G192" s="13">
        <v>134.19999999999999</v>
      </c>
      <c r="H192" s="13" t="s">
        <v>44</v>
      </c>
      <c r="I192" s="13">
        <v>4000001</v>
      </c>
      <c r="J192" s="17">
        <v>385</v>
      </c>
      <c r="K192" s="13">
        <v>6.4290000000000003</v>
      </c>
      <c r="L192" s="13">
        <v>501</v>
      </c>
      <c r="M192" s="13">
        <v>360</v>
      </c>
      <c r="N192" s="13">
        <v>721</v>
      </c>
      <c r="O192" s="13">
        <v>839</v>
      </c>
      <c r="P192" s="17">
        <v>785.05700000000002</v>
      </c>
      <c r="Q192" s="16">
        <v>15.933</v>
      </c>
      <c r="R192" s="18">
        <v>7.5579999999999994E-2</v>
      </c>
      <c r="S192" s="18">
        <v>4.786E-2</v>
      </c>
      <c r="T192" s="18">
        <v>4.5010000000000001E-2</v>
      </c>
      <c r="U192" s="13">
        <v>376</v>
      </c>
      <c r="V192" s="13">
        <v>270</v>
      </c>
      <c r="W192" s="13">
        <v>741</v>
      </c>
      <c r="X192" s="13">
        <v>839</v>
      </c>
      <c r="Y192" s="17">
        <v>790.78899999999999</v>
      </c>
      <c r="Z192" s="16">
        <v>14.19</v>
      </c>
      <c r="AA192" s="18">
        <v>6.1800000000000001E-2</v>
      </c>
      <c r="AB192" s="18">
        <v>3.3669999999999999E-2</v>
      </c>
      <c r="AC192" s="18">
        <v>3.1329999999999997E-2</v>
      </c>
      <c r="AD192" s="16">
        <v>59.847745980923804</v>
      </c>
    </row>
    <row r="193" spans="2:30" x14ac:dyDescent="0.25">
      <c r="B193" s="13" t="s">
        <v>42</v>
      </c>
      <c r="C193" s="14">
        <v>42690</v>
      </c>
      <c r="D193" s="22">
        <v>0.32037037037037036</v>
      </c>
      <c r="E193" s="13" t="s">
        <v>43</v>
      </c>
      <c r="F193" s="13">
        <v>109.8</v>
      </c>
      <c r="G193" s="13">
        <v>134.19999999999999</v>
      </c>
      <c r="H193" s="13" t="s">
        <v>44</v>
      </c>
      <c r="I193" s="13">
        <v>4000001</v>
      </c>
      <c r="J193" s="17">
        <v>387</v>
      </c>
      <c r="K193" s="13">
        <v>6.4290000000000003</v>
      </c>
      <c r="L193" s="13">
        <v>501</v>
      </c>
      <c r="M193" s="13">
        <v>360</v>
      </c>
      <c r="N193" s="13">
        <v>712</v>
      </c>
      <c r="O193" s="13">
        <v>834</v>
      </c>
      <c r="P193" s="17">
        <v>787.67200000000003</v>
      </c>
      <c r="Q193" s="16">
        <v>15.933</v>
      </c>
      <c r="R193" s="18">
        <v>7.8689999999999996E-2</v>
      </c>
      <c r="S193" s="18">
        <v>4.1739999999999999E-2</v>
      </c>
      <c r="T193" s="18">
        <v>6.1440000000000002E-2</v>
      </c>
      <c r="U193" s="13">
        <v>376</v>
      </c>
      <c r="V193" s="13">
        <v>270</v>
      </c>
      <c r="W193" s="13">
        <v>748</v>
      </c>
      <c r="X193" s="13">
        <v>834</v>
      </c>
      <c r="Y193" s="17">
        <v>793.904</v>
      </c>
      <c r="Z193" s="16">
        <v>13.222</v>
      </c>
      <c r="AA193" s="18">
        <v>5.432E-2</v>
      </c>
      <c r="AB193" s="18">
        <v>3.4090000000000002E-2</v>
      </c>
      <c r="AC193" s="18">
        <v>3.4810000000000001E-2</v>
      </c>
      <c r="AD193" s="16">
        <v>59.690518272419979</v>
      </c>
    </row>
    <row r="194" spans="2:30" x14ac:dyDescent="0.25">
      <c r="B194" s="13" t="s">
        <v>42</v>
      </c>
      <c r="C194" s="14">
        <v>42691</v>
      </c>
      <c r="D194" s="22">
        <v>0.31359953703703702</v>
      </c>
      <c r="E194" s="13" t="s">
        <v>43</v>
      </c>
      <c r="F194" s="13">
        <v>109.8</v>
      </c>
      <c r="G194" s="13">
        <v>134.19999999999999</v>
      </c>
      <c r="H194" s="13" t="s">
        <v>44</v>
      </c>
      <c r="I194" s="13">
        <v>4000001</v>
      </c>
      <c r="J194" s="17">
        <v>386</v>
      </c>
      <c r="K194" s="13">
        <v>6.4290000000000003</v>
      </c>
      <c r="L194" s="13">
        <v>501</v>
      </c>
      <c r="M194" s="13">
        <v>360</v>
      </c>
      <c r="N194" s="13">
        <v>728</v>
      </c>
      <c r="O194" s="13">
        <v>834</v>
      </c>
      <c r="P194" s="17">
        <v>784.58500000000004</v>
      </c>
      <c r="Q194" s="16">
        <v>16.170999999999999</v>
      </c>
      <c r="R194" s="18">
        <v>6.7979999999999999E-2</v>
      </c>
      <c r="S194" s="18">
        <v>4.6089999999999999E-2</v>
      </c>
      <c r="T194" s="18">
        <v>4.1000000000000002E-2</v>
      </c>
      <c r="U194" s="13">
        <v>376</v>
      </c>
      <c r="V194" s="13">
        <v>270</v>
      </c>
      <c r="W194" s="13">
        <v>743</v>
      </c>
      <c r="X194" s="13">
        <v>834</v>
      </c>
      <c r="Y194" s="17">
        <v>790.78800000000001</v>
      </c>
      <c r="Z194" s="16">
        <v>14.023999999999999</v>
      </c>
      <c r="AA194" s="18">
        <v>5.8130000000000001E-2</v>
      </c>
      <c r="AB194" s="18">
        <v>4.6089999999999999E-2</v>
      </c>
      <c r="AC194" s="18">
        <v>3.7629999999999997E-2</v>
      </c>
      <c r="AD194" s="16">
        <v>59.998003214156654</v>
      </c>
    </row>
    <row r="195" spans="2:30" x14ac:dyDescent="0.25">
      <c r="B195" s="13" t="s">
        <v>42</v>
      </c>
      <c r="C195" s="14">
        <v>42692</v>
      </c>
      <c r="D195" s="22">
        <v>0.32061342592592595</v>
      </c>
      <c r="E195" s="13" t="s">
        <v>43</v>
      </c>
      <c r="F195" s="13">
        <v>109.8</v>
      </c>
      <c r="G195" s="13">
        <v>134.19999999999999</v>
      </c>
      <c r="H195" s="13" t="s">
        <v>44</v>
      </c>
      <c r="I195" s="13">
        <v>4000001</v>
      </c>
      <c r="J195" s="17">
        <v>388</v>
      </c>
      <c r="K195" s="13">
        <v>6.4290000000000003</v>
      </c>
      <c r="L195" s="13">
        <v>501</v>
      </c>
      <c r="M195" s="13">
        <v>360</v>
      </c>
      <c r="N195" s="13">
        <v>724</v>
      </c>
      <c r="O195" s="13">
        <v>837</v>
      </c>
      <c r="P195" s="17">
        <v>785.947</v>
      </c>
      <c r="Q195" s="16">
        <v>16.411000000000001</v>
      </c>
      <c r="R195" s="18">
        <v>7.2309999999999999E-2</v>
      </c>
      <c r="S195" s="18">
        <v>4.283E-2</v>
      </c>
      <c r="T195" s="18">
        <v>4.3029999999999999E-2</v>
      </c>
      <c r="U195" s="13">
        <v>376</v>
      </c>
      <c r="V195" s="13">
        <v>270</v>
      </c>
      <c r="W195" s="13">
        <v>741</v>
      </c>
      <c r="X195" s="13">
        <v>837</v>
      </c>
      <c r="Y195" s="17">
        <v>791.71299999999997</v>
      </c>
      <c r="Z195" s="16">
        <v>13.984999999999999</v>
      </c>
      <c r="AA195" s="18">
        <v>6.0929999999999998E-2</v>
      </c>
      <c r="AB195" s="18">
        <v>3.9350000000000003E-2</v>
      </c>
      <c r="AC195" s="18">
        <v>3.4290000000000001E-2</v>
      </c>
      <c r="AD195" s="16">
        <v>59.841181943920851</v>
      </c>
    </row>
    <row r="196" spans="2:30" x14ac:dyDescent="0.25">
      <c r="B196" s="13" t="s">
        <v>42</v>
      </c>
      <c r="C196" s="14">
        <v>42695</v>
      </c>
      <c r="D196" s="22">
        <v>0.31059027777777776</v>
      </c>
      <c r="E196" s="13" t="s">
        <v>43</v>
      </c>
      <c r="F196" s="13">
        <v>109.8</v>
      </c>
      <c r="G196" s="13">
        <v>134.19999999999999</v>
      </c>
      <c r="H196" s="13" t="s">
        <v>44</v>
      </c>
      <c r="I196" s="13">
        <v>4000001</v>
      </c>
      <c r="J196" s="17">
        <v>399</v>
      </c>
      <c r="K196" s="13">
        <v>6.4290000000000003</v>
      </c>
      <c r="L196" s="13">
        <v>501</v>
      </c>
      <c r="M196" s="13">
        <v>360</v>
      </c>
      <c r="N196" s="13">
        <v>715</v>
      </c>
      <c r="O196" s="13">
        <v>859</v>
      </c>
      <c r="P196" s="17">
        <v>784.52099999999996</v>
      </c>
      <c r="Q196" s="16">
        <v>18.047000000000001</v>
      </c>
      <c r="R196" s="18">
        <v>9.1249999999999998E-2</v>
      </c>
      <c r="S196" s="18">
        <v>4.6300000000000001E-2</v>
      </c>
      <c r="T196" s="18">
        <v>4.471E-2</v>
      </c>
      <c r="U196" s="13">
        <v>376</v>
      </c>
      <c r="V196" s="13">
        <v>270</v>
      </c>
      <c r="W196" s="13">
        <v>734</v>
      </c>
      <c r="X196" s="13">
        <v>841</v>
      </c>
      <c r="Y196" s="17">
        <v>790.31100000000004</v>
      </c>
      <c r="Z196" s="16">
        <v>16.004999999999999</v>
      </c>
      <c r="AA196" s="18">
        <v>6.8059999999999996E-2</v>
      </c>
      <c r="AB196" s="18">
        <v>4.5789999999999997E-2</v>
      </c>
      <c r="AC196" s="18">
        <v>4.2849999999999999E-2</v>
      </c>
      <c r="AD196" s="16">
        <v>58.638432617655724</v>
      </c>
    </row>
    <row r="197" spans="2:30" x14ac:dyDescent="0.25">
      <c r="B197" s="13" t="s">
        <v>42</v>
      </c>
      <c r="C197" s="14">
        <v>42696</v>
      </c>
      <c r="D197" s="22">
        <v>0.3052199074074074</v>
      </c>
      <c r="E197" s="13" t="s">
        <v>43</v>
      </c>
      <c r="F197" s="13">
        <v>109.8</v>
      </c>
      <c r="G197" s="13">
        <v>134.19999999999999</v>
      </c>
      <c r="H197" s="13" t="s">
        <v>44</v>
      </c>
      <c r="I197" s="13">
        <v>4000001</v>
      </c>
      <c r="J197" s="17">
        <v>392</v>
      </c>
      <c r="K197" s="13">
        <v>6.4290000000000003</v>
      </c>
      <c r="L197" s="13">
        <v>501</v>
      </c>
      <c r="M197" s="13">
        <v>360</v>
      </c>
      <c r="N197" s="13">
        <v>708</v>
      </c>
      <c r="O197" s="13">
        <v>841</v>
      </c>
      <c r="P197" s="17">
        <v>785.13099999999997</v>
      </c>
      <c r="Q197" s="16">
        <v>16.440999999999999</v>
      </c>
      <c r="R197" s="18">
        <v>8.5769999999999999E-2</v>
      </c>
      <c r="S197" s="18">
        <v>5.953E-2</v>
      </c>
      <c r="T197" s="18">
        <v>4.9570000000000003E-2</v>
      </c>
      <c r="U197" s="13">
        <v>376</v>
      </c>
      <c r="V197" s="13">
        <v>270</v>
      </c>
      <c r="W197" s="13">
        <v>747</v>
      </c>
      <c r="X197" s="13">
        <v>838</v>
      </c>
      <c r="Y197" s="17">
        <v>790.90099999999995</v>
      </c>
      <c r="Z197" s="16">
        <v>14.175000000000001</v>
      </c>
      <c r="AA197" s="18">
        <v>5.7680000000000002E-2</v>
      </c>
      <c r="AB197" s="18">
        <v>3.5999999999999997E-2</v>
      </c>
      <c r="AC197" s="18">
        <v>4.1360000000000001E-2</v>
      </c>
      <c r="AD197" s="16">
        <v>59.837986131992885</v>
      </c>
    </row>
    <row r="198" spans="2:30" x14ac:dyDescent="0.25">
      <c r="B198" s="13" t="s">
        <v>42</v>
      </c>
      <c r="C198" s="14">
        <v>42697</v>
      </c>
      <c r="D198" s="22">
        <v>0.31746527777777778</v>
      </c>
      <c r="E198" s="13" t="s">
        <v>43</v>
      </c>
      <c r="F198" s="13">
        <v>109.8</v>
      </c>
      <c r="G198" s="13">
        <v>134.19999999999999</v>
      </c>
      <c r="H198" s="13" t="s">
        <v>44</v>
      </c>
      <c r="I198" s="13">
        <v>4000001</v>
      </c>
      <c r="J198" s="17">
        <v>393</v>
      </c>
      <c r="K198" s="13">
        <v>6.4290000000000003</v>
      </c>
      <c r="L198" s="13">
        <v>501</v>
      </c>
      <c r="M198" s="13">
        <v>360</v>
      </c>
      <c r="N198" s="13">
        <v>732</v>
      </c>
      <c r="O198" s="13">
        <v>836</v>
      </c>
      <c r="P198" s="17">
        <v>785.61500000000001</v>
      </c>
      <c r="Q198" s="16">
        <v>15.887</v>
      </c>
      <c r="R198" s="18">
        <v>6.676E-2</v>
      </c>
      <c r="S198" s="18">
        <v>4.6929999999999999E-2</v>
      </c>
      <c r="T198" s="18">
        <v>4.0989999999999999E-2</v>
      </c>
      <c r="U198" s="13">
        <v>376</v>
      </c>
      <c r="V198" s="13">
        <v>270</v>
      </c>
      <c r="W198" s="13">
        <v>741</v>
      </c>
      <c r="X198" s="13">
        <v>836</v>
      </c>
      <c r="Y198" s="17">
        <v>791.83</v>
      </c>
      <c r="Z198" s="16">
        <v>13.84</v>
      </c>
      <c r="AA198" s="18">
        <v>6.0150000000000002E-2</v>
      </c>
      <c r="AB198" s="18">
        <v>3.8109999999999998E-2</v>
      </c>
      <c r="AC198" s="18">
        <v>4.0529999999999997E-2</v>
      </c>
      <c r="AD198" s="16">
        <v>59.838165728987903</v>
      </c>
    </row>
    <row r="199" spans="2:30" x14ac:dyDescent="0.25">
      <c r="B199" s="13" t="s">
        <v>42</v>
      </c>
      <c r="C199" s="14">
        <v>42699</v>
      </c>
      <c r="D199" s="22">
        <v>0.31907407407407407</v>
      </c>
      <c r="E199" s="13" t="s">
        <v>43</v>
      </c>
      <c r="F199" s="13">
        <v>109.8</v>
      </c>
      <c r="G199" s="13">
        <v>134.19999999999999</v>
      </c>
      <c r="H199" s="13" t="s">
        <v>45</v>
      </c>
      <c r="I199" s="13">
        <v>4000001</v>
      </c>
      <c r="J199" s="17">
        <v>384</v>
      </c>
      <c r="K199" s="13">
        <v>6.4290000000000003</v>
      </c>
      <c r="L199" s="13">
        <v>501</v>
      </c>
      <c r="M199" s="13">
        <v>360</v>
      </c>
      <c r="N199" s="13">
        <v>693</v>
      </c>
      <c r="O199" s="13">
        <v>835</v>
      </c>
      <c r="P199" s="17">
        <v>784.33</v>
      </c>
      <c r="Q199" s="16">
        <v>17.169</v>
      </c>
      <c r="R199" s="18">
        <v>9.2619999999999994E-2</v>
      </c>
      <c r="S199" s="18">
        <v>5.3220000000000003E-2</v>
      </c>
      <c r="T199" s="18">
        <v>4.7870000000000003E-2</v>
      </c>
      <c r="U199" s="13">
        <v>376</v>
      </c>
      <c r="V199" s="13">
        <v>270</v>
      </c>
      <c r="W199" s="13">
        <v>745</v>
      </c>
      <c r="X199" s="13">
        <v>835</v>
      </c>
      <c r="Y199" s="17">
        <v>791.20500000000004</v>
      </c>
      <c r="Z199" s="16">
        <v>13.689</v>
      </c>
      <c r="AA199" s="18">
        <v>5.6590000000000001E-2</v>
      </c>
      <c r="AB199" s="18">
        <v>3.422E-2</v>
      </c>
      <c r="AC199" s="18">
        <v>4.7870000000000003E-2</v>
      </c>
      <c r="AD199" s="16">
        <v>61.553842923232722</v>
      </c>
    </row>
    <row r="200" spans="2:30" x14ac:dyDescent="0.25">
      <c r="B200" s="13" t="s">
        <v>42</v>
      </c>
      <c r="C200" s="14">
        <v>42702</v>
      </c>
      <c r="D200" s="22">
        <v>0.31836805555555553</v>
      </c>
      <c r="E200" s="13" t="s">
        <v>43</v>
      </c>
      <c r="F200" s="13">
        <v>109.8</v>
      </c>
      <c r="G200" s="13">
        <v>134.19999999999999</v>
      </c>
      <c r="H200" s="13" t="s">
        <v>44</v>
      </c>
      <c r="I200" s="13">
        <v>4000001</v>
      </c>
      <c r="J200" s="17">
        <v>407</v>
      </c>
      <c r="K200" s="13">
        <v>6.4290000000000003</v>
      </c>
      <c r="L200" s="13">
        <v>501</v>
      </c>
      <c r="M200" s="13">
        <v>360</v>
      </c>
      <c r="N200" s="13">
        <v>711</v>
      </c>
      <c r="O200" s="13">
        <v>835</v>
      </c>
      <c r="P200" s="17">
        <v>785.22</v>
      </c>
      <c r="Q200" s="16">
        <v>17.920999999999999</v>
      </c>
      <c r="R200" s="18">
        <v>8.047E-2</v>
      </c>
      <c r="S200" s="18">
        <v>4.8779999999999997E-2</v>
      </c>
      <c r="T200" s="18">
        <v>4.7280000000000003E-2</v>
      </c>
      <c r="U200" s="13">
        <v>376</v>
      </c>
      <c r="V200" s="13">
        <v>270</v>
      </c>
      <c r="W200" s="13">
        <v>731</v>
      </c>
      <c r="X200" s="13">
        <v>835</v>
      </c>
      <c r="Y200" s="17">
        <v>791.41800000000001</v>
      </c>
      <c r="Z200" s="16">
        <v>16.108000000000001</v>
      </c>
      <c r="AA200" s="18">
        <v>6.6269999999999996E-2</v>
      </c>
      <c r="AB200" s="18">
        <v>3.8890000000000001E-2</v>
      </c>
      <c r="AC200" s="18">
        <v>3.5119999999999998E-2</v>
      </c>
      <c r="AD200" s="16">
        <v>58.521486301431722</v>
      </c>
    </row>
    <row r="201" spans="2:30" x14ac:dyDescent="0.25">
      <c r="B201" s="13" t="s">
        <v>42</v>
      </c>
      <c r="C201" s="14">
        <v>42703</v>
      </c>
      <c r="D201" s="22">
        <v>0.32672453703703702</v>
      </c>
      <c r="E201" s="13" t="s">
        <v>43</v>
      </c>
      <c r="F201" s="13">
        <v>109.8</v>
      </c>
      <c r="G201" s="13">
        <v>134.19999999999999</v>
      </c>
      <c r="H201" s="13" t="s">
        <v>44</v>
      </c>
      <c r="I201" s="13">
        <v>4000001</v>
      </c>
      <c r="J201" s="17">
        <v>398</v>
      </c>
      <c r="K201" s="13">
        <v>6.4290000000000003</v>
      </c>
      <c r="L201" s="13">
        <v>501</v>
      </c>
      <c r="M201" s="13">
        <v>360</v>
      </c>
      <c r="N201" s="13">
        <v>716</v>
      </c>
      <c r="O201" s="13">
        <v>836</v>
      </c>
      <c r="P201" s="17">
        <v>785.4</v>
      </c>
      <c r="Q201" s="16">
        <v>16.553000000000001</v>
      </c>
      <c r="R201" s="18">
        <v>7.7429999999999999E-2</v>
      </c>
      <c r="S201" s="18">
        <v>4.6980000000000001E-2</v>
      </c>
      <c r="T201" s="18">
        <v>5.493E-2</v>
      </c>
      <c r="U201" s="13">
        <v>376</v>
      </c>
      <c r="V201" s="13">
        <v>270</v>
      </c>
      <c r="W201" s="13">
        <v>746</v>
      </c>
      <c r="X201" s="13">
        <v>836</v>
      </c>
      <c r="Y201" s="17">
        <v>791.07899999999995</v>
      </c>
      <c r="Z201" s="16">
        <v>14.39</v>
      </c>
      <c r="AA201" s="18">
        <v>5.722E-2</v>
      </c>
      <c r="AB201" s="18">
        <v>3.805E-2</v>
      </c>
      <c r="AC201" s="18">
        <v>4.3860000000000003E-2</v>
      </c>
      <c r="AD201" s="16">
        <v>59.997681969161171</v>
      </c>
    </row>
    <row r="202" spans="2:30" x14ac:dyDescent="0.25">
      <c r="B202" s="13" t="s">
        <v>42</v>
      </c>
      <c r="C202" s="14">
        <v>42704</v>
      </c>
      <c r="D202" s="22">
        <v>0.30881944444444448</v>
      </c>
      <c r="E202" s="13" t="s">
        <v>43</v>
      </c>
      <c r="F202" s="13">
        <v>109.8</v>
      </c>
      <c r="G202" s="13">
        <v>134.19999999999999</v>
      </c>
      <c r="H202" s="13" t="s">
        <v>44</v>
      </c>
      <c r="I202" s="13">
        <v>4000001</v>
      </c>
      <c r="J202" s="17">
        <v>399</v>
      </c>
      <c r="K202" s="13">
        <v>6.4290000000000003</v>
      </c>
      <c r="L202" s="13">
        <v>501</v>
      </c>
      <c r="M202" s="13">
        <v>360</v>
      </c>
      <c r="N202" s="13">
        <v>733</v>
      </c>
      <c r="O202" s="13">
        <v>837</v>
      </c>
      <c r="P202" s="17">
        <v>786.15499999999997</v>
      </c>
      <c r="Q202" s="16">
        <v>15.394</v>
      </c>
      <c r="R202" s="18">
        <v>6.6070000000000004E-2</v>
      </c>
      <c r="S202" s="18">
        <v>4.5379999999999997E-2</v>
      </c>
      <c r="T202" s="18">
        <v>5.3129999999999997E-2</v>
      </c>
      <c r="U202" s="13">
        <v>376</v>
      </c>
      <c r="V202" s="13">
        <v>270</v>
      </c>
      <c r="W202" s="13">
        <v>739</v>
      </c>
      <c r="X202" s="13">
        <v>837</v>
      </c>
      <c r="Y202" s="17">
        <v>791.81500000000005</v>
      </c>
      <c r="Z202" s="16">
        <v>13.827999999999999</v>
      </c>
      <c r="AA202" s="18">
        <v>6.2609999999999999E-2</v>
      </c>
      <c r="AB202" s="18">
        <v>4.1000000000000002E-2</v>
      </c>
      <c r="AC202" s="18">
        <v>3.9149999999999997E-2</v>
      </c>
      <c r="AD202" s="16">
        <v>60.000163635999513</v>
      </c>
    </row>
    <row r="203" spans="2:30" x14ac:dyDescent="0.25">
      <c r="B203" s="13" t="s">
        <v>42</v>
      </c>
      <c r="C203" s="14">
        <v>42705</v>
      </c>
      <c r="D203" s="22">
        <v>0.30649305555555556</v>
      </c>
      <c r="E203" s="13" t="s">
        <v>43</v>
      </c>
      <c r="F203" s="13">
        <v>109.8</v>
      </c>
      <c r="G203" s="13">
        <v>134.19999999999999</v>
      </c>
      <c r="H203" s="13" t="s">
        <v>45</v>
      </c>
      <c r="I203" s="13">
        <v>4000001</v>
      </c>
      <c r="J203" s="17">
        <v>391</v>
      </c>
      <c r="K203" s="13">
        <v>6.4290000000000003</v>
      </c>
      <c r="L203" s="13">
        <v>501</v>
      </c>
      <c r="M203" s="13">
        <v>360</v>
      </c>
      <c r="N203" s="13">
        <v>703</v>
      </c>
      <c r="O203" s="13">
        <v>866</v>
      </c>
      <c r="P203" s="17">
        <v>785.69899999999996</v>
      </c>
      <c r="Q203" s="16">
        <v>17.079000000000001</v>
      </c>
      <c r="R203" s="18">
        <v>0.10398</v>
      </c>
      <c r="S203" s="18">
        <v>6.4640000000000003E-2</v>
      </c>
      <c r="T203" s="18">
        <v>7.5920000000000001E-2</v>
      </c>
      <c r="U203" s="13">
        <v>376</v>
      </c>
      <c r="V203" s="13">
        <v>270</v>
      </c>
      <c r="W203" s="13">
        <v>750</v>
      </c>
      <c r="X203" s="13">
        <v>830</v>
      </c>
      <c r="Y203" s="17">
        <v>791.82600000000002</v>
      </c>
      <c r="Z203" s="16">
        <v>13.243</v>
      </c>
      <c r="AA203" s="18">
        <v>5.1060000000000001E-2</v>
      </c>
      <c r="AB203" s="18">
        <v>3.669E-2</v>
      </c>
      <c r="AC203" s="18">
        <v>3.7600000000000001E-2</v>
      </c>
      <c r="AD203" s="16">
        <v>61.384166042481141</v>
      </c>
    </row>
    <row r="204" spans="2:30" x14ac:dyDescent="0.25">
      <c r="B204" s="13" t="s">
        <v>42</v>
      </c>
      <c r="C204" s="14">
        <v>42706</v>
      </c>
      <c r="D204" s="22">
        <v>0.32740740740740742</v>
      </c>
      <c r="E204" s="13" t="s">
        <v>43</v>
      </c>
      <c r="F204" s="13">
        <v>109.8</v>
      </c>
      <c r="G204" s="13">
        <v>134.19999999999999</v>
      </c>
      <c r="H204" s="13" t="s">
        <v>44</v>
      </c>
      <c r="I204" s="13">
        <v>4000001</v>
      </c>
      <c r="J204" s="17">
        <v>402</v>
      </c>
      <c r="K204" s="13">
        <v>6.4290000000000003</v>
      </c>
      <c r="L204" s="13">
        <v>501</v>
      </c>
      <c r="M204" s="13">
        <v>360</v>
      </c>
      <c r="N204" s="13">
        <v>712</v>
      </c>
      <c r="O204" s="13">
        <v>857</v>
      </c>
      <c r="P204" s="17">
        <v>785.09299999999996</v>
      </c>
      <c r="Q204" s="16">
        <v>16.209</v>
      </c>
      <c r="R204" s="18">
        <v>9.2270000000000005E-2</v>
      </c>
      <c r="S204" s="18">
        <v>4.6010000000000002E-2</v>
      </c>
      <c r="T204" s="18">
        <v>4.761E-2</v>
      </c>
      <c r="U204" s="13">
        <v>376</v>
      </c>
      <c r="V204" s="13">
        <v>270</v>
      </c>
      <c r="W204" s="13">
        <v>739</v>
      </c>
      <c r="X204" s="13">
        <v>857</v>
      </c>
      <c r="Y204" s="17">
        <v>790.62699999999995</v>
      </c>
      <c r="Z204" s="16">
        <v>14.404999999999999</v>
      </c>
      <c r="AA204" s="18">
        <v>7.3810000000000001E-2</v>
      </c>
      <c r="AB204" s="18">
        <v>4.0500000000000001E-2</v>
      </c>
      <c r="AC204" s="18">
        <v>4.7129999999999998E-2</v>
      </c>
      <c r="AD204" s="16">
        <v>59.856986858440337</v>
      </c>
    </row>
    <row r="205" spans="2:30" x14ac:dyDescent="0.25">
      <c r="B205" s="13" t="s">
        <v>42</v>
      </c>
      <c r="C205" s="14">
        <v>42709</v>
      </c>
      <c r="D205" s="22">
        <v>0.30854166666666666</v>
      </c>
      <c r="E205" s="13" t="s">
        <v>43</v>
      </c>
      <c r="F205" s="13">
        <v>109.8</v>
      </c>
      <c r="G205" s="13">
        <v>134.19999999999999</v>
      </c>
      <c r="H205" s="13" t="s">
        <v>44</v>
      </c>
      <c r="I205" s="13">
        <v>4000001</v>
      </c>
      <c r="J205" s="17">
        <v>412</v>
      </c>
      <c r="K205" s="13">
        <v>6.4290000000000003</v>
      </c>
      <c r="L205" s="13">
        <v>501</v>
      </c>
      <c r="M205" s="13">
        <v>360</v>
      </c>
      <c r="N205" s="13">
        <v>702</v>
      </c>
      <c r="O205" s="13">
        <v>842</v>
      </c>
      <c r="P205" s="17">
        <v>785.07100000000003</v>
      </c>
      <c r="Q205" s="16">
        <v>18.227</v>
      </c>
      <c r="R205" s="18">
        <v>9.0310000000000001E-2</v>
      </c>
      <c r="S205" s="18">
        <v>4.6980000000000001E-2</v>
      </c>
      <c r="T205" s="18">
        <v>4.9709999999999997E-2</v>
      </c>
      <c r="U205" s="13">
        <v>376</v>
      </c>
      <c r="V205" s="13">
        <v>270</v>
      </c>
      <c r="W205" s="13">
        <v>733</v>
      </c>
      <c r="X205" s="13">
        <v>842</v>
      </c>
      <c r="Y205" s="17">
        <v>791.12800000000004</v>
      </c>
      <c r="Z205" s="16">
        <v>15.981999999999999</v>
      </c>
      <c r="AA205" s="18">
        <v>6.9459999999999994E-2</v>
      </c>
      <c r="AB205" s="18">
        <v>3.6630000000000003E-2</v>
      </c>
      <c r="AC205" s="18">
        <v>4.3990000000000001E-2</v>
      </c>
      <c r="AD205" s="16">
        <v>58.852789004603615</v>
      </c>
    </row>
    <row r="206" spans="2:30" x14ac:dyDescent="0.25">
      <c r="B206" s="13" t="s">
        <v>42</v>
      </c>
      <c r="C206" s="14">
        <v>42710</v>
      </c>
      <c r="D206" s="22">
        <v>0.32604166666666667</v>
      </c>
      <c r="E206" s="13" t="s">
        <v>43</v>
      </c>
      <c r="F206" s="13">
        <v>109.8</v>
      </c>
      <c r="G206" s="13">
        <v>134.19999999999999</v>
      </c>
      <c r="H206" s="13" t="s">
        <v>44</v>
      </c>
      <c r="I206" s="13">
        <v>4000001</v>
      </c>
      <c r="J206" s="17">
        <v>405</v>
      </c>
      <c r="K206" s="13">
        <v>6.4290000000000003</v>
      </c>
      <c r="L206" s="13">
        <v>501</v>
      </c>
      <c r="M206" s="13">
        <v>360</v>
      </c>
      <c r="N206" s="13">
        <v>718</v>
      </c>
      <c r="O206" s="13">
        <v>839</v>
      </c>
      <c r="P206" s="17">
        <v>784.88400000000001</v>
      </c>
      <c r="Q206" s="16">
        <v>15.622999999999999</v>
      </c>
      <c r="R206" s="18">
        <v>7.7689999999999995E-2</v>
      </c>
      <c r="S206" s="18">
        <v>4.9259999999999998E-2</v>
      </c>
      <c r="T206" s="18">
        <v>3.9960000000000002E-2</v>
      </c>
      <c r="U206" s="13">
        <v>376</v>
      </c>
      <c r="V206" s="13">
        <v>270</v>
      </c>
      <c r="W206" s="13">
        <v>748</v>
      </c>
      <c r="X206" s="13">
        <v>839</v>
      </c>
      <c r="Y206" s="17">
        <v>791.00199999999995</v>
      </c>
      <c r="Z206" s="16">
        <v>13.532</v>
      </c>
      <c r="AA206" s="18">
        <v>5.7570000000000003E-2</v>
      </c>
      <c r="AB206" s="18">
        <v>3.3390000000000003E-2</v>
      </c>
      <c r="AC206" s="18">
        <v>3.4079999999999999E-2</v>
      </c>
      <c r="AD206" s="16">
        <v>60.022907440901662</v>
      </c>
    </row>
    <row r="207" spans="2:30" x14ac:dyDescent="0.25">
      <c r="B207" s="13" t="s">
        <v>42</v>
      </c>
      <c r="C207" s="14">
        <v>42711</v>
      </c>
      <c r="D207" s="22">
        <v>0.31489583333333332</v>
      </c>
      <c r="E207" s="13" t="s">
        <v>43</v>
      </c>
      <c r="F207" s="13">
        <v>109.8</v>
      </c>
      <c r="G207" s="13">
        <v>134.19999999999999</v>
      </c>
      <c r="H207" s="13" t="s">
        <v>44</v>
      </c>
      <c r="I207" s="13">
        <v>4000001</v>
      </c>
      <c r="J207" s="17">
        <v>407</v>
      </c>
      <c r="K207" s="13">
        <v>6.4290000000000003</v>
      </c>
      <c r="L207" s="13">
        <v>501</v>
      </c>
      <c r="M207" s="13">
        <v>360</v>
      </c>
      <c r="N207" s="13">
        <v>726</v>
      </c>
      <c r="O207" s="13">
        <v>833</v>
      </c>
      <c r="P207" s="17">
        <v>784.74400000000003</v>
      </c>
      <c r="Q207" s="16">
        <v>15.494999999999999</v>
      </c>
      <c r="R207" s="18">
        <v>6.8690000000000001E-2</v>
      </c>
      <c r="S207" s="18">
        <v>4.4429999999999997E-2</v>
      </c>
      <c r="T207" s="18">
        <v>4.8869999999999997E-2</v>
      </c>
      <c r="U207" s="13">
        <v>376</v>
      </c>
      <c r="V207" s="13">
        <v>270</v>
      </c>
      <c r="W207" s="13">
        <v>746</v>
      </c>
      <c r="X207" s="13">
        <v>833</v>
      </c>
      <c r="Y207" s="17">
        <v>790.72400000000005</v>
      </c>
      <c r="Z207" s="16">
        <v>13.303000000000001</v>
      </c>
      <c r="AA207" s="18">
        <v>5.5329999999999997E-2</v>
      </c>
      <c r="AB207" s="18">
        <v>3.372E-2</v>
      </c>
      <c r="AC207" s="18">
        <v>3.8629999999999998E-2</v>
      </c>
      <c r="AD207" s="16">
        <v>59.880501533913339</v>
      </c>
    </row>
    <row r="208" spans="2:30" x14ac:dyDescent="0.25">
      <c r="B208" s="13" t="s">
        <v>42</v>
      </c>
      <c r="C208" s="14">
        <v>42712</v>
      </c>
      <c r="D208" s="22">
        <v>0.30207175925925928</v>
      </c>
      <c r="E208" s="13" t="s">
        <v>43</v>
      </c>
      <c r="F208" s="13">
        <v>109.8</v>
      </c>
      <c r="G208" s="13">
        <v>134.19999999999999</v>
      </c>
      <c r="H208" s="13" t="s">
        <v>44</v>
      </c>
      <c r="I208" s="13">
        <v>4000001</v>
      </c>
      <c r="J208" s="17">
        <v>407</v>
      </c>
      <c r="K208" s="13">
        <v>6.4290000000000003</v>
      </c>
      <c r="L208" s="13">
        <v>501</v>
      </c>
      <c r="M208" s="13">
        <v>360</v>
      </c>
      <c r="N208" s="13">
        <v>727</v>
      </c>
      <c r="O208" s="13">
        <v>837</v>
      </c>
      <c r="P208" s="17">
        <v>784.63699999999994</v>
      </c>
      <c r="Q208" s="16">
        <v>15.846</v>
      </c>
      <c r="R208" s="18">
        <v>7.0180000000000006E-2</v>
      </c>
      <c r="S208" s="18">
        <v>4.367E-2</v>
      </c>
      <c r="T208" s="18">
        <v>3.5029999999999999E-2</v>
      </c>
      <c r="U208" s="13">
        <v>376</v>
      </c>
      <c r="V208" s="13">
        <v>270</v>
      </c>
      <c r="W208" s="13">
        <v>743</v>
      </c>
      <c r="X208" s="13">
        <v>837</v>
      </c>
      <c r="Y208" s="17">
        <v>790.44899999999996</v>
      </c>
      <c r="Z208" s="16">
        <v>14.526</v>
      </c>
      <c r="AA208" s="18">
        <v>5.9839999999999997E-2</v>
      </c>
      <c r="AB208" s="18">
        <v>4.367E-2</v>
      </c>
      <c r="AC208" s="18">
        <v>3.5029999999999999E-2</v>
      </c>
      <c r="AD208" s="16">
        <v>60.033438098458774</v>
      </c>
    </row>
    <row r="209" spans="2:30" x14ac:dyDescent="0.25">
      <c r="B209" s="13" t="s">
        <v>42</v>
      </c>
      <c r="C209" s="14">
        <v>42713</v>
      </c>
      <c r="D209" s="22">
        <v>0.31241898148148145</v>
      </c>
      <c r="E209" s="13" t="s">
        <v>43</v>
      </c>
      <c r="F209" s="13">
        <v>109.8</v>
      </c>
      <c r="G209" s="13">
        <v>134.19999999999999</v>
      </c>
      <c r="H209" s="13" t="s">
        <v>44</v>
      </c>
      <c r="I209" s="13">
        <v>4000001</v>
      </c>
      <c r="J209" s="17">
        <v>408</v>
      </c>
      <c r="K209" s="13">
        <v>6.4290000000000003</v>
      </c>
      <c r="L209" s="13">
        <v>501</v>
      </c>
      <c r="M209" s="13">
        <v>360</v>
      </c>
      <c r="N209" s="13">
        <v>710</v>
      </c>
      <c r="O209" s="13">
        <v>839</v>
      </c>
      <c r="P209" s="17">
        <v>785.69899999999996</v>
      </c>
      <c r="Q209" s="16">
        <v>16.158000000000001</v>
      </c>
      <c r="R209" s="18">
        <v>8.3239999999999995E-2</v>
      </c>
      <c r="S209" s="18">
        <v>4.3290000000000002E-2</v>
      </c>
      <c r="T209" s="18">
        <v>4.8399999999999999E-2</v>
      </c>
      <c r="U209" s="13">
        <v>376</v>
      </c>
      <c r="V209" s="13">
        <v>270</v>
      </c>
      <c r="W209" s="13">
        <v>743</v>
      </c>
      <c r="X209" s="13">
        <v>839</v>
      </c>
      <c r="Y209" s="17">
        <v>791.46199999999999</v>
      </c>
      <c r="Z209" s="16">
        <v>14.262</v>
      </c>
      <c r="AA209" s="18">
        <v>6.0589999999999998E-2</v>
      </c>
      <c r="AB209" s="18">
        <v>3.4599999999999999E-2</v>
      </c>
      <c r="AC209" s="18">
        <v>3.304E-2</v>
      </c>
      <c r="AD209" s="16">
        <v>60.039248685956416</v>
      </c>
    </row>
    <row r="210" spans="2:30" x14ac:dyDescent="0.25">
      <c r="B210" s="13" t="s">
        <v>42</v>
      </c>
      <c r="C210" s="14">
        <v>42716</v>
      </c>
      <c r="D210" s="22">
        <v>0.30583333333333335</v>
      </c>
      <c r="E210" s="13" t="s">
        <v>43</v>
      </c>
      <c r="F210" s="13">
        <v>109.8</v>
      </c>
      <c r="G210" s="13">
        <v>134.19999999999999</v>
      </c>
      <c r="H210" s="13" t="s">
        <v>44</v>
      </c>
      <c r="I210" s="13">
        <v>4000001</v>
      </c>
      <c r="J210" s="17">
        <v>421</v>
      </c>
      <c r="K210" s="13">
        <v>6.4290000000000003</v>
      </c>
      <c r="L210" s="13">
        <v>501</v>
      </c>
      <c r="M210" s="13">
        <v>360</v>
      </c>
      <c r="N210" s="13">
        <v>715</v>
      </c>
      <c r="O210" s="13">
        <v>837</v>
      </c>
      <c r="P210" s="17">
        <v>785.15700000000004</v>
      </c>
      <c r="Q210" s="16">
        <v>17.477</v>
      </c>
      <c r="R210" s="18">
        <v>7.8570000000000001E-2</v>
      </c>
      <c r="S210" s="18">
        <v>5.2729999999999999E-2</v>
      </c>
      <c r="T210" s="18">
        <v>4.3860000000000003E-2</v>
      </c>
      <c r="U210" s="13">
        <v>376</v>
      </c>
      <c r="V210" s="13">
        <v>270</v>
      </c>
      <c r="W210" s="13">
        <v>738</v>
      </c>
      <c r="X210" s="13">
        <v>837</v>
      </c>
      <c r="Y210" s="17">
        <v>791.27</v>
      </c>
      <c r="Z210" s="16">
        <v>15.363</v>
      </c>
      <c r="AA210" s="18">
        <v>6.293E-2</v>
      </c>
      <c r="AB210" s="18">
        <v>3.8769999999999999E-2</v>
      </c>
      <c r="AC210" s="18">
        <v>3.524E-2</v>
      </c>
      <c r="AD210" s="16">
        <v>58.632265698123696</v>
      </c>
    </row>
    <row r="211" spans="2:30" x14ac:dyDescent="0.25">
      <c r="B211" s="13" t="s">
        <v>42</v>
      </c>
      <c r="C211" s="14">
        <v>42717</v>
      </c>
      <c r="D211" s="22">
        <v>0.28966435185185185</v>
      </c>
      <c r="E211" s="13" t="s">
        <v>43</v>
      </c>
      <c r="F211" s="13">
        <v>109.8</v>
      </c>
      <c r="G211" s="13">
        <v>134.19999999999999</v>
      </c>
      <c r="H211" s="13" t="s">
        <v>44</v>
      </c>
      <c r="I211" s="13">
        <v>4000001</v>
      </c>
      <c r="J211" s="17">
        <v>412</v>
      </c>
      <c r="K211" s="13">
        <v>6.4290000000000003</v>
      </c>
      <c r="L211" s="13">
        <v>501</v>
      </c>
      <c r="M211" s="13">
        <v>360</v>
      </c>
      <c r="N211" s="13">
        <v>712</v>
      </c>
      <c r="O211" s="13">
        <v>842</v>
      </c>
      <c r="P211" s="17">
        <v>785.21600000000001</v>
      </c>
      <c r="Q211" s="16">
        <v>15.994999999999999</v>
      </c>
      <c r="R211" s="18">
        <v>8.3589999999999998E-2</v>
      </c>
      <c r="S211" s="18">
        <v>4.1520000000000001E-2</v>
      </c>
      <c r="T211" s="18">
        <v>4.3549999999999998E-2</v>
      </c>
      <c r="U211" s="13">
        <v>376</v>
      </c>
      <c r="V211" s="13">
        <v>270</v>
      </c>
      <c r="W211" s="13">
        <v>741</v>
      </c>
      <c r="X211" s="13">
        <v>842</v>
      </c>
      <c r="Y211" s="17">
        <v>790.62900000000002</v>
      </c>
      <c r="Z211" s="16">
        <v>14.432</v>
      </c>
      <c r="AA211" s="18">
        <v>6.3780000000000003E-2</v>
      </c>
      <c r="AB211" s="18">
        <v>3.5389999999999998E-2</v>
      </c>
      <c r="AC211" s="18">
        <v>3.2840000000000001E-2</v>
      </c>
      <c r="AD211" s="16">
        <v>60.066087357998917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B5:AD211"/>
  <sheetViews>
    <sheetView showGridLines="0" topLeftCell="A109" zoomScale="55" zoomScaleNormal="55" workbookViewId="0">
      <selection activeCell="E180" sqref="E180"/>
    </sheetView>
  </sheetViews>
  <sheetFormatPr defaultRowHeight="15" x14ac:dyDescent="0.25"/>
  <cols>
    <col min="2" max="2" width="15.7109375" customWidth="1"/>
    <col min="3" max="3" width="14" customWidth="1"/>
    <col min="4" max="4" width="15.140625" customWidth="1"/>
    <col min="5" max="5" width="15.7109375" customWidth="1"/>
    <col min="6" max="6" width="12.7109375" customWidth="1"/>
    <col min="7" max="7" width="18.5703125" customWidth="1"/>
    <col min="8" max="8" width="13.140625" customWidth="1"/>
    <col min="9" max="9" width="8.85546875" customWidth="1"/>
    <col min="10" max="10" width="13.42578125" customWidth="1"/>
    <col min="11" max="11" width="18.140625" customWidth="1"/>
    <col min="12" max="12" width="18.42578125" customWidth="1"/>
    <col min="13" max="13" width="17.28515625" customWidth="1"/>
    <col min="14" max="14" width="13.7109375" customWidth="1"/>
    <col min="15" max="15" width="13.5703125" customWidth="1"/>
    <col min="16" max="20" width="15.7109375" customWidth="1"/>
    <col min="21" max="21" width="18.140625" customWidth="1"/>
    <col min="22" max="22" width="17" customWidth="1"/>
    <col min="23" max="29" width="15.7109375" customWidth="1"/>
    <col min="30" max="30" width="23" customWidth="1"/>
    <col min="31" max="31" width="28.42578125" customWidth="1"/>
  </cols>
  <sheetData>
    <row r="5" spans="2:30" x14ac:dyDescent="0.2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5</v>
      </c>
      <c r="H5" t="s">
        <v>6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15</v>
      </c>
      <c r="R5" t="s">
        <v>16</v>
      </c>
      <c r="S5" t="s">
        <v>17</v>
      </c>
      <c r="T5" t="s">
        <v>18</v>
      </c>
      <c r="U5" t="s">
        <v>19</v>
      </c>
      <c r="V5" t="s">
        <v>20</v>
      </c>
      <c r="W5" t="s">
        <v>21</v>
      </c>
      <c r="X5" t="s">
        <v>22</v>
      </c>
      <c r="Y5" t="s">
        <v>23</v>
      </c>
      <c r="Z5" t="s">
        <v>24</v>
      </c>
      <c r="AA5" t="s">
        <v>25</v>
      </c>
      <c r="AB5" t="s">
        <v>26</v>
      </c>
      <c r="AC5" t="s">
        <v>27</v>
      </c>
      <c r="AD5" t="s">
        <v>37</v>
      </c>
    </row>
    <row r="6" spans="2:30" x14ac:dyDescent="0.25">
      <c r="B6" t="s">
        <v>42</v>
      </c>
      <c r="C6" s="15">
        <v>42383</v>
      </c>
      <c r="D6" s="23">
        <v>0.29875000000000002</v>
      </c>
      <c r="E6" s="24" t="s">
        <v>43</v>
      </c>
      <c r="F6">
        <v>109.8</v>
      </c>
      <c r="G6">
        <v>134.19999999999999</v>
      </c>
      <c r="H6" t="s">
        <v>45</v>
      </c>
      <c r="I6">
        <v>4000001</v>
      </c>
      <c r="J6">
        <v>188</v>
      </c>
      <c r="K6">
        <v>6.4290000000000003</v>
      </c>
      <c r="L6">
        <v>501</v>
      </c>
      <c r="M6">
        <v>360</v>
      </c>
      <c r="N6">
        <v>690</v>
      </c>
      <c r="O6">
        <v>840</v>
      </c>
      <c r="P6" s="19">
        <v>784.298</v>
      </c>
      <c r="Q6" s="19">
        <v>21.722999999999999</v>
      </c>
      <c r="R6" s="21">
        <v>9.8030000000000006E-2</v>
      </c>
      <c r="S6" s="21">
        <v>4.9480000000000003E-2</v>
      </c>
      <c r="T6" s="21">
        <v>5.4829999999999997E-2</v>
      </c>
      <c r="U6">
        <v>376</v>
      </c>
      <c r="V6">
        <v>270</v>
      </c>
      <c r="W6">
        <v>739</v>
      </c>
      <c r="X6">
        <v>840</v>
      </c>
      <c r="Y6" s="19">
        <v>794.43700000000001</v>
      </c>
      <c r="Z6" s="19">
        <v>15.808999999999999</v>
      </c>
      <c r="AA6" s="21">
        <v>6.3659999999999994E-2</v>
      </c>
      <c r="AB6" s="21">
        <v>4.02E-2</v>
      </c>
      <c r="AC6" s="21">
        <v>3.8690000000000002E-2</v>
      </c>
      <c r="AD6" s="20">
        <v>56.152346055705905</v>
      </c>
    </row>
    <row r="7" spans="2:30" x14ac:dyDescent="0.25">
      <c r="B7" t="s">
        <v>42</v>
      </c>
      <c r="C7" s="15">
        <v>42387</v>
      </c>
      <c r="D7" s="23">
        <v>0.30879629629629629</v>
      </c>
      <c r="E7" s="24" t="s">
        <v>43</v>
      </c>
      <c r="F7">
        <v>109.8</v>
      </c>
      <c r="G7">
        <v>134.19999999999999</v>
      </c>
      <c r="H7" t="s">
        <v>45</v>
      </c>
      <c r="I7">
        <v>4000001</v>
      </c>
      <c r="J7">
        <v>192</v>
      </c>
      <c r="K7">
        <v>6.4290000000000003</v>
      </c>
      <c r="L7">
        <v>501</v>
      </c>
      <c r="M7">
        <v>360</v>
      </c>
      <c r="N7">
        <v>678</v>
      </c>
      <c r="O7">
        <v>862</v>
      </c>
      <c r="P7" s="19">
        <v>784.11500000000001</v>
      </c>
      <c r="Q7" s="19">
        <v>20.503</v>
      </c>
      <c r="R7" s="21">
        <v>0.11952</v>
      </c>
      <c r="S7" s="21">
        <v>4.9979999999999997E-2</v>
      </c>
      <c r="T7" s="21">
        <v>5.7520000000000002E-2</v>
      </c>
      <c r="U7">
        <v>376</v>
      </c>
      <c r="V7">
        <v>270</v>
      </c>
      <c r="W7">
        <v>736</v>
      </c>
      <c r="X7">
        <v>862</v>
      </c>
      <c r="Y7" s="19">
        <v>793.43399999999997</v>
      </c>
      <c r="Z7" s="19">
        <v>15.271000000000001</v>
      </c>
      <c r="AA7" s="21">
        <v>7.8600000000000003E-2</v>
      </c>
      <c r="AB7" s="21">
        <v>4.6899999999999997E-2</v>
      </c>
      <c r="AC7" s="21">
        <v>5.7520000000000002E-2</v>
      </c>
      <c r="AD7" s="20">
        <v>55.546368860294301</v>
      </c>
    </row>
    <row r="8" spans="2:30" x14ac:dyDescent="0.25">
      <c r="B8" t="s">
        <v>42</v>
      </c>
      <c r="C8" s="15">
        <v>42388</v>
      </c>
      <c r="D8" s="23">
        <v>0.31328703703703703</v>
      </c>
      <c r="E8" s="24" t="s">
        <v>43</v>
      </c>
      <c r="F8">
        <v>109.8</v>
      </c>
      <c r="G8">
        <v>134.19999999999999</v>
      </c>
      <c r="H8" t="s">
        <v>45</v>
      </c>
      <c r="I8">
        <v>4000001</v>
      </c>
      <c r="J8">
        <v>190</v>
      </c>
      <c r="K8">
        <v>6.4290000000000003</v>
      </c>
      <c r="L8">
        <v>501</v>
      </c>
      <c r="M8">
        <v>360</v>
      </c>
      <c r="N8">
        <v>664</v>
      </c>
      <c r="O8">
        <v>839</v>
      </c>
      <c r="P8" s="19">
        <v>783.49699999999996</v>
      </c>
      <c r="Q8" s="19">
        <v>19.792999999999999</v>
      </c>
      <c r="R8" s="21">
        <v>0.11609</v>
      </c>
      <c r="S8" s="21">
        <v>4.8120000000000003E-2</v>
      </c>
      <c r="T8" s="21">
        <v>6.7419999999999994E-2</v>
      </c>
      <c r="U8">
        <v>376</v>
      </c>
      <c r="V8">
        <v>270</v>
      </c>
      <c r="W8">
        <v>732</v>
      </c>
      <c r="X8">
        <v>839</v>
      </c>
      <c r="Y8" s="19">
        <v>792.91200000000003</v>
      </c>
      <c r="Z8" s="19">
        <v>14.422000000000001</v>
      </c>
      <c r="AA8" s="21">
        <v>6.8129999999999996E-2</v>
      </c>
      <c r="AB8" s="21">
        <v>4.2869999999999998E-2</v>
      </c>
      <c r="AC8" s="21">
        <v>4.1860000000000001E-2</v>
      </c>
      <c r="AD8" s="20">
        <v>56.274427879417708</v>
      </c>
    </row>
    <row r="9" spans="2:30" x14ac:dyDescent="0.25">
      <c r="B9" t="s">
        <v>42</v>
      </c>
      <c r="C9" s="15">
        <v>42389</v>
      </c>
      <c r="D9" s="23">
        <v>0.31906249999999997</v>
      </c>
      <c r="E9" s="24" t="s">
        <v>43</v>
      </c>
      <c r="F9">
        <v>109.8</v>
      </c>
      <c r="G9">
        <v>134.19999999999999</v>
      </c>
      <c r="H9" t="s">
        <v>45</v>
      </c>
      <c r="I9">
        <v>4000001</v>
      </c>
      <c r="J9">
        <v>190</v>
      </c>
      <c r="K9">
        <v>6.4290000000000003</v>
      </c>
      <c r="L9">
        <v>501</v>
      </c>
      <c r="M9">
        <v>360</v>
      </c>
      <c r="N9">
        <v>697</v>
      </c>
      <c r="O9">
        <v>832</v>
      </c>
      <c r="P9" s="19">
        <v>783.447</v>
      </c>
      <c r="Q9" s="19">
        <v>19.463000000000001</v>
      </c>
      <c r="R9" s="21">
        <v>8.7730000000000002E-2</v>
      </c>
      <c r="S9" s="21">
        <v>5.1630000000000002E-2</v>
      </c>
      <c r="T9" s="21">
        <v>5.45E-2</v>
      </c>
      <c r="U9">
        <v>376</v>
      </c>
      <c r="V9">
        <v>270</v>
      </c>
      <c r="W9">
        <v>738</v>
      </c>
      <c r="X9">
        <v>832</v>
      </c>
      <c r="Y9" s="19">
        <v>792.96900000000005</v>
      </c>
      <c r="Z9" s="19">
        <v>14.231</v>
      </c>
      <c r="AA9" s="21">
        <v>5.9569999999999998E-2</v>
      </c>
      <c r="AB9" s="21">
        <v>3.8679999999999999E-2</v>
      </c>
      <c r="AC9" s="21">
        <v>3.73E-2</v>
      </c>
      <c r="AD9" s="20">
        <v>56.418154425641823</v>
      </c>
    </row>
    <row r="10" spans="2:30" x14ac:dyDescent="0.25">
      <c r="B10" t="s">
        <v>42</v>
      </c>
      <c r="C10" s="15">
        <v>42390</v>
      </c>
      <c r="D10" s="23">
        <v>0.30160879629629628</v>
      </c>
      <c r="E10" s="24" t="s">
        <v>43</v>
      </c>
      <c r="F10">
        <v>109.8</v>
      </c>
      <c r="G10">
        <v>134.19999999999999</v>
      </c>
      <c r="H10" t="s">
        <v>45</v>
      </c>
      <c r="I10">
        <v>4000001</v>
      </c>
      <c r="J10">
        <v>190</v>
      </c>
      <c r="K10">
        <v>6.4290000000000003</v>
      </c>
      <c r="L10">
        <v>501</v>
      </c>
      <c r="M10">
        <v>360</v>
      </c>
      <c r="N10">
        <v>705</v>
      </c>
      <c r="O10">
        <v>842</v>
      </c>
      <c r="P10" s="19">
        <v>783.53599999999994</v>
      </c>
      <c r="Q10" s="19">
        <v>19.986999999999998</v>
      </c>
      <c r="R10" s="21">
        <v>8.8080000000000006E-2</v>
      </c>
      <c r="S10" s="21">
        <v>5.8029999999999998E-2</v>
      </c>
      <c r="T10" s="21">
        <v>4.3040000000000002E-2</v>
      </c>
      <c r="U10">
        <v>376</v>
      </c>
      <c r="V10">
        <v>270</v>
      </c>
      <c r="W10">
        <v>738</v>
      </c>
      <c r="X10">
        <v>831</v>
      </c>
      <c r="Y10" s="19">
        <v>793.39800000000002</v>
      </c>
      <c r="Z10" s="19">
        <v>14.744999999999999</v>
      </c>
      <c r="AA10" s="21">
        <v>5.9650000000000002E-2</v>
      </c>
      <c r="AB10" s="21">
        <v>3.721E-2</v>
      </c>
      <c r="AC10" s="21">
        <v>3.6659999999999998E-2</v>
      </c>
      <c r="AD10" s="20">
        <v>56.562248053698106</v>
      </c>
    </row>
    <row r="11" spans="2:30" x14ac:dyDescent="0.25">
      <c r="B11" t="s">
        <v>42</v>
      </c>
      <c r="C11" s="15">
        <v>42391</v>
      </c>
      <c r="D11" s="23">
        <v>0.32587962962962963</v>
      </c>
      <c r="E11" s="24" t="s">
        <v>43</v>
      </c>
      <c r="F11">
        <v>109.8</v>
      </c>
      <c r="G11">
        <v>134.19999999999999</v>
      </c>
      <c r="H11" t="s">
        <v>45</v>
      </c>
      <c r="I11">
        <v>4000001</v>
      </c>
      <c r="J11">
        <v>190</v>
      </c>
      <c r="K11">
        <v>6.4290000000000003</v>
      </c>
      <c r="L11">
        <v>501</v>
      </c>
      <c r="M11">
        <v>360</v>
      </c>
      <c r="N11">
        <v>665</v>
      </c>
      <c r="O11">
        <v>836</v>
      </c>
      <c r="P11" s="19">
        <v>783.654</v>
      </c>
      <c r="Q11" s="19">
        <v>20.007999999999999</v>
      </c>
      <c r="R11" s="21">
        <v>0.11401</v>
      </c>
      <c r="S11" s="21">
        <v>5.1139999999999998E-2</v>
      </c>
      <c r="T11" s="21">
        <v>4.6809999999999997E-2</v>
      </c>
      <c r="U11">
        <v>376</v>
      </c>
      <c r="V11">
        <v>270</v>
      </c>
      <c r="W11">
        <v>736</v>
      </c>
      <c r="X11">
        <v>836</v>
      </c>
      <c r="Y11" s="19">
        <v>794.06500000000005</v>
      </c>
      <c r="Z11" s="19">
        <v>14.013999999999999</v>
      </c>
      <c r="AA11" s="21">
        <v>6.3750000000000001E-2</v>
      </c>
      <c r="AB11" s="21">
        <v>4.206E-2</v>
      </c>
      <c r="AC11" s="21">
        <v>4.6809999999999997E-2</v>
      </c>
      <c r="AD11" s="20">
        <v>56.706709701124332</v>
      </c>
    </row>
    <row r="12" spans="2:30" x14ac:dyDescent="0.25">
      <c r="B12" t="s">
        <v>42</v>
      </c>
      <c r="C12" s="15">
        <v>42394</v>
      </c>
      <c r="D12" s="23">
        <v>0.30849537037037039</v>
      </c>
      <c r="E12" s="24" t="s">
        <v>43</v>
      </c>
      <c r="F12">
        <v>109.8</v>
      </c>
      <c r="G12">
        <v>134.19999999999999</v>
      </c>
      <c r="H12" t="s">
        <v>45</v>
      </c>
      <c r="I12">
        <v>4000001</v>
      </c>
      <c r="J12">
        <v>194</v>
      </c>
      <c r="K12">
        <v>6.4290000000000003</v>
      </c>
      <c r="L12">
        <v>501</v>
      </c>
      <c r="M12">
        <v>360</v>
      </c>
      <c r="N12">
        <v>675</v>
      </c>
      <c r="O12">
        <v>839</v>
      </c>
      <c r="P12" s="19">
        <v>784.90099999999995</v>
      </c>
      <c r="Q12" s="19">
        <v>19.501999999999999</v>
      </c>
      <c r="R12" s="21">
        <v>0.10818999999999999</v>
      </c>
      <c r="S12" s="21">
        <v>5.6349999999999997E-2</v>
      </c>
      <c r="T12" s="21">
        <v>5.2900000000000003E-2</v>
      </c>
      <c r="U12">
        <v>376</v>
      </c>
      <c r="V12">
        <v>270</v>
      </c>
      <c r="W12">
        <v>743</v>
      </c>
      <c r="X12">
        <v>836</v>
      </c>
      <c r="Y12" s="19">
        <v>793.702</v>
      </c>
      <c r="Z12" s="19">
        <v>14.847</v>
      </c>
      <c r="AA12" s="21">
        <v>5.849E-2</v>
      </c>
      <c r="AB12" s="21">
        <v>4.2169999999999999E-2</v>
      </c>
      <c r="AC12" s="21">
        <v>4.2430000000000002E-2</v>
      </c>
      <c r="AD12" s="20">
        <v>55.964120167430316</v>
      </c>
    </row>
    <row r="13" spans="2:30" x14ac:dyDescent="0.25">
      <c r="B13" t="s">
        <v>42</v>
      </c>
      <c r="C13" s="15">
        <v>42395</v>
      </c>
      <c r="D13" s="23">
        <v>0.29954861111111114</v>
      </c>
      <c r="E13" s="24" t="s">
        <v>43</v>
      </c>
      <c r="F13">
        <v>109.8</v>
      </c>
      <c r="G13">
        <v>134.19999999999999</v>
      </c>
      <c r="H13" t="s">
        <v>45</v>
      </c>
      <c r="I13">
        <v>4000001</v>
      </c>
      <c r="J13">
        <v>192</v>
      </c>
      <c r="K13">
        <v>6.4290000000000003</v>
      </c>
      <c r="L13">
        <v>501</v>
      </c>
      <c r="M13">
        <v>360</v>
      </c>
      <c r="N13">
        <v>672</v>
      </c>
      <c r="O13">
        <v>849</v>
      </c>
      <c r="P13" s="19">
        <v>783.82399999999996</v>
      </c>
      <c r="Q13" s="19">
        <v>19.192</v>
      </c>
      <c r="R13" s="21">
        <v>0.11612</v>
      </c>
      <c r="S13" s="21">
        <v>5.0720000000000001E-2</v>
      </c>
      <c r="T13" s="21">
        <v>5.8110000000000002E-2</v>
      </c>
      <c r="U13">
        <v>376</v>
      </c>
      <c r="V13">
        <v>270</v>
      </c>
      <c r="W13">
        <v>750</v>
      </c>
      <c r="X13">
        <v>833</v>
      </c>
      <c r="Y13" s="19">
        <v>793.43399999999997</v>
      </c>
      <c r="Z13" s="19">
        <v>13.167</v>
      </c>
      <c r="AA13" s="21">
        <v>5.253E-2</v>
      </c>
      <c r="AB13" s="21">
        <v>3.1150000000000001E-2</v>
      </c>
      <c r="AC13" s="21">
        <v>3.2919999999999998E-2</v>
      </c>
      <c r="AD13" s="20">
        <v>56.69150265964597</v>
      </c>
    </row>
    <row r="14" spans="2:30" x14ac:dyDescent="0.25">
      <c r="B14" t="s">
        <v>42</v>
      </c>
      <c r="C14" s="15">
        <v>42396</v>
      </c>
      <c r="D14" s="23">
        <v>0.31211805555555555</v>
      </c>
      <c r="E14" s="24" t="s">
        <v>43</v>
      </c>
      <c r="F14">
        <v>109.8</v>
      </c>
      <c r="G14">
        <v>134.19999999999999</v>
      </c>
      <c r="H14" t="s">
        <v>45</v>
      </c>
      <c r="I14">
        <v>4000001</v>
      </c>
      <c r="J14">
        <v>192</v>
      </c>
      <c r="K14">
        <v>6.4290000000000003</v>
      </c>
      <c r="L14">
        <v>501</v>
      </c>
      <c r="M14">
        <v>360</v>
      </c>
      <c r="N14">
        <v>687</v>
      </c>
      <c r="O14">
        <v>840</v>
      </c>
      <c r="P14" s="19">
        <v>783.64400000000001</v>
      </c>
      <c r="Q14" s="19">
        <v>19.559999999999999</v>
      </c>
      <c r="R14" s="21">
        <v>0.10004</v>
      </c>
      <c r="S14" s="21">
        <v>4.7309999999999998E-2</v>
      </c>
      <c r="T14" s="21">
        <v>5.321E-2</v>
      </c>
      <c r="U14">
        <v>376</v>
      </c>
      <c r="V14">
        <v>270</v>
      </c>
      <c r="W14">
        <v>745</v>
      </c>
      <c r="X14">
        <v>840</v>
      </c>
      <c r="Y14" s="19">
        <v>792.83399999999995</v>
      </c>
      <c r="Z14" s="19">
        <v>14.057</v>
      </c>
      <c r="AA14" s="21">
        <v>5.9760000000000001E-2</v>
      </c>
      <c r="AB14" s="21">
        <v>3.9849999999999997E-2</v>
      </c>
      <c r="AC14" s="21">
        <v>4.0910000000000002E-2</v>
      </c>
      <c r="AD14" s="20">
        <v>56.836294427142668</v>
      </c>
    </row>
    <row r="15" spans="2:30" x14ac:dyDescent="0.25">
      <c r="B15" t="s">
        <v>42</v>
      </c>
      <c r="C15" s="15">
        <v>42397</v>
      </c>
      <c r="D15" s="23">
        <v>0.30918981481481483</v>
      </c>
      <c r="E15" s="24" t="s">
        <v>43</v>
      </c>
      <c r="F15">
        <v>109.8</v>
      </c>
      <c r="G15">
        <v>134.19999999999999</v>
      </c>
      <c r="H15" t="s">
        <v>45</v>
      </c>
      <c r="I15">
        <v>4000001</v>
      </c>
      <c r="J15">
        <v>193</v>
      </c>
      <c r="K15">
        <v>6.4290000000000003</v>
      </c>
      <c r="L15">
        <v>501</v>
      </c>
      <c r="M15">
        <v>360</v>
      </c>
      <c r="N15">
        <v>687</v>
      </c>
      <c r="O15">
        <v>835</v>
      </c>
      <c r="P15" s="19">
        <v>783.88</v>
      </c>
      <c r="Q15" s="19">
        <v>18.850999999999999</v>
      </c>
      <c r="R15" s="21">
        <v>9.7129999999999994E-2</v>
      </c>
      <c r="S15" s="21">
        <v>4.2639999999999997E-2</v>
      </c>
      <c r="T15" s="21">
        <v>5.3019999999999998E-2</v>
      </c>
      <c r="U15">
        <v>376</v>
      </c>
      <c r="V15">
        <v>270</v>
      </c>
      <c r="W15">
        <v>747</v>
      </c>
      <c r="X15">
        <v>835</v>
      </c>
      <c r="Y15" s="19">
        <v>793.4</v>
      </c>
      <c r="Z15" s="19">
        <v>13.369</v>
      </c>
      <c r="AA15" s="21">
        <v>5.5890000000000002E-2</v>
      </c>
      <c r="AB15" s="21">
        <v>3.3520000000000001E-2</v>
      </c>
      <c r="AC15" s="21">
        <v>3.6949999999999997E-2</v>
      </c>
      <c r="AD15" s="20">
        <v>56.686215292429949</v>
      </c>
    </row>
    <row r="16" spans="2:30" x14ac:dyDescent="0.25">
      <c r="B16" t="s">
        <v>42</v>
      </c>
      <c r="C16" s="15">
        <v>42398</v>
      </c>
      <c r="D16" s="23">
        <v>0.31415509259259261</v>
      </c>
      <c r="E16" s="24" t="s">
        <v>43</v>
      </c>
      <c r="F16">
        <v>109.8</v>
      </c>
      <c r="G16">
        <v>134.19999999999999</v>
      </c>
      <c r="H16" t="s">
        <v>45</v>
      </c>
      <c r="I16">
        <v>4000001</v>
      </c>
      <c r="J16">
        <v>194</v>
      </c>
      <c r="K16">
        <v>6.4290000000000003</v>
      </c>
      <c r="L16">
        <v>501</v>
      </c>
      <c r="M16">
        <v>360</v>
      </c>
      <c r="N16">
        <v>709</v>
      </c>
      <c r="O16">
        <v>844</v>
      </c>
      <c r="P16" s="19">
        <v>783.84299999999996</v>
      </c>
      <c r="Q16" s="19">
        <v>18.532</v>
      </c>
      <c r="R16" s="21">
        <v>8.6980000000000002E-2</v>
      </c>
      <c r="S16" s="21">
        <v>5.4969999999999998E-2</v>
      </c>
      <c r="T16" s="21">
        <v>5.8259999999999999E-2</v>
      </c>
      <c r="U16">
        <v>376</v>
      </c>
      <c r="V16">
        <v>270</v>
      </c>
      <c r="W16">
        <v>746</v>
      </c>
      <c r="X16">
        <v>834</v>
      </c>
      <c r="Y16" s="19">
        <v>792.5</v>
      </c>
      <c r="Z16" s="19">
        <v>13.358000000000001</v>
      </c>
      <c r="AA16" s="21">
        <v>5.6000000000000001E-2</v>
      </c>
      <c r="AB16" s="21">
        <v>3.8800000000000001E-2</v>
      </c>
      <c r="AC16" s="21">
        <v>4.3380000000000002E-2</v>
      </c>
      <c r="AD16" s="20">
        <v>56.538050290083319</v>
      </c>
    </row>
    <row r="17" spans="2:30" x14ac:dyDescent="0.25">
      <c r="B17" t="s">
        <v>42</v>
      </c>
      <c r="C17" s="15">
        <v>42401</v>
      </c>
      <c r="D17" s="23">
        <v>0.31122685185185184</v>
      </c>
      <c r="E17" s="24" t="s">
        <v>43</v>
      </c>
      <c r="F17">
        <v>109.8</v>
      </c>
      <c r="G17">
        <v>134.19999999999999</v>
      </c>
      <c r="H17" t="s">
        <v>45</v>
      </c>
      <c r="I17">
        <v>4000001</v>
      </c>
      <c r="J17">
        <v>197</v>
      </c>
      <c r="K17">
        <v>6.4290000000000003</v>
      </c>
      <c r="L17">
        <v>501</v>
      </c>
      <c r="M17">
        <v>360</v>
      </c>
      <c r="N17">
        <v>686</v>
      </c>
      <c r="O17">
        <v>841</v>
      </c>
      <c r="P17" s="19">
        <v>784.22699999999998</v>
      </c>
      <c r="Q17" s="19">
        <v>18.678999999999998</v>
      </c>
      <c r="R17" s="21">
        <v>0.10102</v>
      </c>
      <c r="S17" s="21">
        <v>5.0380000000000001E-2</v>
      </c>
      <c r="T17" s="21">
        <v>4.9009999999999998E-2</v>
      </c>
      <c r="U17">
        <v>376</v>
      </c>
      <c r="V17">
        <v>270</v>
      </c>
      <c r="W17">
        <v>740</v>
      </c>
      <c r="X17">
        <v>841</v>
      </c>
      <c r="Y17" s="19">
        <v>793.04600000000005</v>
      </c>
      <c r="Z17" s="19">
        <v>13.977</v>
      </c>
      <c r="AA17" s="21">
        <v>6.3640000000000002E-2</v>
      </c>
      <c r="AB17" s="21">
        <v>3.5090000000000003E-2</v>
      </c>
      <c r="AC17" s="21">
        <v>4.2819999999999997E-2</v>
      </c>
      <c r="AD17" s="20">
        <v>56.104757825448701</v>
      </c>
    </row>
    <row r="18" spans="2:30" x14ac:dyDescent="0.25">
      <c r="B18" t="s">
        <v>42</v>
      </c>
      <c r="C18" s="15">
        <v>42402</v>
      </c>
      <c r="D18" s="23">
        <v>0.30469907407407409</v>
      </c>
      <c r="E18" s="24" t="s">
        <v>43</v>
      </c>
      <c r="F18">
        <v>109.8</v>
      </c>
      <c r="G18">
        <v>134.19999999999999</v>
      </c>
      <c r="H18" t="s">
        <v>45</v>
      </c>
      <c r="I18">
        <v>4000001</v>
      </c>
      <c r="J18">
        <v>195</v>
      </c>
      <c r="K18">
        <v>6.4290000000000003</v>
      </c>
      <c r="L18">
        <v>501</v>
      </c>
      <c r="M18">
        <v>360</v>
      </c>
      <c r="N18">
        <v>686</v>
      </c>
      <c r="O18">
        <v>838</v>
      </c>
      <c r="P18" s="19">
        <v>783.79700000000003</v>
      </c>
      <c r="Q18" s="19">
        <v>19.834</v>
      </c>
      <c r="R18" s="21">
        <v>0.10020999999999999</v>
      </c>
      <c r="S18" s="21">
        <v>4.9070000000000003E-2</v>
      </c>
      <c r="T18" s="21">
        <v>5.432E-2</v>
      </c>
      <c r="U18">
        <v>376</v>
      </c>
      <c r="V18">
        <v>270</v>
      </c>
      <c r="W18">
        <v>744</v>
      </c>
      <c r="X18">
        <v>838</v>
      </c>
      <c r="Y18" s="19">
        <v>793.16</v>
      </c>
      <c r="Z18" s="19">
        <v>14.3</v>
      </c>
      <c r="AA18" s="21">
        <v>5.9470000000000002E-2</v>
      </c>
      <c r="AB18" s="21">
        <v>3.363E-2</v>
      </c>
      <c r="AC18" s="21">
        <v>4.0210000000000003E-2</v>
      </c>
      <c r="AD18" s="20">
        <v>56.824954116838377</v>
      </c>
    </row>
    <row r="19" spans="2:30" x14ac:dyDescent="0.25">
      <c r="B19" t="s">
        <v>42</v>
      </c>
      <c r="C19" s="15">
        <v>42403</v>
      </c>
      <c r="D19" s="23">
        <v>0.30961805555555555</v>
      </c>
      <c r="E19" s="24" t="s">
        <v>43</v>
      </c>
      <c r="F19">
        <v>109.8</v>
      </c>
      <c r="G19">
        <v>134.19999999999999</v>
      </c>
      <c r="H19" t="s">
        <v>45</v>
      </c>
      <c r="I19">
        <v>4000001</v>
      </c>
      <c r="J19">
        <v>195</v>
      </c>
      <c r="K19">
        <v>6.4290000000000003</v>
      </c>
      <c r="L19">
        <v>501</v>
      </c>
      <c r="M19">
        <v>360</v>
      </c>
      <c r="N19">
        <v>696</v>
      </c>
      <c r="O19">
        <v>841</v>
      </c>
      <c r="P19" s="19">
        <v>784.12900000000002</v>
      </c>
      <c r="Q19" s="19">
        <v>18.972000000000001</v>
      </c>
      <c r="R19" s="21">
        <v>9.4689999999999996E-2</v>
      </c>
      <c r="S19" s="21">
        <v>4.5339999999999998E-2</v>
      </c>
      <c r="T19" s="21">
        <v>5.5530000000000003E-2</v>
      </c>
      <c r="U19">
        <v>376</v>
      </c>
      <c r="V19">
        <v>270</v>
      </c>
      <c r="W19">
        <v>734</v>
      </c>
      <c r="X19">
        <v>841</v>
      </c>
      <c r="Y19" s="19">
        <v>793.38199999999995</v>
      </c>
      <c r="Z19" s="19">
        <v>14.473000000000001</v>
      </c>
      <c r="AA19" s="21">
        <v>6.8479999999999999E-2</v>
      </c>
      <c r="AB19" s="21">
        <v>4.3650000000000001E-2</v>
      </c>
      <c r="AC19" s="21">
        <v>3.644E-2</v>
      </c>
      <c r="AD19" s="20">
        <v>56.970086723287203</v>
      </c>
    </row>
    <row r="20" spans="2:30" x14ac:dyDescent="0.25">
      <c r="B20" t="s">
        <v>42</v>
      </c>
      <c r="C20" s="15">
        <v>42404</v>
      </c>
      <c r="D20" s="23">
        <v>0.30799768518518517</v>
      </c>
      <c r="E20" s="24" t="s">
        <v>43</v>
      </c>
      <c r="F20">
        <v>109.8</v>
      </c>
      <c r="G20">
        <v>134.19999999999999</v>
      </c>
      <c r="H20" t="s">
        <v>45</v>
      </c>
      <c r="I20">
        <v>4000001</v>
      </c>
      <c r="J20">
        <v>196</v>
      </c>
      <c r="K20">
        <v>6.4290000000000003</v>
      </c>
      <c r="L20">
        <v>501</v>
      </c>
      <c r="M20">
        <v>360</v>
      </c>
      <c r="N20">
        <v>704</v>
      </c>
      <c r="O20">
        <v>839</v>
      </c>
      <c r="P20" s="19">
        <v>783.81899999999996</v>
      </c>
      <c r="Q20" s="19">
        <v>18.609000000000002</v>
      </c>
      <c r="R20" s="21">
        <v>8.7779999999999997E-2</v>
      </c>
      <c r="S20" s="21">
        <v>4.759E-2</v>
      </c>
      <c r="T20" s="21">
        <v>5.1249999999999997E-2</v>
      </c>
      <c r="U20">
        <v>376</v>
      </c>
      <c r="V20">
        <v>270</v>
      </c>
      <c r="W20">
        <v>733</v>
      </c>
      <c r="X20">
        <v>839</v>
      </c>
      <c r="Y20" s="19">
        <v>792.71699999999998</v>
      </c>
      <c r="Z20" s="19">
        <v>14.398</v>
      </c>
      <c r="AA20" s="21">
        <v>6.7460000000000006E-2</v>
      </c>
      <c r="AB20" s="21">
        <v>4.759E-2</v>
      </c>
      <c r="AC20" s="21">
        <v>3.9199999999999999E-2</v>
      </c>
      <c r="AD20" s="20">
        <v>56.824183931245145</v>
      </c>
    </row>
    <row r="21" spans="2:30" x14ac:dyDescent="0.25">
      <c r="B21" t="s">
        <v>42</v>
      </c>
      <c r="C21" s="15">
        <v>42408</v>
      </c>
      <c r="D21" s="23">
        <v>0.3049189814814815</v>
      </c>
      <c r="E21" s="24" t="s">
        <v>43</v>
      </c>
      <c r="F21">
        <v>109.8</v>
      </c>
      <c r="G21">
        <v>134.19999999999999</v>
      </c>
      <c r="H21" t="s">
        <v>45</v>
      </c>
      <c r="I21">
        <v>4000001</v>
      </c>
      <c r="J21">
        <v>200</v>
      </c>
      <c r="K21">
        <v>6.4290000000000003</v>
      </c>
      <c r="L21">
        <v>501</v>
      </c>
      <c r="M21">
        <v>360</v>
      </c>
      <c r="N21">
        <v>713</v>
      </c>
      <c r="O21">
        <v>842</v>
      </c>
      <c r="P21" s="19">
        <v>783.91899999999998</v>
      </c>
      <c r="Q21" s="19">
        <v>19.151</v>
      </c>
      <c r="R21" s="21">
        <v>8.2419999999999993E-2</v>
      </c>
      <c r="S21" s="21">
        <v>5.6239999999999998E-2</v>
      </c>
      <c r="T21" s="21">
        <v>5.6340000000000001E-2</v>
      </c>
      <c r="U21">
        <v>376</v>
      </c>
      <c r="V21">
        <v>270</v>
      </c>
      <c r="W21">
        <v>740</v>
      </c>
      <c r="X21">
        <v>842</v>
      </c>
      <c r="Y21" s="19">
        <v>792.70799999999997</v>
      </c>
      <c r="Z21" s="19">
        <v>13.614000000000001</v>
      </c>
      <c r="AA21" s="21">
        <v>6.4100000000000004E-2</v>
      </c>
      <c r="AB21" s="21">
        <v>3.5770000000000003E-2</v>
      </c>
      <c r="AC21" s="21">
        <v>4.2000000000000003E-2</v>
      </c>
      <c r="AD21" s="20">
        <v>56.258795599793238</v>
      </c>
    </row>
    <row r="22" spans="2:30" x14ac:dyDescent="0.25">
      <c r="B22" t="s">
        <v>42</v>
      </c>
      <c r="C22" s="15">
        <v>42409</v>
      </c>
      <c r="D22" s="23">
        <v>0.31946759259259255</v>
      </c>
      <c r="E22" s="24" t="s">
        <v>43</v>
      </c>
      <c r="F22">
        <v>109.8</v>
      </c>
      <c r="G22">
        <v>134.19999999999999</v>
      </c>
      <c r="H22" t="s">
        <v>45</v>
      </c>
      <c r="I22">
        <v>4000001</v>
      </c>
      <c r="J22">
        <v>197</v>
      </c>
      <c r="K22">
        <v>6.4290000000000003</v>
      </c>
      <c r="L22">
        <v>501</v>
      </c>
      <c r="M22">
        <v>360</v>
      </c>
      <c r="N22">
        <v>705</v>
      </c>
      <c r="O22">
        <v>841</v>
      </c>
      <c r="P22" s="19">
        <v>783.72400000000005</v>
      </c>
      <c r="Q22" s="19">
        <v>18.771000000000001</v>
      </c>
      <c r="R22" s="21">
        <v>8.7900000000000006E-2</v>
      </c>
      <c r="S22" s="21">
        <v>4.027E-2</v>
      </c>
      <c r="T22" s="21">
        <v>4.6039999999999998E-2</v>
      </c>
      <c r="U22">
        <v>376</v>
      </c>
      <c r="V22">
        <v>270</v>
      </c>
      <c r="W22">
        <v>741</v>
      </c>
      <c r="X22">
        <v>841</v>
      </c>
      <c r="Y22" s="19">
        <v>792.49199999999996</v>
      </c>
      <c r="Z22" s="19">
        <v>14.48</v>
      </c>
      <c r="AA22" s="21">
        <v>6.3070000000000001E-2</v>
      </c>
      <c r="AB22" s="21">
        <v>3.8120000000000001E-2</v>
      </c>
      <c r="AC22" s="21">
        <v>4.2869999999999998E-2</v>
      </c>
      <c r="AD22" s="20">
        <v>57.26140326976121</v>
      </c>
    </row>
    <row r="23" spans="2:30" x14ac:dyDescent="0.25">
      <c r="B23" t="s">
        <v>42</v>
      </c>
      <c r="C23" s="15">
        <v>42410</v>
      </c>
      <c r="D23" s="23">
        <v>0.30770833333333331</v>
      </c>
      <c r="E23" s="24" t="s">
        <v>43</v>
      </c>
      <c r="F23">
        <v>109.8</v>
      </c>
      <c r="G23">
        <v>134.19999999999999</v>
      </c>
      <c r="H23" t="s">
        <v>45</v>
      </c>
      <c r="I23">
        <v>4000001</v>
      </c>
      <c r="J23">
        <v>198</v>
      </c>
      <c r="K23">
        <v>6.4290000000000003</v>
      </c>
      <c r="L23">
        <v>501</v>
      </c>
      <c r="M23">
        <v>360</v>
      </c>
      <c r="N23">
        <v>679</v>
      </c>
      <c r="O23">
        <v>834</v>
      </c>
      <c r="P23" s="19">
        <v>783.36199999999997</v>
      </c>
      <c r="Q23" s="19">
        <v>18.631</v>
      </c>
      <c r="R23" s="21">
        <v>0.10199999999999999</v>
      </c>
      <c r="S23" s="21">
        <v>4.5789999999999997E-2</v>
      </c>
      <c r="T23" s="21">
        <v>5.4239999999999997E-2</v>
      </c>
      <c r="U23">
        <v>376</v>
      </c>
      <c r="V23">
        <v>270</v>
      </c>
      <c r="W23">
        <v>742</v>
      </c>
      <c r="X23">
        <v>834</v>
      </c>
      <c r="Y23" s="19">
        <v>792.38400000000001</v>
      </c>
      <c r="Z23" s="19">
        <v>13.826000000000001</v>
      </c>
      <c r="AA23" s="21">
        <v>5.7939999999999998E-2</v>
      </c>
      <c r="AB23" s="21">
        <v>4.0329999999999998E-2</v>
      </c>
      <c r="AC23" s="21">
        <v>3.6220000000000002E-2</v>
      </c>
      <c r="AD23" s="20">
        <v>57.11771295100818</v>
      </c>
    </row>
    <row r="24" spans="2:30" x14ac:dyDescent="0.25">
      <c r="B24" t="s">
        <v>42</v>
      </c>
      <c r="C24" s="15">
        <v>42411</v>
      </c>
      <c r="D24" s="23">
        <v>0.3102199074074074</v>
      </c>
      <c r="E24" s="24" t="s">
        <v>43</v>
      </c>
      <c r="F24">
        <v>109.8</v>
      </c>
      <c r="G24">
        <v>134.19999999999999</v>
      </c>
      <c r="H24" t="s">
        <v>45</v>
      </c>
      <c r="I24">
        <v>4000001</v>
      </c>
      <c r="J24">
        <v>198</v>
      </c>
      <c r="K24">
        <v>6.4290000000000003</v>
      </c>
      <c r="L24">
        <v>501</v>
      </c>
      <c r="M24">
        <v>360</v>
      </c>
      <c r="N24">
        <v>674</v>
      </c>
      <c r="O24">
        <v>845</v>
      </c>
      <c r="P24" s="19">
        <v>784.03800000000001</v>
      </c>
      <c r="Q24" s="19">
        <v>19.141999999999999</v>
      </c>
      <c r="R24" s="21">
        <v>0.1128</v>
      </c>
      <c r="S24" s="21">
        <v>5.6419999999999998E-2</v>
      </c>
      <c r="T24" s="21">
        <v>4.8099999999999997E-2</v>
      </c>
      <c r="U24">
        <v>376</v>
      </c>
      <c r="V24">
        <v>270</v>
      </c>
      <c r="W24">
        <v>750</v>
      </c>
      <c r="X24">
        <v>845</v>
      </c>
      <c r="Y24" s="19">
        <v>792.86599999999999</v>
      </c>
      <c r="Z24" s="19">
        <v>14.118</v>
      </c>
      <c r="AA24" s="21">
        <v>5.9490000000000001E-2</v>
      </c>
      <c r="AB24" s="21">
        <v>3.9910000000000001E-2</v>
      </c>
      <c r="AC24" s="21">
        <v>3.6670000000000001E-2</v>
      </c>
      <c r="AD24" s="20">
        <v>57.263593272141946</v>
      </c>
    </row>
    <row r="25" spans="2:30" x14ac:dyDescent="0.25">
      <c r="B25" t="s">
        <v>42</v>
      </c>
      <c r="C25" s="15">
        <v>42412</v>
      </c>
      <c r="D25" s="23">
        <v>0.34381944444444446</v>
      </c>
      <c r="E25" s="24" t="s">
        <v>43</v>
      </c>
      <c r="F25">
        <v>109.8</v>
      </c>
      <c r="G25">
        <v>134.19999999999999</v>
      </c>
      <c r="H25" t="s">
        <v>45</v>
      </c>
      <c r="I25">
        <v>4000001</v>
      </c>
      <c r="J25">
        <v>199</v>
      </c>
      <c r="K25">
        <v>6.4290000000000003</v>
      </c>
      <c r="L25">
        <v>501</v>
      </c>
      <c r="M25">
        <v>360</v>
      </c>
      <c r="N25">
        <v>678</v>
      </c>
      <c r="O25">
        <v>853</v>
      </c>
      <c r="P25" s="19">
        <v>784.18600000000004</v>
      </c>
      <c r="Q25" s="19">
        <v>19.564</v>
      </c>
      <c r="R25" s="21">
        <v>0.11441999999999999</v>
      </c>
      <c r="S25" s="21">
        <v>5.1790000000000003E-2</v>
      </c>
      <c r="T25" s="21">
        <v>5.6739999999999999E-2</v>
      </c>
      <c r="U25">
        <v>376</v>
      </c>
      <c r="V25">
        <v>270</v>
      </c>
      <c r="W25">
        <v>736</v>
      </c>
      <c r="X25">
        <v>853</v>
      </c>
      <c r="Y25" s="19">
        <v>792.97500000000002</v>
      </c>
      <c r="Z25" s="19">
        <v>14.44</v>
      </c>
      <c r="AA25" s="21">
        <v>7.3880000000000001E-2</v>
      </c>
      <c r="AB25" s="21">
        <v>4.0770000000000001E-2</v>
      </c>
      <c r="AC25" s="21">
        <v>3.916E-2</v>
      </c>
      <c r="AD25" s="20">
        <v>57.121354486586235</v>
      </c>
    </row>
    <row r="26" spans="2:30" x14ac:dyDescent="0.25">
      <c r="B26" t="s">
        <v>42</v>
      </c>
      <c r="C26" s="15">
        <v>42415</v>
      </c>
      <c r="D26" s="23">
        <v>0.30976851851851855</v>
      </c>
      <c r="E26" s="24" t="s">
        <v>43</v>
      </c>
      <c r="F26">
        <v>109.8</v>
      </c>
      <c r="G26">
        <v>134.19999999999999</v>
      </c>
      <c r="H26" t="s">
        <v>45</v>
      </c>
      <c r="I26">
        <v>4000001</v>
      </c>
      <c r="J26">
        <v>203</v>
      </c>
      <c r="K26">
        <v>6.4290000000000003</v>
      </c>
      <c r="L26">
        <v>501</v>
      </c>
      <c r="M26">
        <v>360</v>
      </c>
      <c r="N26">
        <v>687</v>
      </c>
      <c r="O26">
        <v>849</v>
      </c>
      <c r="P26" s="19">
        <v>786.00099999999998</v>
      </c>
      <c r="Q26" s="19">
        <v>20.338999999999999</v>
      </c>
      <c r="R26" s="21">
        <v>0.10589</v>
      </c>
      <c r="S26" s="21">
        <v>4.9529999999999998E-2</v>
      </c>
      <c r="T26" s="21">
        <v>5.355E-2</v>
      </c>
      <c r="U26">
        <v>376</v>
      </c>
      <c r="V26">
        <v>270</v>
      </c>
      <c r="W26">
        <v>741</v>
      </c>
      <c r="X26">
        <v>841</v>
      </c>
      <c r="Y26" s="19">
        <v>795.024</v>
      </c>
      <c r="Z26" s="19">
        <v>14.848000000000001</v>
      </c>
      <c r="AA26" s="21">
        <v>6.3170000000000004E-2</v>
      </c>
      <c r="AB26" s="21">
        <v>4.4609999999999997E-2</v>
      </c>
      <c r="AC26" s="21">
        <v>3.8019999999999998E-2</v>
      </c>
      <c r="AD26" s="20">
        <v>56.425952130011623</v>
      </c>
    </row>
    <row r="27" spans="2:30" x14ac:dyDescent="0.25">
      <c r="B27" t="s">
        <v>42</v>
      </c>
      <c r="C27" s="15">
        <v>42418</v>
      </c>
      <c r="D27" s="23">
        <v>0.31218750000000001</v>
      </c>
      <c r="E27" s="24" t="s">
        <v>43</v>
      </c>
      <c r="F27">
        <v>109.8</v>
      </c>
      <c r="G27">
        <v>134.19999999999999</v>
      </c>
      <c r="H27" t="s">
        <v>45</v>
      </c>
      <c r="I27">
        <v>4000001</v>
      </c>
      <c r="J27">
        <v>201</v>
      </c>
      <c r="K27">
        <v>6.4290000000000003</v>
      </c>
      <c r="L27">
        <v>501</v>
      </c>
      <c r="M27">
        <v>360</v>
      </c>
      <c r="N27">
        <v>702</v>
      </c>
      <c r="O27">
        <v>841</v>
      </c>
      <c r="P27" s="19">
        <v>783.88099999999997</v>
      </c>
      <c r="Q27" s="19">
        <v>19.216000000000001</v>
      </c>
      <c r="R27" s="21">
        <v>8.9590000000000003E-2</v>
      </c>
      <c r="S27" s="21">
        <v>5.5239999999999997E-2</v>
      </c>
      <c r="T27" s="21">
        <v>4.6670000000000003E-2</v>
      </c>
      <c r="U27">
        <v>376</v>
      </c>
      <c r="V27">
        <v>270</v>
      </c>
      <c r="W27">
        <v>740</v>
      </c>
      <c r="X27">
        <v>841</v>
      </c>
      <c r="Y27" s="19">
        <v>793.04100000000005</v>
      </c>
      <c r="Z27" s="19">
        <v>14.497</v>
      </c>
      <c r="AA27" s="21">
        <v>6.3329999999999997E-2</v>
      </c>
      <c r="AB27" s="21">
        <v>3.7789999999999997E-2</v>
      </c>
      <c r="AC27" s="21">
        <v>3.7600000000000001E-2</v>
      </c>
      <c r="AD27" s="20">
        <v>57.425163064996987</v>
      </c>
    </row>
    <row r="28" spans="2:30" x14ac:dyDescent="0.25">
      <c r="B28" t="s">
        <v>42</v>
      </c>
      <c r="C28" s="15">
        <v>42419</v>
      </c>
      <c r="D28" s="23">
        <v>0.32309027777777777</v>
      </c>
      <c r="E28" s="24" t="s">
        <v>43</v>
      </c>
      <c r="F28">
        <v>109.8</v>
      </c>
      <c r="G28">
        <v>134.19999999999999</v>
      </c>
      <c r="H28" t="s">
        <v>45</v>
      </c>
      <c r="I28">
        <v>4000001</v>
      </c>
      <c r="J28">
        <v>202</v>
      </c>
      <c r="K28">
        <v>6.4290000000000003</v>
      </c>
      <c r="L28">
        <v>501</v>
      </c>
      <c r="M28">
        <v>360</v>
      </c>
      <c r="N28">
        <v>696</v>
      </c>
      <c r="O28">
        <v>844</v>
      </c>
      <c r="P28" s="19">
        <v>785.09500000000003</v>
      </c>
      <c r="Q28" s="19">
        <v>19.771999999999998</v>
      </c>
      <c r="R28" s="21">
        <v>9.6369999999999997E-2</v>
      </c>
      <c r="S28" s="21">
        <v>4.7690000000000003E-2</v>
      </c>
      <c r="T28" s="21">
        <v>5.8770000000000003E-2</v>
      </c>
      <c r="U28">
        <v>376</v>
      </c>
      <c r="V28">
        <v>270</v>
      </c>
      <c r="W28">
        <v>741</v>
      </c>
      <c r="X28">
        <v>842</v>
      </c>
      <c r="Y28" s="19">
        <v>794.09900000000005</v>
      </c>
      <c r="Z28" s="19">
        <v>13.912000000000001</v>
      </c>
      <c r="AA28" s="21">
        <v>6.404E-2</v>
      </c>
      <c r="AB28" s="21">
        <v>4.7690000000000003E-2</v>
      </c>
      <c r="AC28" s="21">
        <v>3.8899999999999997E-2</v>
      </c>
      <c r="AD28" s="20">
        <v>57.286819570189046</v>
      </c>
    </row>
    <row r="29" spans="2:30" x14ac:dyDescent="0.25">
      <c r="B29" t="s">
        <v>42</v>
      </c>
      <c r="C29" s="15">
        <v>42422</v>
      </c>
      <c r="D29" s="23">
        <v>0.32795138888888892</v>
      </c>
      <c r="E29" s="24" t="s">
        <v>43</v>
      </c>
      <c r="F29">
        <v>109.8</v>
      </c>
      <c r="G29">
        <v>134.19999999999999</v>
      </c>
      <c r="H29" t="s">
        <v>45</v>
      </c>
      <c r="I29">
        <v>4000001</v>
      </c>
      <c r="J29">
        <v>206</v>
      </c>
      <c r="K29">
        <v>6.4290000000000003</v>
      </c>
      <c r="L29">
        <v>501</v>
      </c>
      <c r="M29">
        <v>360</v>
      </c>
      <c r="N29">
        <v>695</v>
      </c>
      <c r="O29">
        <v>840</v>
      </c>
      <c r="P29" s="19">
        <v>784.46699999999998</v>
      </c>
      <c r="Q29" s="19">
        <v>19.318999999999999</v>
      </c>
      <c r="R29" s="21">
        <v>9.4380000000000006E-2</v>
      </c>
      <c r="S29" s="21">
        <v>5.5219999999999998E-2</v>
      </c>
      <c r="T29" s="21">
        <v>4.215E-2</v>
      </c>
      <c r="U29">
        <v>376</v>
      </c>
      <c r="V29">
        <v>270</v>
      </c>
      <c r="W29">
        <v>745</v>
      </c>
      <c r="X29">
        <v>840</v>
      </c>
      <c r="Y29" s="19">
        <v>793.69100000000003</v>
      </c>
      <c r="Z29" s="19">
        <v>14.397</v>
      </c>
      <c r="AA29" s="21">
        <v>5.987E-2</v>
      </c>
      <c r="AB29" s="21">
        <v>3.526E-2</v>
      </c>
      <c r="AC29" s="21">
        <v>3.9919999999999997E-2</v>
      </c>
      <c r="AD29" s="20">
        <v>56.605967997664472</v>
      </c>
    </row>
    <row r="30" spans="2:30" x14ac:dyDescent="0.25">
      <c r="B30" t="s">
        <v>42</v>
      </c>
      <c r="C30" s="15">
        <v>42423</v>
      </c>
      <c r="D30" s="23">
        <v>0.298912037037037</v>
      </c>
      <c r="E30" s="24" t="s">
        <v>43</v>
      </c>
      <c r="F30">
        <v>109.8</v>
      </c>
      <c r="G30">
        <v>134.19999999999999</v>
      </c>
      <c r="H30" t="s">
        <v>45</v>
      </c>
      <c r="I30">
        <v>4000001</v>
      </c>
      <c r="J30">
        <v>204</v>
      </c>
      <c r="K30">
        <v>6.4290000000000003</v>
      </c>
      <c r="L30">
        <v>501</v>
      </c>
      <c r="M30">
        <v>360</v>
      </c>
      <c r="N30">
        <v>657</v>
      </c>
      <c r="O30">
        <v>837</v>
      </c>
      <c r="P30" s="19">
        <v>784.19899999999996</v>
      </c>
      <c r="Q30" s="19">
        <v>18.227</v>
      </c>
      <c r="R30" s="21">
        <v>0.12060999999999999</v>
      </c>
      <c r="S30" s="21">
        <v>5.7799999999999997E-2</v>
      </c>
      <c r="T30" s="21">
        <v>6.9500000000000006E-2</v>
      </c>
      <c r="U30">
        <v>376</v>
      </c>
      <c r="V30">
        <v>270</v>
      </c>
      <c r="W30">
        <v>747</v>
      </c>
      <c r="X30">
        <v>835</v>
      </c>
      <c r="Y30" s="19">
        <v>792.90099999999995</v>
      </c>
      <c r="Z30" s="19">
        <v>13.244999999999999</v>
      </c>
      <c r="AA30" s="21">
        <v>5.5440000000000003E-2</v>
      </c>
      <c r="AB30" s="21">
        <v>3.5299999999999998E-2</v>
      </c>
      <c r="AC30" s="21">
        <v>4.5350000000000001E-2</v>
      </c>
      <c r="AD30" s="20">
        <v>57.30691916306737</v>
      </c>
    </row>
    <row r="31" spans="2:30" x14ac:dyDescent="0.25">
      <c r="B31" t="s">
        <v>42</v>
      </c>
      <c r="C31" s="15">
        <v>42424</v>
      </c>
      <c r="D31" s="23">
        <v>0.30776620370370372</v>
      </c>
      <c r="E31" s="24" t="s">
        <v>43</v>
      </c>
      <c r="F31">
        <v>109.8</v>
      </c>
      <c r="G31">
        <v>134.19999999999999</v>
      </c>
      <c r="H31" t="s">
        <v>45</v>
      </c>
      <c r="I31">
        <v>4000001</v>
      </c>
      <c r="J31">
        <v>204</v>
      </c>
      <c r="K31">
        <v>6.4290000000000003</v>
      </c>
      <c r="L31">
        <v>501</v>
      </c>
      <c r="M31">
        <v>360</v>
      </c>
      <c r="N31">
        <v>704</v>
      </c>
      <c r="O31">
        <v>846</v>
      </c>
      <c r="P31" s="19">
        <v>784.601</v>
      </c>
      <c r="Q31" s="19">
        <v>19.135999999999999</v>
      </c>
      <c r="R31" s="21">
        <v>9.1789999999999997E-2</v>
      </c>
      <c r="S31" s="21">
        <v>5.2150000000000002E-2</v>
      </c>
      <c r="T31" s="21">
        <v>5.4670000000000003E-2</v>
      </c>
      <c r="U31">
        <v>376</v>
      </c>
      <c r="V31">
        <v>270</v>
      </c>
      <c r="W31">
        <v>738</v>
      </c>
      <c r="X31">
        <v>846</v>
      </c>
      <c r="Y31" s="19">
        <v>793.90300000000002</v>
      </c>
      <c r="Z31" s="19">
        <v>14.848000000000001</v>
      </c>
      <c r="AA31" s="21">
        <v>6.8010000000000001E-2</v>
      </c>
      <c r="AB31" s="21">
        <v>5.2150000000000002E-2</v>
      </c>
      <c r="AC31" s="21">
        <v>4.3909999999999998E-2</v>
      </c>
      <c r="AD31" s="20">
        <v>57.45328272243934</v>
      </c>
    </row>
    <row r="32" spans="2:30" x14ac:dyDescent="0.25">
      <c r="B32" t="s">
        <v>42</v>
      </c>
      <c r="C32" s="15">
        <v>42425</v>
      </c>
      <c r="D32" s="23">
        <v>0.30351851851851852</v>
      </c>
      <c r="E32" s="24" t="s">
        <v>43</v>
      </c>
      <c r="F32">
        <v>109.8</v>
      </c>
      <c r="G32">
        <v>134.19999999999999</v>
      </c>
      <c r="H32" t="s">
        <v>45</v>
      </c>
      <c r="I32">
        <v>4000001</v>
      </c>
      <c r="J32">
        <v>204</v>
      </c>
      <c r="K32">
        <v>6.4290000000000003</v>
      </c>
      <c r="L32">
        <v>501</v>
      </c>
      <c r="M32">
        <v>360</v>
      </c>
      <c r="N32">
        <v>698</v>
      </c>
      <c r="O32">
        <v>842</v>
      </c>
      <c r="P32" s="19">
        <v>786.46799999999996</v>
      </c>
      <c r="Q32" s="19">
        <v>18.311</v>
      </c>
      <c r="R32" s="21">
        <v>9.3600000000000003E-2</v>
      </c>
      <c r="S32" s="21">
        <v>5.0999999999999997E-2</v>
      </c>
      <c r="T32" s="21">
        <v>6.3130000000000006E-2</v>
      </c>
      <c r="U32">
        <v>376</v>
      </c>
      <c r="V32">
        <v>270</v>
      </c>
      <c r="W32">
        <v>747</v>
      </c>
      <c r="X32">
        <v>842</v>
      </c>
      <c r="Y32" s="19">
        <v>794.46900000000005</v>
      </c>
      <c r="Z32" s="19">
        <v>13.6</v>
      </c>
      <c r="AA32" s="21">
        <v>5.9580000000000001E-2</v>
      </c>
      <c r="AB32" s="21">
        <v>3.3000000000000002E-2</v>
      </c>
      <c r="AC32" s="21">
        <v>3.5860000000000003E-2</v>
      </c>
      <c r="AD32" s="20">
        <v>57.600020098652699</v>
      </c>
    </row>
    <row r="33" spans="2:30" x14ac:dyDescent="0.25">
      <c r="B33" t="s">
        <v>42</v>
      </c>
      <c r="C33" s="15">
        <v>42426</v>
      </c>
      <c r="D33" s="23">
        <v>0.32976851851851852</v>
      </c>
      <c r="E33" s="24" t="s">
        <v>43</v>
      </c>
      <c r="F33">
        <v>109.8</v>
      </c>
      <c r="G33">
        <v>134.19999999999999</v>
      </c>
      <c r="H33" t="s">
        <v>45</v>
      </c>
      <c r="I33">
        <v>4000001</v>
      </c>
      <c r="J33">
        <v>204</v>
      </c>
      <c r="K33">
        <v>6.4290000000000003</v>
      </c>
      <c r="L33">
        <v>501</v>
      </c>
      <c r="M33">
        <v>360</v>
      </c>
      <c r="N33">
        <v>694</v>
      </c>
      <c r="O33">
        <v>840</v>
      </c>
      <c r="P33" s="19">
        <v>785.04700000000003</v>
      </c>
      <c r="Q33" s="19">
        <v>18.672999999999998</v>
      </c>
      <c r="R33" s="21">
        <v>9.4549999999999995E-2</v>
      </c>
      <c r="S33" s="21">
        <v>4.7469999999999998E-2</v>
      </c>
      <c r="T33" s="21">
        <v>4.045E-2</v>
      </c>
      <c r="U33">
        <v>376</v>
      </c>
      <c r="V33">
        <v>270</v>
      </c>
      <c r="W33">
        <v>746</v>
      </c>
      <c r="X33">
        <v>832</v>
      </c>
      <c r="Y33" s="19">
        <v>793.61199999999997</v>
      </c>
      <c r="Z33" s="19">
        <v>13.577999999999999</v>
      </c>
      <c r="AA33" s="21">
        <v>5.4420000000000003E-2</v>
      </c>
      <c r="AB33" s="21">
        <v>3.7749999999999999E-2</v>
      </c>
      <c r="AC33" s="21">
        <v>3.141E-2</v>
      </c>
      <c r="AD33" s="20">
        <v>57.747132246446682</v>
      </c>
    </row>
    <row r="34" spans="2:30" x14ac:dyDescent="0.25">
      <c r="B34" t="s">
        <v>42</v>
      </c>
      <c r="C34" s="15">
        <v>42429</v>
      </c>
      <c r="D34" s="23">
        <v>0.31385416666666666</v>
      </c>
      <c r="E34" s="24" t="s">
        <v>43</v>
      </c>
      <c r="F34">
        <v>109.8</v>
      </c>
      <c r="G34">
        <v>134.19999999999999</v>
      </c>
      <c r="H34" t="s">
        <v>45</v>
      </c>
      <c r="I34">
        <v>4000001</v>
      </c>
      <c r="J34">
        <v>208</v>
      </c>
      <c r="K34">
        <v>6.4290000000000003</v>
      </c>
      <c r="L34">
        <v>501</v>
      </c>
      <c r="M34">
        <v>360</v>
      </c>
      <c r="N34">
        <v>700</v>
      </c>
      <c r="O34">
        <v>828</v>
      </c>
      <c r="P34" s="19">
        <v>784.05700000000002</v>
      </c>
      <c r="Q34" s="19">
        <v>18.016999999999999</v>
      </c>
      <c r="R34" s="21">
        <v>8.3890000000000006E-2</v>
      </c>
      <c r="S34" s="21">
        <v>4.8689999999999997E-2</v>
      </c>
      <c r="T34" s="21">
        <v>5.4480000000000001E-2</v>
      </c>
      <c r="U34">
        <v>376</v>
      </c>
      <c r="V34">
        <v>270</v>
      </c>
      <c r="W34">
        <v>750</v>
      </c>
      <c r="X34">
        <v>828</v>
      </c>
      <c r="Y34" s="19">
        <v>792.18</v>
      </c>
      <c r="Z34" s="19">
        <v>13.173999999999999</v>
      </c>
      <c r="AA34" s="21">
        <v>4.9820000000000003E-2</v>
      </c>
      <c r="AB34" s="21">
        <v>3.0630000000000001E-2</v>
      </c>
      <c r="AC34" s="21">
        <v>3.5450000000000002E-2</v>
      </c>
      <c r="AD34" s="20">
        <v>57.071674462870043</v>
      </c>
    </row>
    <row r="35" spans="2:30" x14ac:dyDescent="0.25">
      <c r="B35" t="s">
        <v>42</v>
      </c>
      <c r="C35" s="15">
        <v>42431</v>
      </c>
      <c r="D35" s="23">
        <v>0.3079513888888889</v>
      </c>
      <c r="E35" s="24" t="s">
        <v>43</v>
      </c>
      <c r="F35">
        <v>109.8</v>
      </c>
      <c r="G35">
        <v>134.19999999999999</v>
      </c>
      <c r="H35" t="s">
        <v>45</v>
      </c>
      <c r="I35">
        <v>4000001</v>
      </c>
      <c r="J35">
        <v>207</v>
      </c>
      <c r="K35">
        <v>6.4290000000000003</v>
      </c>
      <c r="L35">
        <v>501</v>
      </c>
      <c r="M35">
        <v>360</v>
      </c>
      <c r="N35">
        <v>696</v>
      </c>
      <c r="O35">
        <v>851</v>
      </c>
      <c r="P35" s="19">
        <v>784.68299999999999</v>
      </c>
      <c r="Q35" s="19">
        <v>19.254999999999999</v>
      </c>
      <c r="R35" s="21">
        <v>0.10022</v>
      </c>
      <c r="S35" s="21">
        <v>4.6399999999999997E-2</v>
      </c>
      <c r="T35" s="21">
        <v>5.7549999999999997E-2</v>
      </c>
      <c r="U35">
        <v>376</v>
      </c>
      <c r="V35">
        <v>270</v>
      </c>
      <c r="W35">
        <v>731</v>
      </c>
      <c r="X35">
        <v>837</v>
      </c>
      <c r="Y35" s="19">
        <v>792.69799999999998</v>
      </c>
      <c r="Z35" s="19">
        <v>14.315</v>
      </c>
      <c r="AA35" s="21">
        <v>6.7239999999999994E-2</v>
      </c>
      <c r="AB35" s="21">
        <v>3.5889999999999998E-2</v>
      </c>
      <c r="AC35" s="21">
        <v>4.8890000000000003E-2</v>
      </c>
      <c r="AD35" s="20">
        <v>57.640690926530453</v>
      </c>
    </row>
    <row r="36" spans="2:30" x14ac:dyDescent="0.25">
      <c r="B36" t="s">
        <v>42</v>
      </c>
      <c r="C36" s="15">
        <v>42432</v>
      </c>
      <c r="D36" s="23">
        <v>0.31858796296296293</v>
      </c>
      <c r="E36" s="24" t="s">
        <v>43</v>
      </c>
      <c r="F36">
        <v>109.8</v>
      </c>
      <c r="G36">
        <v>134.19999999999999</v>
      </c>
      <c r="H36" t="s">
        <v>45</v>
      </c>
      <c r="I36">
        <v>4000001</v>
      </c>
      <c r="J36">
        <v>207</v>
      </c>
      <c r="K36">
        <v>6.4290000000000003</v>
      </c>
      <c r="L36">
        <v>501</v>
      </c>
      <c r="M36">
        <v>360</v>
      </c>
      <c r="N36">
        <v>693</v>
      </c>
      <c r="O36">
        <v>835</v>
      </c>
      <c r="P36" s="19">
        <v>784.26800000000003</v>
      </c>
      <c r="Q36" s="19">
        <v>18.594999999999999</v>
      </c>
      <c r="R36" s="21">
        <v>9.2600000000000002E-2</v>
      </c>
      <c r="S36" s="21">
        <v>4.4990000000000002E-2</v>
      </c>
      <c r="T36" s="21">
        <v>5.1580000000000001E-2</v>
      </c>
      <c r="U36">
        <v>376</v>
      </c>
      <c r="V36">
        <v>270</v>
      </c>
      <c r="W36">
        <v>747</v>
      </c>
      <c r="X36">
        <v>835</v>
      </c>
      <c r="Y36" s="19">
        <v>792.005</v>
      </c>
      <c r="Z36" s="19">
        <v>14.638999999999999</v>
      </c>
      <c r="AA36" s="21">
        <v>5.543E-2</v>
      </c>
      <c r="AB36" s="21">
        <v>3.517E-2</v>
      </c>
      <c r="AC36" s="21">
        <v>4.0599999999999997E-2</v>
      </c>
      <c r="AD36" s="20">
        <v>57.787906948816683</v>
      </c>
    </row>
    <row r="37" spans="2:30" x14ac:dyDescent="0.25">
      <c r="B37" t="s">
        <v>42</v>
      </c>
      <c r="C37" s="15">
        <v>42436</v>
      </c>
      <c r="D37" s="23">
        <v>0.31083333333333335</v>
      </c>
      <c r="E37" s="24" t="s">
        <v>43</v>
      </c>
      <c r="F37">
        <v>109.8</v>
      </c>
      <c r="G37">
        <v>134.19999999999999</v>
      </c>
      <c r="H37" t="s">
        <v>45</v>
      </c>
      <c r="I37">
        <v>4000001</v>
      </c>
      <c r="J37">
        <v>212</v>
      </c>
      <c r="K37">
        <v>6.4290000000000003</v>
      </c>
      <c r="L37">
        <v>501</v>
      </c>
      <c r="M37">
        <v>360</v>
      </c>
      <c r="N37">
        <v>684</v>
      </c>
      <c r="O37">
        <v>835</v>
      </c>
      <c r="P37" s="19">
        <v>785.69399999999996</v>
      </c>
      <c r="Q37" s="19">
        <v>19.780999999999999</v>
      </c>
      <c r="R37" s="21">
        <v>9.9760000000000001E-2</v>
      </c>
      <c r="S37" s="21">
        <v>5.1860000000000003E-2</v>
      </c>
      <c r="T37" s="21">
        <v>4.2779999999999999E-2</v>
      </c>
      <c r="U37">
        <v>376</v>
      </c>
      <c r="V37">
        <v>270</v>
      </c>
      <c r="W37">
        <v>740</v>
      </c>
      <c r="X37">
        <v>835</v>
      </c>
      <c r="Y37" s="19">
        <v>794.03899999999999</v>
      </c>
      <c r="Z37" s="19">
        <v>14.926</v>
      </c>
      <c r="AA37" s="21">
        <v>6.037E-2</v>
      </c>
      <c r="AB37" s="21">
        <v>3.8969999999999998E-2</v>
      </c>
      <c r="AC37" s="21">
        <v>4.2779999999999999E-2</v>
      </c>
      <c r="AD37" s="20">
        <v>57.003641051491414</v>
      </c>
    </row>
    <row r="38" spans="2:30" x14ac:dyDescent="0.25">
      <c r="B38" t="s">
        <v>42</v>
      </c>
      <c r="C38" s="15">
        <v>42437</v>
      </c>
      <c r="D38" s="23">
        <v>0.30150462962962959</v>
      </c>
      <c r="E38" s="24" t="s">
        <v>43</v>
      </c>
      <c r="F38">
        <v>109.8</v>
      </c>
      <c r="G38">
        <v>134.19999999999999</v>
      </c>
      <c r="H38" t="s">
        <v>45</v>
      </c>
      <c r="I38">
        <v>4000001</v>
      </c>
      <c r="J38">
        <v>209</v>
      </c>
      <c r="K38">
        <v>6.4290000000000003</v>
      </c>
      <c r="L38">
        <v>501</v>
      </c>
      <c r="M38">
        <v>360</v>
      </c>
      <c r="N38">
        <v>671</v>
      </c>
      <c r="O38">
        <v>843</v>
      </c>
      <c r="P38" s="19">
        <v>784.68200000000002</v>
      </c>
      <c r="Q38" s="19">
        <v>18.791</v>
      </c>
      <c r="R38" s="21">
        <v>0.11344</v>
      </c>
      <c r="S38" s="21">
        <v>4.8230000000000002E-2</v>
      </c>
      <c r="T38" s="21">
        <v>5.602E-2</v>
      </c>
      <c r="U38">
        <v>376</v>
      </c>
      <c r="V38">
        <v>270</v>
      </c>
      <c r="W38">
        <v>739</v>
      </c>
      <c r="X38">
        <v>836</v>
      </c>
      <c r="Y38" s="19">
        <v>793.53399999999999</v>
      </c>
      <c r="Z38" s="19">
        <v>13.536</v>
      </c>
      <c r="AA38" s="21">
        <v>6.1609999999999998E-2</v>
      </c>
      <c r="AB38" s="21">
        <v>3.2829999999999998E-2</v>
      </c>
      <c r="AC38" s="21">
        <v>4.7239999999999997E-2</v>
      </c>
      <c r="AD38" s="20">
        <v>57.969553905657584</v>
      </c>
    </row>
    <row r="39" spans="2:30" x14ac:dyDescent="0.25">
      <c r="B39" t="s">
        <v>42</v>
      </c>
      <c r="C39" s="15">
        <v>42438</v>
      </c>
      <c r="D39" s="23">
        <v>0.30990740740740741</v>
      </c>
      <c r="E39" s="24" t="s">
        <v>43</v>
      </c>
      <c r="F39">
        <v>109.8</v>
      </c>
      <c r="G39">
        <v>134.19999999999999</v>
      </c>
      <c r="H39" t="s">
        <v>45</v>
      </c>
      <c r="I39">
        <v>4000001</v>
      </c>
      <c r="J39">
        <v>210</v>
      </c>
      <c r="K39">
        <v>6.4290000000000003</v>
      </c>
      <c r="L39">
        <v>501</v>
      </c>
      <c r="M39">
        <v>360</v>
      </c>
      <c r="N39">
        <v>654</v>
      </c>
      <c r="O39">
        <v>837</v>
      </c>
      <c r="P39" s="19">
        <v>784.09400000000005</v>
      </c>
      <c r="Q39" s="19">
        <v>18.704999999999998</v>
      </c>
      <c r="R39" s="21">
        <v>0.12279</v>
      </c>
      <c r="S39" s="21">
        <v>5.5550000000000002E-2</v>
      </c>
      <c r="T39" s="21">
        <v>8.7379999999999999E-2</v>
      </c>
      <c r="U39">
        <v>376</v>
      </c>
      <c r="V39">
        <v>270</v>
      </c>
      <c r="W39">
        <v>742</v>
      </c>
      <c r="X39">
        <v>837</v>
      </c>
      <c r="Y39" s="19">
        <v>792.40899999999999</v>
      </c>
      <c r="Z39" s="19">
        <v>13.83</v>
      </c>
      <c r="AA39" s="21">
        <v>6.0080000000000001E-2</v>
      </c>
      <c r="AB39" s="21">
        <v>3.3529999999999997E-2</v>
      </c>
      <c r="AC39" s="21">
        <v>4.1700000000000001E-2</v>
      </c>
      <c r="AD39" s="20">
        <v>57.840859330565578</v>
      </c>
    </row>
    <row r="40" spans="2:30" x14ac:dyDescent="0.25">
      <c r="B40" t="s">
        <v>42</v>
      </c>
      <c r="C40" s="15">
        <v>42439</v>
      </c>
      <c r="D40" s="23">
        <v>0.3066666666666667</v>
      </c>
      <c r="E40" s="24" t="s">
        <v>43</v>
      </c>
      <c r="F40">
        <v>109.8</v>
      </c>
      <c r="G40">
        <v>134.19999999999999</v>
      </c>
      <c r="H40" t="s">
        <v>45</v>
      </c>
      <c r="I40">
        <v>4000001</v>
      </c>
      <c r="J40">
        <v>209</v>
      </c>
      <c r="K40">
        <v>6.4290000000000003</v>
      </c>
      <c r="L40">
        <v>501</v>
      </c>
      <c r="M40">
        <v>360</v>
      </c>
      <c r="N40">
        <v>677</v>
      </c>
      <c r="O40">
        <v>841</v>
      </c>
      <c r="P40" s="19">
        <v>784.31200000000001</v>
      </c>
      <c r="Q40" s="19">
        <v>18.382000000000001</v>
      </c>
      <c r="R40" s="21">
        <v>0.10785</v>
      </c>
      <c r="S40" s="21">
        <v>4.9930000000000002E-2</v>
      </c>
      <c r="T40" s="21">
        <v>5.8930000000000003E-2</v>
      </c>
      <c r="U40">
        <v>376</v>
      </c>
      <c r="V40">
        <v>270</v>
      </c>
      <c r="W40">
        <v>738</v>
      </c>
      <c r="X40">
        <v>841</v>
      </c>
      <c r="Y40" s="19">
        <v>792.50099999999998</v>
      </c>
      <c r="Z40" s="19">
        <v>13.555999999999999</v>
      </c>
      <c r="AA40" s="21">
        <v>6.4899999999999999E-2</v>
      </c>
      <c r="AB40" s="21">
        <v>4.8550000000000003E-2</v>
      </c>
      <c r="AC40" s="21">
        <v>4.3560000000000001E-2</v>
      </c>
      <c r="AD40" s="20">
        <v>58.266043940950937</v>
      </c>
    </row>
    <row r="41" spans="2:30" x14ac:dyDescent="0.25">
      <c r="B41" t="s">
        <v>42</v>
      </c>
      <c r="C41" s="15">
        <v>42440</v>
      </c>
      <c r="D41" s="23">
        <v>0.32090277777777776</v>
      </c>
      <c r="E41" s="24" t="s">
        <v>43</v>
      </c>
      <c r="F41">
        <v>109.8</v>
      </c>
      <c r="G41">
        <v>134.19999999999999</v>
      </c>
      <c r="H41" t="s">
        <v>45</v>
      </c>
      <c r="I41">
        <v>4000001</v>
      </c>
      <c r="J41">
        <v>210</v>
      </c>
      <c r="K41">
        <v>6.4290000000000003</v>
      </c>
      <c r="L41">
        <v>501</v>
      </c>
      <c r="M41">
        <v>360</v>
      </c>
      <c r="N41">
        <v>706</v>
      </c>
      <c r="O41">
        <v>846</v>
      </c>
      <c r="P41" s="19">
        <v>785.05399999999997</v>
      </c>
      <c r="Q41" s="19">
        <v>18.681000000000001</v>
      </c>
      <c r="R41" s="21">
        <v>9.0630000000000002E-2</v>
      </c>
      <c r="S41" s="21">
        <v>4.8230000000000002E-2</v>
      </c>
      <c r="T41" s="21">
        <v>5.219E-2</v>
      </c>
      <c r="U41">
        <v>376</v>
      </c>
      <c r="V41">
        <v>270</v>
      </c>
      <c r="W41">
        <v>742</v>
      </c>
      <c r="X41">
        <v>846</v>
      </c>
      <c r="Y41" s="19">
        <v>793.06</v>
      </c>
      <c r="Z41" s="19">
        <v>14.757999999999999</v>
      </c>
      <c r="AA41" s="21">
        <v>6.5909999999999996E-2</v>
      </c>
      <c r="AB41" s="21">
        <v>3.7479999999999999E-2</v>
      </c>
      <c r="AC41" s="21">
        <v>4.487E-2</v>
      </c>
      <c r="AD41" s="20">
        <v>58.13669114690537</v>
      </c>
    </row>
    <row r="42" spans="2:30" x14ac:dyDescent="0.25">
      <c r="B42" t="s">
        <v>42</v>
      </c>
      <c r="C42" s="15">
        <v>42443</v>
      </c>
      <c r="D42" s="23">
        <v>0.31013888888888891</v>
      </c>
      <c r="E42" s="24" t="s">
        <v>43</v>
      </c>
      <c r="F42">
        <v>109.8</v>
      </c>
      <c r="G42">
        <v>134.19999999999999</v>
      </c>
      <c r="H42" t="s">
        <v>45</v>
      </c>
      <c r="I42">
        <v>4000001</v>
      </c>
      <c r="J42">
        <v>215</v>
      </c>
      <c r="K42">
        <v>6.4290000000000003</v>
      </c>
      <c r="L42">
        <v>501</v>
      </c>
      <c r="M42">
        <v>360</v>
      </c>
      <c r="N42">
        <v>699</v>
      </c>
      <c r="O42">
        <v>846</v>
      </c>
      <c r="P42" s="19">
        <v>784.37699999999995</v>
      </c>
      <c r="Q42" s="19">
        <v>19.111000000000001</v>
      </c>
      <c r="R42" s="21">
        <v>9.5740000000000006E-2</v>
      </c>
      <c r="S42" s="21">
        <v>4.4220000000000002E-2</v>
      </c>
      <c r="T42" s="21">
        <v>4.5240000000000002E-2</v>
      </c>
      <c r="U42">
        <v>376</v>
      </c>
      <c r="V42">
        <v>270</v>
      </c>
      <c r="W42">
        <v>741</v>
      </c>
      <c r="X42">
        <v>835</v>
      </c>
      <c r="Y42" s="19">
        <v>792.17700000000002</v>
      </c>
      <c r="Z42" s="19">
        <v>14.37</v>
      </c>
      <c r="AA42" s="21">
        <v>5.9479999999999998E-2</v>
      </c>
      <c r="AB42" s="21">
        <v>3.7260000000000001E-2</v>
      </c>
      <c r="AC42" s="21">
        <v>4.5240000000000002E-2</v>
      </c>
      <c r="AD42" s="20">
        <v>57.220876448144828</v>
      </c>
    </row>
    <row r="43" spans="2:30" x14ac:dyDescent="0.25">
      <c r="B43" t="s">
        <v>42</v>
      </c>
      <c r="C43" s="15">
        <v>42444</v>
      </c>
      <c r="D43" s="23">
        <v>0.29962962962962963</v>
      </c>
      <c r="E43" s="24" t="s">
        <v>43</v>
      </c>
      <c r="F43">
        <v>109.8</v>
      </c>
      <c r="G43">
        <v>134.19999999999999</v>
      </c>
      <c r="H43" t="s">
        <v>45</v>
      </c>
      <c r="I43">
        <v>4000001</v>
      </c>
      <c r="J43">
        <v>212</v>
      </c>
      <c r="K43">
        <v>6.4290000000000003</v>
      </c>
      <c r="L43">
        <v>501</v>
      </c>
      <c r="M43">
        <v>360</v>
      </c>
      <c r="N43">
        <v>695</v>
      </c>
      <c r="O43">
        <v>850</v>
      </c>
      <c r="P43" s="19">
        <v>784.678</v>
      </c>
      <c r="Q43" s="19">
        <v>19.228999999999999</v>
      </c>
      <c r="R43" s="21">
        <v>9.9949999999999997E-2</v>
      </c>
      <c r="S43" s="21">
        <v>3.9969999999999999E-2</v>
      </c>
      <c r="T43" s="21">
        <v>5.5939999999999997E-2</v>
      </c>
      <c r="U43">
        <v>376</v>
      </c>
      <c r="V43">
        <v>270</v>
      </c>
      <c r="W43">
        <v>749</v>
      </c>
      <c r="X43">
        <v>846</v>
      </c>
      <c r="Y43" s="19">
        <v>792.31799999999998</v>
      </c>
      <c r="Z43" s="19">
        <v>14.335000000000001</v>
      </c>
      <c r="AA43" s="21">
        <v>6.096E-2</v>
      </c>
      <c r="AB43" s="21">
        <v>3.7139999999999999E-2</v>
      </c>
      <c r="AC43" s="21">
        <v>4.4889999999999999E-2</v>
      </c>
      <c r="AD43" s="20">
        <v>58.178817708283354</v>
      </c>
    </row>
    <row r="44" spans="2:30" x14ac:dyDescent="0.25">
      <c r="B44" t="s">
        <v>42</v>
      </c>
      <c r="C44" s="15">
        <v>42445</v>
      </c>
      <c r="D44" s="23">
        <v>0.3102199074074074</v>
      </c>
      <c r="E44" s="24" t="s">
        <v>43</v>
      </c>
      <c r="F44">
        <v>109.8</v>
      </c>
      <c r="G44">
        <v>134.19999999999999</v>
      </c>
      <c r="H44" t="s">
        <v>45</v>
      </c>
      <c r="I44">
        <v>4000001</v>
      </c>
      <c r="J44">
        <v>213</v>
      </c>
      <c r="K44">
        <v>6.4290000000000003</v>
      </c>
      <c r="L44">
        <v>501</v>
      </c>
      <c r="M44">
        <v>360</v>
      </c>
      <c r="N44">
        <v>699</v>
      </c>
      <c r="O44">
        <v>846</v>
      </c>
      <c r="P44" s="19">
        <v>787.36400000000003</v>
      </c>
      <c r="Q44" s="19">
        <v>19.635999999999999</v>
      </c>
      <c r="R44" s="21">
        <v>9.5369999999999996E-2</v>
      </c>
      <c r="S44" s="21">
        <v>5.1700000000000003E-2</v>
      </c>
      <c r="T44" s="21">
        <v>6.0019999999999997E-2</v>
      </c>
      <c r="U44">
        <v>376</v>
      </c>
      <c r="V44">
        <v>270</v>
      </c>
      <c r="W44">
        <v>749</v>
      </c>
      <c r="X44">
        <v>846</v>
      </c>
      <c r="Y44" s="19">
        <v>795.72699999999998</v>
      </c>
      <c r="Z44" s="19">
        <v>14.19</v>
      </c>
      <c r="AA44" s="21">
        <v>6.0639999999999999E-2</v>
      </c>
      <c r="AB44" s="21">
        <v>3.916E-2</v>
      </c>
      <c r="AC44" s="21">
        <v>5.3179999999999998E-2</v>
      </c>
      <c r="AD44" s="20">
        <v>58.053570525401412</v>
      </c>
    </row>
    <row r="45" spans="2:30" x14ac:dyDescent="0.25">
      <c r="B45" t="s">
        <v>42</v>
      </c>
      <c r="C45" s="15">
        <v>42446</v>
      </c>
      <c r="D45" s="23">
        <v>0.30108796296296297</v>
      </c>
      <c r="E45" s="24" t="s">
        <v>43</v>
      </c>
      <c r="F45">
        <v>109.8</v>
      </c>
      <c r="G45">
        <v>134.19999999999999</v>
      </c>
      <c r="H45" t="s">
        <v>45</v>
      </c>
      <c r="I45">
        <v>4000001</v>
      </c>
      <c r="J45">
        <v>213</v>
      </c>
      <c r="K45">
        <v>6.4290000000000003</v>
      </c>
      <c r="L45">
        <v>501</v>
      </c>
      <c r="M45">
        <v>360</v>
      </c>
      <c r="N45">
        <v>672</v>
      </c>
      <c r="O45">
        <v>840</v>
      </c>
      <c r="P45" s="19">
        <v>784.59199999999998</v>
      </c>
      <c r="Q45" s="19">
        <v>19.100999999999999</v>
      </c>
      <c r="R45" s="21">
        <v>0.11104</v>
      </c>
      <c r="S45" s="21">
        <v>5.0599999999999999E-2</v>
      </c>
      <c r="T45" s="21">
        <v>6.13E-2</v>
      </c>
      <c r="U45">
        <v>376</v>
      </c>
      <c r="V45">
        <v>270</v>
      </c>
      <c r="W45">
        <v>742</v>
      </c>
      <c r="X45">
        <v>840</v>
      </c>
      <c r="Y45" s="19">
        <v>793.06399999999996</v>
      </c>
      <c r="Z45" s="19">
        <v>14.416</v>
      </c>
      <c r="AA45" s="21">
        <v>6.1789999999999998E-2</v>
      </c>
      <c r="AB45" s="21">
        <v>4.7199999999999999E-2</v>
      </c>
      <c r="AC45" s="21">
        <v>4.3929999999999997E-2</v>
      </c>
      <c r="AD45" s="20">
        <v>58.201841054343504</v>
      </c>
    </row>
    <row r="46" spans="2:30" x14ac:dyDescent="0.25">
      <c r="B46" t="s">
        <v>42</v>
      </c>
      <c r="C46" s="15">
        <v>42447</v>
      </c>
      <c r="D46" s="23">
        <v>0.33592592592592596</v>
      </c>
      <c r="E46" s="24" t="s">
        <v>43</v>
      </c>
      <c r="F46">
        <v>109.8</v>
      </c>
      <c r="G46">
        <v>134.19999999999999</v>
      </c>
      <c r="H46" t="s">
        <v>45</v>
      </c>
      <c r="I46">
        <v>4000001</v>
      </c>
      <c r="J46">
        <v>213</v>
      </c>
      <c r="K46">
        <v>6.4290000000000003</v>
      </c>
      <c r="L46">
        <v>501</v>
      </c>
      <c r="M46">
        <v>360</v>
      </c>
      <c r="N46">
        <v>683</v>
      </c>
      <c r="O46">
        <v>839</v>
      </c>
      <c r="P46" s="19">
        <v>784.78800000000001</v>
      </c>
      <c r="Q46" s="19">
        <v>17.829000000000001</v>
      </c>
      <c r="R46" s="21">
        <v>0.10236000000000001</v>
      </c>
      <c r="S46" s="21">
        <v>5.3690000000000002E-2</v>
      </c>
      <c r="T46" s="21">
        <v>6.6070000000000004E-2</v>
      </c>
      <c r="U46">
        <v>376</v>
      </c>
      <c r="V46">
        <v>270</v>
      </c>
      <c r="W46">
        <v>748</v>
      </c>
      <c r="X46">
        <v>833</v>
      </c>
      <c r="Y46" s="19">
        <v>792.80600000000004</v>
      </c>
      <c r="Z46" s="19">
        <v>13.125999999999999</v>
      </c>
      <c r="AA46" s="21">
        <v>5.364E-2</v>
      </c>
      <c r="AB46" s="21">
        <v>3.6290000000000003E-2</v>
      </c>
      <c r="AC46" s="21">
        <v>4.0489999999999998E-2</v>
      </c>
      <c r="AD46" s="20">
        <v>58.350490270583428</v>
      </c>
    </row>
    <row r="47" spans="2:30" x14ac:dyDescent="0.25">
      <c r="B47" t="s">
        <v>42</v>
      </c>
      <c r="C47" s="15">
        <v>42450</v>
      </c>
      <c r="D47" s="23">
        <v>0.30957175925925923</v>
      </c>
      <c r="E47" s="24" t="s">
        <v>43</v>
      </c>
      <c r="F47">
        <v>109.8</v>
      </c>
      <c r="G47">
        <v>134.19999999999999</v>
      </c>
      <c r="H47" t="s">
        <v>45</v>
      </c>
      <c r="I47">
        <v>4000001</v>
      </c>
      <c r="J47">
        <v>218</v>
      </c>
      <c r="K47">
        <v>6.4290000000000003</v>
      </c>
      <c r="L47">
        <v>501</v>
      </c>
      <c r="M47">
        <v>360</v>
      </c>
      <c r="N47">
        <v>704</v>
      </c>
      <c r="O47">
        <v>844</v>
      </c>
      <c r="P47" s="19">
        <v>784.54200000000003</v>
      </c>
      <c r="Q47" s="19">
        <v>18.271000000000001</v>
      </c>
      <c r="R47" s="21">
        <v>9.0579999999999994E-2</v>
      </c>
      <c r="S47" s="21">
        <v>5.2490000000000002E-2</v>
      </c>
      <c r="T47" s="21">
        <v>4.6240000000000003E-2</v>
      </c>
      <c r="U47">
        <v>376</v>
      </c>
      <c r="V47">
        <v>270</v>
      </c>
      <c r="W47">
        <v>750</v>
      </c>
      <c r="X47">
        <v>843</v>
      </c>
      <c r="Y47" s="19">
        <v>792.05</v>
      </c>
      <c r="Z47" s="19">
        <v>13.792999999999999</v>
      </c>
      <c r="AA47" s="21">
        <v>5.8590000000000003E-2</v>
      </c>
      <c r="AB47" s="21">
        <v>4.462E-2</v>
      </c>
      <c r="AC47" s="21">
        <v>4.2950000000000002E-2</v>
      </c>
      <c r="AD47" s="20">
        <v>57.450125238076033</v>
      </c>
    </row>
    <row r="48" spans="2:30" x14ac:dyDescent="0.25">
      <c r="B48" t="s">
        <v>42</v>
      </c>
      <c r="C48" s="15">
        <v>42451</v>
      </c>
      <c r="D48" s="23">
        <v>0.32269675925925928</v>
      </c>
      <c r="E48" s="24" t="s">
        <v>43</v>
      </c>
      <c r="F48">
        <v>109.8</v>
      </c>
      <c r="G48">
        <v>134.19999999999999</v>
      </c>
      <c r="H48" t="s">
        <v>45</v>
      </c>
      <c r="I48">
        <v>4000001</v>
      </c>
      <c r="J48">
        <v>216</v>
      </c>
      <c r="K48">
        <v>6.4290000000000003</v>
      </c>
      <c r="L48">
        <v>501</v>
      </c>
      <c r="M48">
        <v>360</v>
      </c>
      <c r="N48">
        <v>683</v>
      </c>
      <c r="O48">
        <v>840</v>
      </c>
      <c r="P48" s="19">
        <v>784.15599999999995</v>
      </c>
      <c r="Q48" s="19">
        <v>18.908999999999999</v>
      </c>
      <c r="R48" s="21">
        <v>0.10285999999999999</v>
      </c>
      <c r="S48" s="21">
        <v>5.3620000000000001E-2</v>
      </c>
      <c r="T48" s="21">
        <v>5.212E-2</v>
      </c>
      <c r="U48">
        <v>376</v>
      </c>
      <c r="V48">
        <v>270</v>
      </c>
      <c r="W48">
        <v>742</v>
      </c>
      <c r="X48">
        <v>832</v>
      </c>
      <c r="Y48" s="19">
        <v>792.25199999999995</v>
      </c>
      <c r="Z48" s="19">
        <v>13.659000000000001</v>
      </c>
      <c r="AA48" s="21">
        <v>5.7119999999999997E-2</v>
      </c>
      <c r="AB48" s="21">
        <v>3.8289999999999998E-2</v>
      </c>
      <c r="AC48" s="21">
        <v>3.875E-2</v>
      </c>
      <c r="AD48" s="20">
        <v>58.130158758777455</v>
      </c>
    </row>
    <row r="49" spans="2:30" x14ac:dyDescent="0.25">
      <c r="B49" t="s">
        <v>42</v>
      </c>
      <c r="C49" s="15">
        <v>42452</v>
      </c>
      <c r="D49" s="23">
        <v>0.29728009259259258</v>
      </c>
      <c r="E49" s="24" t="s">
        <v>43</v>
      </c>
      <c r="F49">
        <v>109.8</v>
      </c>
      <c r="G49">
        <v>134.19999999999999</v>
      </c>
      <c r="H49" t="s">
        <v>45</v>
      </c>
      <c r="I49">
        <v>4000001</v>
      </c>
      <c r="J49">
        <v>216</v>
      </c>
      <c r="K49">
        <v>6.4290000000000003</v>
      </c>
      <c r="L49">
        <v>501</v>
      </c>
      <c r="M49">
        <v>360</v>
      </c>
      <c r="N49">
        <v>691</v>
      </c>
      <c r="O49">
        <v>863</v>
      </c>
      <c r="P49" s="19">
        <v>785.69899999999996</v>
      </c>
      <c r="Q49" s="19">
        <v>18.718</v>
      </c>
      <c r="R49" s="21">
        <v>0.11074000000000001</v>
      </c>
      <c r="S49" s="21">
        <v>5.21E-2</v>
      </c>
      <c r="T49" s="21">
        <v>4.9200000000000001E-2</v>
      </c>
      <c r="U49">
        <v>376</v>
      </c>
      <c r="V49">
        <v>270</v>
      </c>
      <c r="W49">
        <v>751</v>
      </c>
      <c r="X49">
        <v>841</v>
      </c>
      <c r="Y49" s="19">
        <v>793.69500000000005</v>
      </c>
      <c r="Z49" s="19">
        <v>14.215</v>
      </c>
      <c r="AA49" s="21">
        <v>5.6009999999999997E-2</v>
      </c>
      <c r="AB49" s="21">
        <v>3.9570000000000001E-2</v>
      </c>
      <c r="AC49" s="21">
        <v>3.4459999999999998E-2</v>
      </c>
      <c r="AD49" s="20">
        <v>58.278624896323286</v>
      </c>
    </row>
    <row r="50" spans="2:30" x14ac:dyDescent="0.25">
      <c r="B50" t="s">
        <v>42</v>
      </c>
      <c r="C50" s="15">
        <v>42453</v>
      </c>
      <c r="D50" s="23">
        <v>0.31009259259259259</v>
      </c>
      <c r="E50" s="24" t="s">
        <v>43</v>
      </c>
      <c r="F50">
        <v>109.8</v>
      </c>
      <c r="G50">
        <v>134.19999999999999</v>
      </c>
      <c r="H50" t="s">
        <v>45</v>
      </c>
      <c r="I50">
        <v>4000001</v>
      </c>
      <c r="J50">
        <v>217</v>
      </c>
      <c r="K50">
        <v>6.4290000000000003</v>
      </c>
      <c r="L50">
        <v>501</v>
      </c>
      <c r="M50">
        <v>360</v>
      </c>
      <c r="N50">
        <v>702</v>
      </c>
      <c r="O50">
        <v>843</v>
      </c>
      <c r="P50" s="19">
        <v>784.72400000000005</v>
      </c>
      <c r="Q50" s="19">
        <v>18.262</v>
      </c>
      <c r="R50" s="21">
        <v>9.1149999999999995E-2</v>
      </c>
      <c r="S50" s="21">
        <v>3.7589999999999998E-2</v>
      </c>
      <c r="T50" s="21">
        <v>4.6890000000000001E-2</v>
      </c>
      <c r="U50">
        <v>376</v>
      </c>
      <c r="V50">
        <v>270</v>
      </c>
      <c r="W50">
        <v>748</v>
      </c>
      <c r="X50">
        <v>837</v>
      </c>
      <c r="Y50" s="19">
        <v>792.67700000000002</v>
      </c>
      <c r="Z50" s="19">
        <v>14.135999999999999</v>
      </c>
      <c r="AA50" s="21">
        <v>5.5980000000000002E-2</v>
      </c>
      <c r="AB50" s="21">
        <v>3.687E-2</v>
      </c>
      <c r="AC50" s="21">
        <v>3.8969999999999998E-2</v>
      </c>
      <c r="AD50" s="20">
        <v>58.158219205914911</v>
      </c>
    </row>
    <row r="51" spans="2:30" x14ac:dyDescent="0.25">
      <c r="B51" t="s">
        <v>42</v>
      </c>
      <c r="C51" s="15">
        <v>42458</v>
      </c>
      <c r="D51" s="23">
        <v>0.27247685185185183</v>
      </c>
      <c r="E51" s="24" t="s">
        <v>43</v>
      </c>
      <c r="F51">
        <v>109.8</v>
      </c>
      <c r="G51">
        <v>134.19999999999999</v>
      </c>
      <c r="H51" t="s">
        <v>45</v>
      </c>
      <c r="I51">
        <v>4000001</v>
      </c>
      <c r="J51">
        <v>223</v>
      </c>
      <c r="K51">
        <v>6.4290000000000003</v>
      </c>
      <c r="L51">
        <v>501</v>
      </c>
      <c r="M51">
        <v>360</v>
      </c>
      <c r="N51">
        <v>700</v>
      </c>
      <c r="O51">
        <v>888</v>
      </c>
      <c r="P51" s="19">
        <v>784.55799999999999</v>
      </c>
      <c r="Q51" s="19">
        <v>18.428000000000001</v>
      </c>
      <c r="R51" s="21">
        <v>0.11856999999999999</v>
      </c>
      <c r="S51" s="21">
        <v>5.738E-2</v>
      </c>
      <c r="T51" s="21">
        <v>6.4329999999999998E-2</v>
      </c>
      <c r="U51">
        <v>376</v>
      </c>
      <c r="V51">
        <v>270</v>
      </c>
      <c r="W51">
        <v>742</v>
      </c>
      <c r="X51">
        <v>832</v>
      </c>
      <c r="Y51" s="19">
        <v>792.37599999999998</v>
      </c>
      <c r="Z51" s="19">
        <v>13.682</v>
      </c>
      <c r="AA51" s="21">
        <v>5.6910000000000002E-2</v>
      </c>
      <c r="AB51" s="21">
        <v>4.138E-2</v>
      </c>
      <c r="AC51" s="21">
        <v>4.0079999999999998E-2</v>
      </c>
      <c r="AD51" s="20">
        <v>57.319831497009147</v>
      </c>
    </row>
    <row r="52" spans="2:30" x14ac:dyDescent="0.25">
      <c r="B52" t="s">
        <v>42</v>
      </c>
      <c r="C52" s="15">
        <v>42459</v>
      </c>
      <c r="D52" s="23">
        <v>0.31265046296296295</v>
      </c>
      <c r="E52" s="24" t="s">
        <v>43</v>
      </c>
      <c r="F52">
        <v>109.8</v>
      </c>
      <c r="G52">
        <v>134.19999999999999</v>
      </c>
      <c r="H52" t="s">
        <v>45</v>
      </c>
      <c r="I52">
        <v>4000001</v>
      </c>
      <c r="J52">
        <v>220</v>
      </c>
      <c r="K52">
        <v>6.4290000000000003</v>
      </c>
      <c r="L52">
        <v>501</v>
      </c>
      <c r="M52">
        <v>360</v>
      </c>
      <c r="N52">
        <v>695</v>
      </c>
      <c r="O52">
        <v>861</v>
      </c>
      <c r="P52" s="19">
        <v>785.524</v>
      </c>
      <c r="Q52" s="19">
        <v>19.321999999999999</v>
      </c>
      <c r="R52" s="21">
        <v>0.10677</v>
      </c>
      <c r="S52" s="21">
        <v>5.5300000000000002E-2</v>
      </c>
      <c r="T52" s="21">
        <v>6.2549999999999994E-2</v>
      </c>
      <c r="U52">
        <v>376</v>
      </c>
      <c r="V52">
        <v>270</v>
      </c>
      <c r="W52">
        <v>739</v>
      </c>
      <c r="X52">
        <v>849</v>
      </c>
      <c r="Y52" s="19">
        <v>793.33699999999999</v>
      </c>
      <c r="Z52" s="19">
        <v>13.956</v>
      </c>
      <c r="AA52" s="21">
        <v>6.9430000000000006E-2</v>
      </c>
      <c r="AB52" s="21">
        <v>3.8739999999999997E-2</v>
      </c>
      <c r="AC52" s="21">
        <v>3.6569999999999998E-2</v>
      </c>
      <c r="AD52" s="20">
        <v>58.24985841715587</v>
      </c>
    </row>
    <row r="53" spans="2:30" x14ac:dyDescent="0.25">
      <c r="B53" t="s">
        <v>42</v>
      </c>
      <c r="C53" s="15">
        <v>42460</v>
      </c>
      <c r="D53" s="23">
        <v>0.31414351851851852</v>
      </c>
      <c r="E53" s="24" t="s">
        <v>43</v>
      </c>
      <c r="F53">
        <v>109.8</v>
      </c>
      <c r="G53">
        <v>134.19999999999999</v>
      </c>
      <c r="H53" t="s">
        <v>45</v>
      </c>
      <c r="I53">
        <v>4000001</v>
      </c>
      <c r="J53">
        <v>221</v>
      </c>
      <c r="K53">
        <v>6.4290000000000003</v>
      </c>
      <c r="L53">
        <v>501</v>
      </c>
      <c r="M53">
        <v>360</v>
      </c>
      <c r="N53">
        <v>702</v>
      </c>
      <c r="O53">
        <v>843</v>
      </c>
      <c r="P53" s="19">
        <v>784.53700000000003</v>
      </c>
      <c r="Q53" s="19">
        <v>18.167000000000002</v>
      </c>
      <c r="R53" s="21">
        <v>9.0929999999999997E-2</v>
      </c>
      <c r="S53" s="21">
        <v>4.53E-2</v>
      </c>
      <c r="T53" s="21">
        <v>4.3249999999999997E-2</v>
      </c>
      <c r="U53">
        <v>376</v>
      </c>
      <c r="V53">
        <v>270</v>
      </c>
      <c r="W53">
        <v>730</v>
      </c>
      <c r="X53">
        <v>843</v>
      </c>
      <c r="Y53" s="19">
        <v>792.93700000000001</v>
      </c>
      <c r="Z53" s="19">
        <v>14.226000000000001</v>
      </c>
      <c r="AA53" s="21">
        <v>7.1580000000000005E-2</v>
      </c>
      <c r="AB53" s="21">
        <v>3.986E-2</v>
      </c>
      <c r="AC53" s="21">
        <v>4.1360000000000001E-2</v>
      </c>
      <c r="AD53" s="20">
        <v>58.134383075357576</v>
      </c>
    </row>
    <row r="54" spans="2:30" x14ac:dyDescent="0.25">
      <c r="B54" t="s">
        <v>42</v>
      </c>
      <c r="C54" s="15">
        <v>42461</v>
      </c>
      <c r="D54" s="23">
        <v>0.31224537037037037</v>
      </c>
      <c r="E54" s="24" t="s">
        <v>43</v>
      </c>
      <c r="F54">
        <v>109.8</v>
      </c>
      <c r="G54">
        <v>134.19999999999999</v>
      </c>
      <c r="H54" t="s">
        <v>45</v>
      </c>
      <c r="I54">
        <v>4000001</v>
      </c>
      <c r="J54">
        <v>220</v>
      </c>
      <c r="K54">
        <v>6.4290000000000003</v>
      </c>
      <c r="L54">
        <v>501</v>
      </c>
      <c r="M54">
        <v>360</v>
      </c>
      <c r="N54">
        <v>714</v>
      </c>
      <c r="O54">
        <v>852</v>
      </c>
      <c r="P54" s="19">
        <v>784.74099999999999</v>
      </c>
      <c r="Q54" s="19">
        <v>16.940000000000001</v>
      </c>
      <c r="R54" s="21">
        <v>8.7849999999999998E-2</v>
      </c>
      <c r="S54" s="21">
        <v>4.4089999999999997E-2</v>
      </c>
      <c r="T54" s="21">
        <v>4.3860000000000003E-2</v>
      </c>
      <c r="U54">
        <v>376</v>
      </c>
      <c r="V54">
        <v>270</v>
      </c>
      <c r="W54">
        <v>745</v>
      </c>
      <c r="X54">
        <v>843</v>
      </c>
      <c r="Y54" s="19">
        <v>791.32</v>
      </c>
      <c r="Z54" s="19">
        <v>13.315</v>
      </c>
      <c r="AA54" s="21">
        <v>6.1490000000000003E-2</v>
      </c>
      <c r="AB54" s="21">
        <v>3.9649999999999998E-2</v>
      </c>
      <c r="AC54" s="21">
        <v>3.7339999999999998E-2</v>
      </c>
      <c r="AD54" s="20">
        <v>58.547782092850234</v>
      </c>
    </row>
    <row r="55" spans="2:30" x14ac:dyDescent="0.25">
      <c r="B55" t="s">
        <v>42</v>
      </c>
      <c r="C55" s="15">
        <v>42464</v>
      </c>
      <c r="D55" s="23">
        <v>0.30973379629629633</v>
      </c>
      <c r="E55" s="24" t="s">
        <v>43</v>
      </c>
      <c r="F55">
        <v>109.8</v>
      </c>
      <c r="G55">
        <v>134.19999999999999</v>
      </c>
      <c r="H55" t="s">
        <v>45</v>
      </c>
      <c r="I55">
        <v>4000001</v>
      </c>
      <c r="J55">
        <v>225</v>
      </c>
      <c r="K55">
        <v>6.4290000000000003</v>
      </c>
      <c r="L55">
        <v>501</v>
      </c>
      <c r="M55">
        <v>360</v>
      </c>
      <c r="N55">
        <v>690</v>
      </c>
      <c r="O55">
        <v>866</v>
      </c>
      <c r="P55" s="19">
        <v>784.65200000000004</v>
      </c>
      <c r="Q55" s="19">
        <v>18.347000000000001</v>
      </c>
      <c r="R55" s="21">
        <v>0.11309</v>
      </c>
      <c r="S55" s="21">
        <v>4.9360000000000001E-2</v>
      </c>
      <c r="T55" s="21">
        <v>5.9060000000000001E-2</v>
      </c>
      <c r="U55">
        <v>376</v>
      </c>
      <c r="V55">
        <v>270</v>
      </c>
      <c r="W55">
        <v>747</v>
      </c>
      <c r="X55">
        <v>843</v>
      </c>
      <c r="Y55" s="19">
        <v>792.25</v>
      </c>
      <c r="Z55" s="19">
        <v>13.803000000000001</v>
      </c>
      <c r="AA55" s="21">
        <v>6.0539999999999997E-2</v>
      </c>
      <c r="AB55" s="21">
        <v>4.1099999999999998E-2</v>
      </c>
      <c r="AC55" s="21">
        <v>3.8649999999999997E-2</v>
      </c>
      <c r="AD55" s="20">
        <v>57.686470923648201</v>
      </c>
    </row>
    <row r="56" spans="2:30" x14ac:dyDescent="0.25">
      <c r="B56" t="s">
        <v>42</v>
      </c>
      <c r="C56" s="15">
        <v>42465</v>
      </c>
      <c r="D56" s="23">
        <v>0.30236111111111114</v>
      </c>
      <c r="E56" s="24" t="s">
        <v>43</v>
      </c>
      <c r="F56">
        <v>109.8</v>
      </c>
      <c r="G56">
        <v>134.19999999999999</v>
      </c>
      <c r="H56" t="s">
        <v>45</v>
      </c>
      <c r="I56">
        <v>4000001</v>
      </c>
      <c r="J56">
        <v>223</v>
      </c>
      <c r="K56">
        <v>6.4290000000000003</v>
      </c>
      <c r="L56">
        <v>501</v>
      </c>
      <c r="M56">
        <v>360</v>
      </c>
      <c r="N56">
        <v>708</v>
      </c>
      <c r="O56">
        <v>840</v>
      </c>
      <c r="P56" s="19">
        <v>784.75599999999997</v>
      </c>
      <c r="Q56" s="19">
        <v>18.114999999999998</v>
      </c>
      <c r="R56" s="21">
        <v>8.4760000000000002E-2</v>
      </c>
      <c r="S56" s="21">
        <v>4.9369999999999997E-2</v>
      </c>
      <c r="T56" s="21">
        <v>4.691E-2</v>
      </c>
      <c r="U56">
        <v>376</v>
      </c>
      <c r="V56">
        <v>270</v>
      </c>
      <c r="W56">
        <v>733</v>
      </c>
      <c r="X56">
        <v>832</v>
      </c>
      <c r="Y56" s="19">
        <v>791.81500000000005</v>
      </c>
      <c r="Z56" s="19">
        <v>13.967000000000001</v>
      </c>
      <c r="AA56" s="21">
        <v>6.3600000000000004E-2</v>
      </c>
      <c r="AB56" s="21">
        <v>4.5929999999999999E-2</v>
      </c>
      <c r="AC56" s="21">
        <v>4.691E-2</v>
      </c>
      <c r="AD56" s="20">
        <v>58.352492693336195</v>
      </c>
    </row>
    <row r="57" spans="2:30" x14ac:dyDescent="0.25">
      <c r="B57" t="s">
        <v>42</v>
      </c>
      <c r="C57" s="15">
        <v>42466</v>
      </c>
      <c r="D57" s="23">
        <v>0.3036921296296296</v>
      </c>
      <c r="E57" s="24" t="s">
        <v>43</v>
      </c>
      <c r="F57">
        <v>109.8</v>
      </c>
      <c r="G57">
        <v>134.19999999999999</v>
      </c>
      <c r="H57" t="s">
        <v>45</v>
      </c>
      <c r="I57">
        <v>4000001</v>
      </c>
      <c r="J57">
        <v>223</v>
      </c>
      <c r="K57">
        <v>6.4290000000000003</v>
      </c>
      <c r="L57">
        <v>501</v>
      </c>
      <c r="M57">
        <v>360</v>
      </c>
      <c r="N57">
        <v>675</v>
      </c>
      <c r="O57">
        <v>835</v>
      </c>
      <c r="P57" s="19">
        <v>784.49199999999996</v>
      </c>
      <c r="Q57" s="19">
        <v>17.747</v>
      </c>
      <c r="R57" s="21">
        <v>0.10606</v>
      </c>
      <c r="S57" s="21">
        <v>6.1920000000000003E-2</v>
      </c>
      <c r="T57" s="21">
        <v>4.759E-2</v>
      </c>
      <c r="U57">
        <v>376</v>
      </c>
      <c r="V57">
        <v>270</v>
      </c>
      <c r="W57">
        <v>748</v>
      </c>
      <c r="X57">
        <v>835</v>
      </c>
      <c r="Y57" s="19">
        <v>792.24199999999996</v>
      </c>
      <c r="Z57" s="19">
        <v>13.032</v>
      </c>
      <c r="AA57" s="21">
        <v>5.5570000000000001E-2</v>
      </c>
      <c r="AB57" s="21">
        <v>3.5860000000000003E-2</v>
      </c>
      <c r="AC57" s="21">
        <v>4.1820000000000003E-2</v>
      </c>
      <c r="AD57" s="20">
        <v>58.501526678299165</v>
      </c>
    </row>
    <row r="58" spans="2:30" x14ac:dyDescent="0.25">
      <c r="B58" t="s">
        <v>42</v>
      </c>
      <c r="C58" s="15">
        <v>42467</v>
      </c>
      <c r="D58" s="23">
        <v>0.3193287037037037</v>
      </c>
      <c r="E58" s="24" t="s">
        <v>43</v>
      </c>
      <c r="F58">
        <v>109.8</v>
      </c>
      <c r="G58">
        <v>134.19999999999999</v>
      </c>
      <c r="H58" t="s">
        <v>45</v>
      </c>
      <c r="I58">
        <v>4000001</v>
      </c>
      <c r="J58">
        <v>224</v>
      </c>
      <c r="K58">
        <v>6.4290000000000003</v>
      </c>
      <c r="L58">
        <v>501</v>
      </c>
      <c r="M58">
        <v>360</v>
      </c>
      <c r="N58">
        <v>704</v>
      </c>
      <c r="O58">
        <v>851</v>
      </c>
      <c r="P58" s="19">
        <v>786.33600000000001</v>
      </c>
      <c r="Q58" s="19">
        <v>19.042999999999999</v>
      </c>
      <c r="R58" s="21">
        <v>9.443E-2</v>
      </c>
      <c r="S58" s="21">
        <v>4.428E-2</v>
      </c>
      <c r="T58" s="21">
        <v>6.1310000000000003E-2</v>
      </c>
      <c r="U58">
        <v>376</v>
      </c>
      <c r="V58">
        <v>270</v>
      </c>
      <c r="W58">
        <v>746</v>
      </c>
      <c r="X58">
        <v>848</v>
      </c>
      <c r="Y58" s="19">
        <v>794.83600000000001</v>
      </c>
      <c r="Z58" s="19">
        <v>14.359</v>
      </c>
      <c r="AA58" s="21">
        <v>6.4060000000000006E-2</v>
      </c>
      <c r="AB58" s="21">
        <v>3.49E-2</v>
      </c>
      <c r="AC58" s="21">
        <v>4.0120000000000003E-2</v>
      </c>
      <c r="AD58" s="20">
        <v>58.38910674107214</v>
      </c>
    </row>
    <row r="59" spans="2:30" x14ac:dyDescent="0.25">
      <c r="B59" t="s">
        <v>42</v>
      </c>
      <c r="C59" s="15">
        <v>42468</v>
      </c>
      <c r="D59" s="23">
        <v>0.31094907407407407</v>
      </c>
      <c r="E59" s="24" t="s">
        <v>43</v>
      </c>
      <c r="F59">
        <v>109.8</v>
      </c>
      <c r="G59">
        <v>134.19999999999999</v>
      </c>
      <c r="H59" t="s">
        <v>45</v>
      </c>
      <c r="I59">
        <v>4000001</v>
      </c>
      <c r="J59">
        <v>224</v>
      </c>
      <c r="K59">
        <v>6.4290000000000003</v>
      </c>
      <c r="L59">
        <v>501</v>
      </c>
      <c r="M59">
        <v>360</v>
      </c>
      <c r="N59">
        <v>703</v>
      </c>
      <c r="O59">
        <v>844</v>
      </c>
      <c r="P59" s="19">
        <v>785.24800000000005</v>
      </c>
      <c r="Q59" s="19">
        <v>18.466000000000001</v>
      </c>
      <c r="R59" s="21">
        <v>9.103E-2</v>
      </c>
      <c r="S59" s="21">
        <v>5.1119999999999999E-2</v>
      </c>
      <c r="T59" s="21">
        <v>5.1749999999999997E-2</v>
      </c>
      <c r="U59">
        <v>376</v>
      </c>
      <c r="V59">
        <v>270</v>
      </c>
      <c r="W59">
        <v>726</v>
      </c>
      <c r="X59">
        <v>834</v>
      </c>
      <c r="Y59" s="19">
        <v>792.90200000000004</v>
      </c>
      <c r="Z59" s="19">
        <v>13.875999999999999</v>
      </c>
      <c r="AA59" s="21">
        <v>6.9260000000000002E-2</v>
      </c>
      <c r="AB59" s="21">
        <v>4.7870000000000003E-2</v>
      </c>
      <c r="AC59" s="21">
        <v>4.0800000000000003E-2</v>
      </c>
      <c r="AD59" s="20">
        <v>58.538234239391414</v>
      </c>
    </row>
    <row r="60" spans="2:30" x14ac:dyDescent="0.25">
      <c r="B60" t="s">
        <v>42</v>
      </c>
      <c r="C60" s="15">
        <v>42471</v>
      </c>
      <c r="D60" s="23">
        <v>0.30965277777777778</v>
      </c>
      <c r="E60" s="24" t="s">
        <v>43</v>
      </c>
      <c r="F60">
        <v>109.8</v>
      </c>
      <c r="G60">
        <v>134.19999999999999</v>
      </c>
      <c r="H60" t="s">
        <v>45</v>
      </c>
      <c r="I60">
        <v>4000001</v>
      </c>
      <c r="J60">
        <v>229</v>
      </c>
      <c r="K60">
        <v>6.4290000000000003</v>
      </c>
      <c r="L60">
        <v>501</v>
      </c>
      <c r="M60">
        <v>360</v>
      </c>
      <c r="N60">
        <v>685</v>
      </c>
      <c r="O60">
        <v>836</v>
      </c>
      <c r="P60" s="19">
        <v>785.42600000000004</v>
      </c>
      <c r="Q60" s="19">
        <v>18.309000000000001</v>
      </c>
      <c r="R60" s="21">
        <v>9.8900000000000002E-2</v>
      </c>
      <c r="S60" s="21">
        <v>5.9679999999999997E-2</v>
      </c>
      <c r="T60" s="21">
        <v>5.4489999999999997E-2</v>
      </c>
      <c r="U60">
        <v>376</v>
      </c>
      <c r="V60">
        <v>270</v>
      </c>
      <c r="W60">
        <v>743</v>
      </c>
      <c r="X60">
        <v>836</v>
      </c>
      <c r="Y60" s="19">
        <v>793.42600000000004</v>
      </c>
      <c r="Z60" s="19">
        <v>14.212999999999999</v>
      </c>
      <c r="AA60" s="21">
        <v>5.892E-2</v>
      </c>
      <c r="AB60" s="21">
        <v>4.0730000000000002E-2</v>
      </c>
      <c r="AC60" s="21">
        <v>4.5069999999999999E-2</v>
      </c>
      <c r="AD60" s="20">
        <v>57.699960340725511</v>
      </c>
    </row>
    <row r="61" spans="2:30" x14ac:dyDescent="0.25">
      <c r="B61" t="s">
        <v>42</v>
      </c>
      <c r="C61" s="15">
        <v>42472</v>
      </c>
      <c r="D61" s="23">
        <v>0.30201388888888886</v>
      </c>
      <c r="E61" s="24" t="s">
        <v>43</v>
      </c>
      <c r="F61">
        <v>109.8</v>
      </c>
      <c r="G61">
        <v>134.19999999999999</v>
      </c>
      <c r="H61" t="s">
        <v>45</v>
      </c>
      <c r="I61">
        <v>4000001</v>
      </c>
      <c r="J61">
        <v>227</v>
      </c>
      <c r="K61">
        <v>6.4290000000000003</v>
      </c>
      <c r="L61">
        <v>501</v>
      </c>
      <c r="M61">
        <v>360</v>
      </c>
      <c r="N61">
        <v>699</v>
      </c>
      <c r="O61">
        <v>837</v>
      </c>
      <c r="P61" s="19">
        <v>784.923</v>
      </c>
      <c r="Q61" s="19">
        <v>17.715</v>
      </c>
      <c r="R61" s="21">
        <v>8.9789999999999995E-2</v>
      </c>
      <c r="S61" s="21">
        <v>6.0420000000000001E-2</v>
      </c>
      <c r="T61" s="21">
        <v>5.5669999999999997E-2</v>
      </c>
      <c r="U61">
        <v>376</v>
      </c>
      <c r="V61">
        <v>270</v>
      </c>
      <c r="W61">
        <v>746</v>
      </c>
      <c r="X61">
        <v>837</v>
      </c>
      <c r="Y61" s="19">
        <v>792.78300000000002</v>
      </c>
      <c r="Z61" s="19">
        <v>13.311</v>
      </c>
      <c r="AA61" s="21">
        <v>5.7200000000000001E-2</v>
      </c>
      <c r="AB61" s="21">
        <v>3.8350000000000002E-2</v>
      </c>
      <c r="AC61" s="21">
        <v>4.258E-2</v>
      </c>
      <c r="AD61" s="20">
        <v>58.356995824646013</v>
      </c>
    </row>
    <row r="62" spans="2:30" x14ac:dyDescent="0.25">
      <c r="B62" t="s">
        <v>42</v>
      </c>
      <c r="C62" s="15">
        <v>42473</v>
      </c>
      <c r="D62" s="23">
        <v>0.31612268518518521</v>
      </c>
      <c r="E62" s="24" t="s">
        <v>43</v>
      </c>
      <c r="F62">
        <v>109.8</v>
      </c>
      <c r="G62">
        <v>134.19999999999999</v>
      </c>
      <c r="H62" t="s">
        <v>45</v>
      </c>
      <c r="I62">
        <v>4000001</v>
      </c>
      <c r="J62">
        <v>227</v>
      </c>
      <c r="K62">
        <v>6.4290000000000003</v>
      </c>
      <c r="L62">
        <v>501</v>
      </c>
      <c r="M62">
        <v>360</v>
      </c>
      <c r="N62">
        <v>674</v>
      </c>
      <c r="O62">
        <v>840</v>
      </c>
      <c r="P62" s="19">
        <v>785.86300000000006</v>
      </c>
      <c r="Q62" s="19">
        <v>17.887</v>
      </c>
      <c r="R62" s="21">
        <v>0.10979</v>
      </c>
      <c r="S62" s="21">
        <v>5.6340000000000001E-2</v>
      </c>
      <c r="T62" s="21">
        <v>6.6790000000000002E-2</v>
      </c>
      <c r="U62">
        <v>376</v>
      </c>
      <c r="V62">
        <v>270</v>
      </c>
      <c r="W62">
        <v>730</v>
      </c>
      <c r="X62">
        <v>840</v>
      </c>
      <c r="Y62" s="19">
        <v>793.56899999999996</v>
      </c>
      <c r="Z62" s="19">
        <v>14.525</v>
      </c>
      <c r="AA62" s="21">
        <v>6.9930000000000006E-2</v>
      </c>
      <c r="AB62" s="21">
        <v>4.2290000000000001E-2</v>
      </c>
      <c r="AC62" s="21">
        <v>3.6769999999999997E-2</v>
      </c>
      <c r="AD62" s="20">
        <v>58.506041310738979</v>
      </c>
    </row>
    <row r="63" spans="2:30" x14ac:dyDescent="0.25">
      <c r="B63" t="s">
        <v>42</v>
      </c>
      <c r="C63" s="15">
        <v>42474</v>
      </c>
      <c r="D63" s="23">
        <v>0.31042824074074077</v>
      </c>
      <c r="E63" s="24" t="s">
        <v>43</v>
      </c>
      <c r="F63">
        <v>109.8</v>
      </c>
      <c r="G63">
        <v>134.19999999999999</v>
      </c>
      <c r="H63" t="s">
        <v>45</v>
      </c>
      <c r="I63">
        <v>4000001</v>
      </c>
      <c r="J63">
        <v>228</v>
      </c>
      <c r="K63">
        <v>6.4290000000000003</v>
      </c>
      <c r="L63">
        <v>501</v>
      </c>
      <c r="M63">
        <v>360</v>
      </c>
      <c r="N63">
        <v>707</v>
      </c>
      <c r="O63">
        <v>845</v>
      </c>
      <c r="P63" s="19">
        <v>788.85699999999997</v>
      </c>
      <c r="Q63" s="19">
        <v>18.541</v>
      </c>
      <c r="R63" s="21">
        <v>8.9109999999999995E-2</v>
      </c>
      <c r="S63" s="21">
        <v>4.9110000000000001E-2</v>
      </c>
      <c r="T63" s="21">
        <v>4.437E-2</v>
      </c>
      <c r="U63">
        <v>376</v>
      </c>
      <c r="V63">
        <v>270</v>
      </c>
      <c r="W63">
        <v>735</v>
      </c>
      <c r="X63">
        <v>845</v>
      </c>
      <c r="Y63" s="19">
        <v>797.15800000000002</v>
      </c>
      <c r="Z63" s="19">
        <v>14.86</v>
      </c>
      <c r="AA63" s="21">
        <v>6.9260000000000002E-2</v>
      </c>
      <c r="AB63" s="21">
        <v>4.9110000000000001E-2</v>
      </c>
      <c r="AC63" s="21">
        <v>4.3569999999999998E-2</v>
      </c>
      <c r="AD63" s="20">
        <v>58.398206641185318</v>
      </c>
    </row>
    <row r="64" spans="2:30" x14ac:dyDescent="0.25">
      <c r="B64" t="s">
        <v>42</v>
      </c>
      <c r="C64" s="15">
        <v>42475</v>
      </c>
      <c r="D64" s="23">
        <v>0.33841435185185187</v>
      </c>
      <c r="E64" s="24" t="s">
        <v>43</v>
      </c>
      <c r="F64">
        <v>109.8</v>
      </c>
      <c r="G64">
        <v>134.19999999999999</v>
      </c>
      <c r="H64" t="s">
        <v>45</v>
      </c>
      <c r="I64">
        <v>4000001</v>
      </c>
      <c r="J64">
        <v>228</v>
      </c>
      <c r="K64">
        <v>6.4290000000000003</v>
      </c>
      <c r="L64">
        <v>501</v>
      </c>
      <c r="M64">
        <v>360</v>
      </c>
      <c r="N64">
        <v>696</v>
      </c>
      <c r="O64">
        <v>833</v>
      </c>
      <c r="P64" s="19">
        <v>784.45100000000002</v>
      </c>
      <c r="Q64" s="19">
        <v>18.324000000000002</v>
      </c>
      <c r="R64" s="21">
        <v>8.9569999999999997E-2</v>
      </c>
      <c r="S64" s="21">
        <v>4.0739999999999998E-2</v>
      </c>
      <c r="T64" s="21">
        <v>5.0410000000000003E-2</v>
      </c>
      <c r="U64">
        <v>376</v>
      </c>
      <c r="V64">
        <v>270</v>
      </c>
      <c r="W64">
        <v>743</v>
      </c>
      <c r="X64">
        <v>833</v>
      </c>
      <c r="Y64" s="19">
        <v>792.62400000000002</v>
      </c>
      <c r="Z64" s="19">
        <v>13.936</v>
      </c>
      <c r="AA64" s="21">
        <v>5.7020000000000001E-2</v>
      </c>
      <c r="AB64" s="21">
        <v>4.0480000000000002E-2</v>
      </c>
      <c r="AC64" s="21">
        <v>4.6309999999999997E-2</v>
      </c>
      <c r="AD64" s="20">
        <v>58.547357380917497</v>
      </c>
    </row>
    <row r="65" spans="2:30" x14ac:dyDescent="0.25">
      <c r="B65" t="s">
        <v>42</v>
      </c>
      <c r="C65" s="15">
        <v>42478</v>
      </c>
      <c r="D65" s="23">
        <v>0.31552083333333331</v>
      </c>
      <c r="E65" s="24" t="s">
        <v>43</v>
      </c>
      <c r="F65">
        <v>109.8</v>
      </c>
      <c r="G65">
        <v>134.19999999999999</v>
      </c>
      <c r="H65" t="s">
        <v>45</v>
      </c>
      <c r="I65">
        <v>4000001</v>
      </c>
      <c r="J65">
        <v>232</v>
      </c>
      <c r="K65">
        <v>6.4290000000000003</v>
      </c>
      <c r="L65">
        <v>501</v>
      </c>
      <c r="M65">
        <v>360</v>
      </c>
      <c r="N65">
        <v>696</v>
      </c>
      <c r="O65">
        <v>841</v>
      </c>
      <c r="P65" s="19">
        <v>784.50300000000004</v>
      </c>
      <c r="Q65" s="19">
        <v>18.745000000000001</v>
      </c>
      <c r="R65" s="21">
        <v>9.443E-2</v>
      </c>
      <c r="S65" s="21">
        <v>4.8719999999999999E-2</v>
      </c>
      <c r="T65" s="21">
        <v>4.437E-2</v>
      </c>
      <c r="U65">
        <v>376</v>
      </c>
      <c r="V65">
        <v>270</v>
      </c>
      <c r="W65">
        <v>742</v>
      </c>
      <c r="X65">
        <v>837</v>
      </c>
      <c r="Y65" s="19">
        <v>792.73900000000003</v>
      </c>
      <c r="Z65" s="19">
        <v>14.285</v>
      </c>
      <c r="AA65" s="21">
        <v>6.0179999999999997E-2</v>
      </c>
      <c r="AB65" s="21">
        <v>3.6290000000000003E-2</v>
      </c>
      <c r="AC65" s="21">
        <v>4.02E-2</v>
      </c>
      <c r="AD65" s="20">
        <v>57.979907742665972</v>
      </c>
    </row>
    <row r="66" spans="2:30" x14ac:dyDescent="0.25">
      <c r="B66" t="s">
        <v>42</v>
      </c>
      <c r="C66" s="15">
        <v>42479</v>
      </c>
      <c r="D66" s="23">
        <v>0.31135416666666665</v>
      </c>
      <c r="E66" s="24" t="s">
        <v>43</v>
      </c>
      <c r="F66">
        <v>109.8</v>
      </c>
      <c r="G66">
        <v>134.19999999999999</v>
      </c>
      <c r="H66" t="s">
        <v>45</v>
      </c>
      <c r="I66">
        <v>4000001</v>
      </c>
      <c r="J66">
        <v>230</v>
      </c>
      <c r="K66">
        <v>6.4290000000000003</v>
      </c>
      <c r="L66">
        <v>501</v>
      </c>
      <c r="M66">
        <v>360</v>
      </c>
      <c r="N66">
        <v>699</v>
      </c>
      <c r="O66">
        <v>851</v>
      </c>
      <c r="P66" s="19">
        <v>784.73599999999999</v>
      </c>
      <c r="Q66" s="19">
        <v>17.175000000000001</v>
      </c>
      <c r="R66" s="21">
        <v>9.8229999999999998E-2</v>
      </c>
      <c r="S66" s="21">
        <v>4.8919999999999998E-2</v>
      </c>
      <c r="T66" s="21">
        <v>6.2570000000000001E-2</v>
      </c>
      <c r="U66">
        <v>376</v>
      </c>
      <c r="V66">
        <v>270</v>
      </c>
      <c r="W66">
        <v>748</v>
      </c>
      <c r="X66">
        <v>835</v>
      </c>
      <c r="Y66" s="19">
        <v>792.40200000000004</v>
      </c>
      <c r="Z66" s="19">
        <v>13.071999999999999</v>
      </c>
      <c r="AA66" s="21">
        <v>5.4919999999999997E-2</v>
      </c>
      <c r="AB66" s="21">
        <v>4.1399999999999999E-2</v>
      </c>
      <c r="AC66" s="21">
        <v>3.7580000000000002E-2</v>
      </c>
      <c r="AD66" s="20">
        <v>58.633450918471318</v>
      </c>
    </row>
    <row r="67" spans="2:30" x14ac:dyDescent="0.25">
      <c r="B67" t="s">
        <v>42</v>
      </c>
      <c r="C67" s="15">
        <v>42480</v>
      </c>
      <c r="D67" s="23">
        <v>0.30206018518518518</v>
      </c>
      <c r="E67" s="24" t="s">
        <v>43</v>
      </c>
      <c r="F67">
        <v>109.8</v>
      </c>
      <c r="G67">
        <v>134.19999999999999</v>
      </c>
      <c r="H67" t="s">
        <v>45</v>
      </c>
      <c r="I67">
        <v>4000001</v>
      </c>
      <c r="J67">
        <v>230</v>
      </c>
      <c r="K67">
        <v>6.4290000000000003</v>
      </c>
      <c r="L67">
        <v>501</v>
      </c>
      <c r="M67">
        <v>360</v>
      </c>
      <c r="N67">
        <v>655</v>
      </c>
      <c r="O67">
        <v>843</v>
      </c>
      <c r="P67" s="19">
        <v>784.30399999999997</v>
      </c>
      <c r="Q67" s="19">
        <v>17.734999999999999</v>
      </c>
      <c r="R67" s="21">
        <v>0.12608</v>
      </c>
      <c r="S67" s="21">
        <v>5.2690000000000001E-2</v>
      </c>
      <c r="T67" s="21">
        <v>7.5039999999999996E-2</v>
      </c>
      <c r="U67">
        <v>376</v>
      </c>
      <c r="V67">
        <v>270</v>
      </c>
      <c r="W67">
        <v>738</v>
      </c>
      <c r="X67">
        <v>843</v>
      </c>
      <c r="Y67" s="19">
        <v>792.01499999999999</v>
      </c>
      <c r="Z67" s="19">
        <v>13.141999999999999</v>
      </c>
      <c r="AA67" s="21">
        <v>6.6699999999999995E-2</v>
      </c>
      <c r="AB67" s="21">
        <v>4.3069999999999997E-2</v>
      </c>
      <c r="AC67" s="21">
        <v>4.2360000000000002E-2</v>
      </c>
      <c r="AD67" s="20">
        <v>58.783202479016211</v>
      </c>
    </row>
    <row r="68" spans="2:30" x14ac:dyDescent="0.25">
      <c r="B68" t="s">
        <v>42</v>
      </c>
      <c r="C68" s="15">
        <v>42481</v>
      </c>
      <c r="D68" s="23">
        <v>0.33380787037037035</v>
      </c>
      <c r="E68" s="24" t="s">
        <v>43</v>
      </c>
      <c r="F68">
        <v>109.8</v>
      </c>
      <c r="G68">
        <v>134.19999999999999</v>
      </c>
      <c r="H68" t="s">
        <v>45</v>
      </c>
      <c r="I68">
        <v>4000001</v>
      </c>
      <c r="J68">
        <v>231</v>
      </c>
      <c r="K68">
        <v>6.4290000000000003</v>
      </c>
      <c r="L68">
        <v>501</v>
      </c>
      <c r="M68">
        <v>360</v>
      </c>
      <c r="N68">
        <v>684</v>
      </c>
      <c r="O68">
        <v>851</v>
      </c>
      <c r="P68" s="19">
        <v>784.09900000000005</v>
      </c>
      <c r="Q68" s="19">
        <v>18.933</v>
      </c>
      <c r="R68" s="21">
        <v>0.10904</v>
      </c>
      <c r="S68" s="21">
        <v>5.0979999999999998E-2</v>
      </c>
      <c r="T68" s="21">
        <v>5.2010000000000001E-2</v>
      </c>
      <c r="U68">
        <v>376</v>
      </c>
      <c r="V68">
        <v>270</v>
      </c>
      <c r="W68">
        <v>743</v>
      </c>
      <c r="X68">
        <v>844</v>
      </c>
      <c r="Y68" s="19">
        <v>791.84</v>
      </c>
      <c r="Z68" s="19">
        <v>14.340999999999999</v>
      </c>
      <c r="AA68" s="21">
        <v>6.3509999999999997E-2</v>
      </c>
      <c r="AB68" s="21">
        <v>4.4589999999999998E-2</v>
      </c>
      <c r="AC68" s="21">
        <v>3.6549999999999999E-2</v>
      </c>
      <c r="AD68" s="20">
        <v>58.678213840585151</v>
      </c>
    </row>
    <row r="69" spans="2:30" x14ac:dyDescent="0.25">
      <c r="B69" t="s">
        <v>42</v>
      </c>
      <c r="C69" s="15">
        <v>42482</v>
      </c>
      <c r="D69" s="23">
        <v>0.32026620370370368</v>
      </c>
      <c r="E69" s="24" t="s">
        <v>43</v>
      </c>
      <c r="F69">
        <v>109.8</v>
      </c>
      <c r="G69">
        <v>134.19999999999999</v>
      </c>
      <c r="H69" t="s">
        <v>45</v>
      </c>
      <c r="I69">
        <v>4000001</v>
      </c>
      <c r="J69">
        <v>231</v>
      </c>
      <c r="K69">
        <v>6.4290000000000003</v>
      </c>
      <c r="L69">
        <v>501</v>
      </c>
      <c r="M69">
        <v>360</v>
      </c>
      <c r="N69">
        <v>679</v>
      </c>
      <c r="O69">
        <v>835</v>
      </c>
      <c r="P69" s="19">
        <v>784.822</v>
      </c>
      <c r="Q69" s="19">
        <v>18.731000000000002</v>
      </c>
      <c r="R69" s="21">
        <v>0.10263</v>
      </c>
      <c r="S69" s="21">
        <v>5.6059999999999999E-2</v>
      </c>
      <c r="T69" s="21">
        <v>5.1450000000000003E-2</v>
      </c>
      <c r="U69">
        <v>376</v>
      </c>
      <c r="V69">
        <v>270</v>
      </c>
      <c r="W69">
        <v>739</v>
      </c>
      <c r="X69">
        <v>835</v>
      </c>
      <c r="Y69" s="19">
        <v>793.08799999999997</v>
      </c>
      <c r="Z69" s="19">
        <v>14.477</v>
      </c>
      <c r="AA69" s="21">
        <v>6.0999999999999999E-2</v>
      </c>
      <c r="AB69" s="21">
        <v>4.0989999999999999E-2</v>
      </c>
      <c r="AC69" s="21">
        <v>3.9899999999999998E-2</v>
      </c>
      <c r="AD69" s="20">
        <v>58.828079726951501</v>
      </c>
    </row>
    <row r="70" spans="2:30" x14ac:dyDescent="0.25">
      <c r="B70" t="s">
        <v>42</v>
      </c>
      <c r="C70" s="15">
        <v>42486</v>
      </c>
      <c r="D70" s="23">
        <v>0.34355324074074073</v>
      </c>
      <c r="E70" s="24" t="s">
        <v>43</v>
      </c>
      <c r="F70">
        <v>109.8</v>
      </c>
      <c r="G70">
        <v>134.19999999999999</v>
      </c>
      <c r="H70" t="s">
        <v>45</v>
      </c>
      <c r="I70">
        <v>4000001</v>
      </c>
      <c r="J70">
        <v>234</v>
      </c>
      <c r="K70">
        <v>6.4290000000000003</v>
      </c>
      <c r="L70">
        <v>501</v>
      </c>
      <c r="M70">
        <v>360</v>
      </c>
      <c r="N70">
        <v>686</v>
      </c>
      <c r="O70">
        <v>849</v>
      </c>
      <c r="P70" s="19">
        <v>786.22699999999998</v>
      </c>
      <c r="Q70" s="19">
        <v>19.626999999999999</v>
      </c>
      <c r="R70" s="21">
        <v>0.10596999999999999</v>
      </c>
      <c r="S70" s="21">
        <v>5.8590000000000003E-2</v>
      </c>
      <c r="T70" s="21">
        <v>6.0569999999999999E-2</v>
      </c>
      <c r="U70">
        <v>376</v>
      </c>
      <c r="V70">
        <v>270</v>
      </c>
      <c r="W70">
        <v>753</v>
      </c>
      <c r="X70">
        <v>849</v>
      </c>
      <c r="Y70" s="19">
        <v>794.55</v>
      </c>
      <c r="Z70" s="19">
        <v>14.68</v>
      </c>
      <c r="AA70" s="21">
        <v>6.019E-2</v>
      </c>
      <c r="AB70" s="21">
        <v>4.6010000000000002E-2</v>
      </c>
      <c r="AC70" s="21">
        <v>4.1829999999999999E-2</v>
      </c>
      <c r="AD70" s="20">
        <v>58.669439901691398</v>
      </c>
    </row>
    <row r="71" spans="2:30" x14ac:dyDescent="0.25">
      <c r="B71" t="s">
        <v>42</v>
      </c>
      <c r="C71" s="15">
        <v>42486</v>
      </c>
      <c r="D71" s="23">
        <v>0.68195601851851861</v>
      </c>
      <c r="E71" s="24" t="s">
        <v>43</v>
      </c>
      <c r="F71">
        <v>109.8</v>
      </c>
      <c r="G71">
        <v>134.19999999999999</v>
      </c>
      <c r="H71" t="s">
        <v>45</v>
      </c>
      <c r="I71">
        <v>4000001</v>
      </c>
      <c r="J71">
        <v>234</v>
      </c>
      <c r="K71">
        <v>6.4290000000000003</v>
      </c>
      <c r="L71">
        <v>501</v>
      </c>
      <c r="M71">
        <v>360</v>
      </c>
      <c r="N71">
        <v>709</v>
      </c>
      <c r="O71">
        <v>847</v>
      </c>
      <c r="P71" s="19">
        <v>784.40300000000002</v>
      </c>
      <c r="Q71" s="19">
        <v>18.829000000000001</v>
      </c>
      <c r="R71" s="21">
        <v>8.8359999999999994E-2</v>
      </c>
      <c r="S71" s="21">
        <v>4.1279999999999997E-2</v>
      </c>
      <c r="T71" s="21">
        <v>4.267E-2</v>
      </c>
      <c r="U71">
        <v>376</v>
      </c>
      <c r="V71">
        <v>270</v>
      </c>
      <c r="W71">
        <v>738</v>
      </c>
      <c r="X71">
        <v>847</v>
      </c>
      <c r="Y71" s="19">
        <v>792.51099999999997</v>
      </c>
      <c r="Z71" s="19">
        <v>14.875999999999999</v>
      </c>
      <c r="AA71" s="21">
        <v>6.8260000000000001E-2</v>
      </c>
      <c r="AB71" s="21">
        <v>4.086E-2</v>
      </c>
      <c r="AC71" s="21">
        <v>4.0660000000000002E-2</v>
      </c>
      <c r="AD71" s="20">
        <v>58.669439901691398</v>
      </c>
    </row>
    <row r="72" spans="2:30" x14ac:dyDescent="0.25">
      <c r="B72" t="s">
        <v>42</v>
      </c>
      <c r="C72" s="15">
        <v>42487</v>
      </c>
      <c r="D72" s="23">
        <v>0.31234953703703705</v>
      </c>
      <c r="E72" s="24" t="s">
        <v>43</v>
      </c>
      <c r="F72">
        <v>109.8</v>
      </c>
      <c r="G72">
        <v>134.19999999999999</v>
      </c>
      <c r="H72" t="s">
        <v>45</v>
      </c>
      <c r="I72">
        <v>4000001</v>
      </c>
      <c r="J72">
        <v>234</v>
      </c>
      <c r="K72">
        <v>6.4290000000000003</v>
      </c>
      <c r="L72">
        <v>501</v>
      </c>
      <c r="M72">
        <v>360</v>
      </c>
      <c r="N72">
        <v>716</v>
      </c>
      <c r="O72">
        <v>843</v>
      </c>
      <c r="P72" s="19">
        <v>784.88699999999994</v>
      </c>
      <c r="Q72" s="19">
        <v>17.937999999999999</v>
      </c>
      <c r="R72" s="21">
        <v>8.1159999999999996E-2</v>
      </c>
      <c r="S72" s="21">
        <v>4.965E-2</v>
      </c>
      <c r="T72" s="21">
        <v>4.4159999999999998E-2</v>
      </c>
      <c r="U72">
        <v>376</v>
      </c>
      <c r="V72">
        <v>270</v>
      </c>
      <c r="W72">
        <v>745</v>
      </c>
      <c r="X72">
        <v>839</v>
      </c>
      <c r="Y72" s="19">
        <v>792.505</v>
      </c>
      <c r="Z72" s="19">
        <v>13.324</v>
      </c>
      <c r="AA72" s="21">
        <v>5.9670000000000001E-2</v>
      </c>
      <c r="AB72" s="21">
        <v>4.376E-2</v>
      </c>
      <c r="AC72" s="21">
        <v>3.2739999999999998E-2</v>
      </c>
      <c r="AD72" s="20">
        <v>58.819283379159387</v>
      </c>
    </row>
    <row r="73" spans="2:30" x14ac:dyDescent="0.25">
      <c r="B73" t="s">
        <v>42</v>
      </c>
      <c r="C73" s="15">
        <v>42488</v>
      </c>
      <c r="D73" s="23">
        <v>0.31407407407407406</v>
      </c>
      <c r="E73" s="24" t="s">
        <v>43</v>
      </c>
      <c r="F73">
        <v>109.8</v>
      </c>
      <c r="G73">
        <v>134.19999999999999</v>
      </c>
      <c r="H73" t="s">
        <v>45</v>
      </c>
      <c r="I73">
        <v>4000001</v>
      </c>
      <c r="J73">
        <v>234</v>
      </c>
      <c r="K73">
        <v>6.4290000000000003</v>
      </c>
      <c r="L73">
        <v>501</v>
      </c>
      <c r="M73">
        <v>360</v>
      </c>
      <c r="N73">
        <v>718</v>
      </c>
      <c r="O73">
        <v>860</v>
      </c>
      <c r="P73" s="19">
        <v>784.68</v>
      </c>
      <c r="Q73" s="19">
        <v>18.376000000000001</v>
      </c>
      <c r="R73" s="21">
        <v>9.0319999999999998E-2</v>
      </c>
      <c r="S73" s="21">
        <v>4.9119999999999997E-2</v>
      </c>
      <c r="T73" s="21">
        <v>4.6829999999999997E-2</v>
      </c>
      <c r="U73">
        <v>376</v>
      </c>
      <c r="V73">
        <v>270</v>
      </c>
      <c r="W73">
        <v>746</v>
      </c>
      <c r="X73">
        <v>832</v>
      </c>
      <c r="Y73" s="19">
        <v>792.27099999999996</v>
      </c>
      <c r="Z73" s="19">
        <v>13.548999999999999</v>
      </c>
      <c r="AA73" s="21">
        <v>5.4649999999999997E-2</v>
      </c>
      <c r="AB73" s="21">
        <v>3.4079999999999999E-2</v>
      </c>
      <c r="AC73" s="21">
        <v>3.3259999999999998E-2</v>
      </c>
      <c r="AD73" s="20">
        <v>58.969509561282074</v>
      </c>
    </row>
    <row r="74" spans="2:30" x14ac:dyDescent="0.25">
      <c r="B74" t="s">
        <v>42</v>
      </c>
      <c r="C74" s="15">
        <v>42489</v>
      </c>
      <c r="D74" s="23">
        <v>0.32274305555555555</v>
      </c>
      <c r="E74" s="24" t="s">
        <v>43</v>
      </c>
      <c r="F74">
        <v>109.8</v>
      </c>
      <c r="G74">
        <v>134.19999999999999</v>
      </c>
      <c r="H74" t="s">
        <v>45</v>
      </c>
      <c r="I74">
        <v>4000001</v>
      </c>
      <c r="J74">
        <v>235</v>
      </c>
      <c r="K74">
        <v>6.4290000000000003</v>
      </c>
      <c r="L74">
        <v>501</v>
      </c>
      <c r="M74">
        <v>360</v>
      </c>
      <c r="N74">
        <v>701</v>
      </c>
      <c r="O74">
        <v>834</v>
      </c>
      <c r="P74" s="19">
        <v>784.702</v>
      </c>
      <c r="Q74" s="19">
        <v>18.483000000000001</v>
      </c>
      <c r="R74" s="21">
        <v>8.7179999999999994E-2</v>
      </c>
      <c r="S74" s="21">
        <v>4.308E-2</v>
      </c>
      <c r="T74" s="21">
        <v>5.8270000000000002E-2</v>
      </c>
      <c r="U74">
        <v>376</v>
      </c>
      <c r="V74">
        <v>270</v>
      </c>
      <c r="W74">
        <v>733</v>
      </c>
      <c r="X74">
        <v>834</v>
      </c>
      <c r="Y74" s="19">
        <v>792.31799999999998</v>
      </c>
      <c r="Z74" s="19">
        <v>14.176</v>
      </c>
      <c r="AA74" s="21">
        <v>6.4649999999999999E-2</v>
      </c>
      <c r="AB74" s="21">
        <v>3.7650000000000003E-2</v>
      </c>
      <c r="AC74" s="21">
        <v>3.7909999999999999E-2</v>
      </c>
      <c r="AD74" s="20">
        <v>58.868544449219748</v>
      </c>
    </row>
    <row r="75" spans="2:30" x14ac:dyDescent="0.25">
      <c r="B75" t="s">
        <v>42</v>
      </c>
      <c r="C75" s="15">
        <v>42492</v>
      </c>
      <c r="D75" s="23">
        <v>0.32280092592592591</v>
      </c>
      <c r="E75" s="24" t="s">
        <v>43</v>
      </c>
      <c r="F75">
        <v>109.8</v>
      </c>
      <c r="G75">
        <v>134.19999999999999</v>
      </c>
      <c r="H75" t="s">
        <v>45</v>
      </c>
      <c r="I75">
        <v>4000001</v>
      </c>
      <c r="J75">
        <v>241</v>
      </c>
      <c r="K75">
        <v>6.4290000000000003</v>
      </c>
      <c r="L75">
        <v>501</v>
      </c>
      <c r="M75">
        <v>360</v>
      </c>
      <c r="N75">
        <v>720</v>
      </c>
      <c r="O75">
        <v>841</v>
      </c>
      <c r="P75" s="19">
        <v>785.98</v>
      </c>
      <c r="Q75" s="19">
        <v>17.600999999999999</v>
      </c>
      <c r="R75" s="21">
        <v>7.7410000000000007E-2</v>
      </c>
      <c r="S75" s="21">
        <v>5.4420000000000003E-2</v>
      </c>
      <c r="T75" s="21">
        <v>5.3460000000000001E-2</v>
      </c>
      <c r="U75">
        <v>376</v>
      </c>
      <c r="V75">
        <v>270</v>
      </c>
      <c r="W75">
        <v>749</v>
      </c>
      <c r="X75">
        <v>841</v>
      </c>
      <c r="Y75" s="19">
        <v>793.11</v>
      </c>
      <c r="Z75" s="19">
        <v>13.928000000000001</v>
      </c>
      <c r="AA75" s="21">
        <v>5.774E-2</v>
      </c>
      <c r="AB75" s="21">
        <v>3.4709999999999998E-2</v>
      </c>
      <c r="AC75" s="21">
        <v>3.7650000000000003E-2</v>
      </c>
      <c r="AD75" s="20">
        <v>57.843888198691104</v>
      </c>
    </row>
    <row r="76" spans="2:30" x14ac:dyDescent="0.25">
      <c r="B76" t="s">
        <v>42</v>
      </c>
      <c r="C76" s="15">
        <v>42494</v>
      </c>
      <c r="D76" s="23">
        <v>0.35954861111111108</v>
      </c>
      <c r="E76" s="24" t="s">
        <v>43</v>
      </c>
      <c r="F76">
        <v>109.8</v>
      </c>
      <c r="G76">
        <v>134.19999999999999</v>
      </c>
      <c r="H76" t="s">
        <v>45</v>
      </c>
      <c r="I76">
        <v>4000001</v>
      </c>
      <c r="J76">
        <v>237</v>
      </c>
      <c r="K76">
        <v>6.4290000000000003</v>
      </c>
      <c r="L76">
        <v>501</v>
      </c>
      <c r="M76">
        <v>360</v>
      </c>
      <c r="N76">
        <v>713</v>
      </c>
      <c r="O76">
        <v>839</v>
      </c>
      <c r="P76" s="19">
        <v>784.82100000000003</v>
      </c>
      <c r="Q76" s="19">
        <v>17.641999999999999</v>
      </c>
      <c r="R76" s="21">
        <v>8.1320000000000003E-2</v>
      </c>
      <c r="S76" s="21">
        <v>5.4859999999999999E-2</v>
      </c>
      <c r="T76" s="21">
        <v>5.2560000000000003E-2</v>
      </c>
      <c r="U76">
        <v>376</v>
      </c>
      <c r="V76">
        <v>270</v>
      </c>
      <c r="W76">
        <v>744</v>
      </c>
      <c r="X76">
        <v>839</v>
      </c>
      <c r="Y76" s="19">
        <v>792.49</v>
      </c>
      <c r="Z76" s="19">
        <v>13.85</v>
      </c>
      <c r="AA76" s="21">
        <v>6.0040000000000003E-2</v>
      </c>
      <c r="AB76" s="21">
        <v>4.0219999999999999E-2</v>
      </c>
      <c r="AC76" s="21">
        <v>3.9419999999999997E-2</v>
      </c>
      <c r="AD76" s="20">
        <v>59.120996865183436</v>
      </c>
    </row>
    <row r="77" spans="2:30" x14ac:dyDescent="0.25">
      <c r="B77" t="s">
        <v>42</v>
      </c>
      <c r="C77" s="15">
        <v>42493</v>
      </c>
      <c r="D77" s="23">
        <v>0.33778935185185183</v>
      </c>
      <c r="E77" s="24" t="s">
        <v>43</v>
      </c>
      <c r="F77">
        <v>109.8</v>
      </c>
      <c r="G77">
        <v>134.19999999999999</v>
      </c>
      <c r="H77" t="s">
        <v>45</v>
      </c>
      <c r="I77">
        <v>4000001</v>
      </c>
      <c r="J77">
        <v>237</v>
      </c>
      <c r="K77">
        <v>6.4290000000000003</v>
      </c>
      <c r="L77">
        <v>501</v>
      </c>
      <c r="M77">
        <v>360</v>
      </c>
      <c r="N77">
        <v>674</v>
      </c>
      <c r="O77">
        <v>843</v>
      </c>
      <c r="P77" s="19">
        <v>784.83199999999999</v>
      </c>
      <c r="Q77" s="19">
        <v>17.760000000000002</v>
      </c>
      <c r="R77" s="21">
        <v>0.11169999999999999</v>
      </c>
      <c r="S77" s="21">
        <v>5.6349999999999997E-2</v>
      </c>
      <c r="T77" s="21">
        <v>5.2720000000000003E-2</v>
      </c>
      <c r="U77">
        <v>376</v>
      </c>
      <c r="V77">
        <v>270</v>
      </c>
      <c r="W77">
        <v>746</v>
      </c>
      <c r="X77">
        <v>843</v>
      </c>
      <c r="Y77" s="19">
        <v>792.01300000000003</v>
      </c>
      <c r="Z77" s="19">
        <v>13.749000000000001</v>
      </c>
      <c r="AA77" s="21">
        <v>6.13E-2</v>
      </c>
      <c r="AB77" s="21">
        <v>3.4509999999999999E-2</v>
      </c>
      <c r="AC77" s="21">
        <v>3.6700000000000003E-2</v>
      </c>
      <c r="AD77" s="20">
        <v>58.970384765669287</v>
      </c>
    </row>
    <row r="78" spans="2:30" x14ac:dyDescent="0.25">
      <c r="B78" t="s">
        <v>42</v>
      </c>
      <c r="C78" s="15">
        <v>42496</v>
      </c>
      <c r="D78" s="23">
        <v>0.40651620370370373</v>
      </c>
      <c r="E78" s="24" t="s">
        <v>43</v>
      </c>
      <c r="F78">
        <v>109.8</v>
      </c>
      <c r="G78">
        <v>134.19999999999999</v>
      </c>
      <c r="H78" t="s">
        <v>45</v>
      </c>
      <c r="I78">
        <v>4000001</v>
      </c>
      <c r="J78">
        <v>242</v>
      </c>
      <c r="K78">
        <v>6.4290000000000003</v>
      </c>
      <c r="L78">
        <v>501</v>
      </c>
      <c r="M78">
        <v>360</v>
      </c>
      <c r="N78">
        <v>685</v>
      </c>
      <c r="O78">
        <v>850</v>
      </c>
      <c r="P78" s="19">
        <v>785.45</v>
      </c>
      <c r="Q78" s="19">
        <v>17.875</v>
      </c>
      <c r="R78" s="21">
        <v>0.10793999999999999</v>
      </c>
      <c r="S78" s="21">
        <v>4.9730000000000003E-2</v>
      </c>
      <c r="T78" s="21">
        <v>4.6690000000000002E-2</v>
      </c>
      <c r="U78">
        <v>376</v>
      </c>
      <c r="V78">
        <v>270</v>
      </c>
      <c r="W78">
        <v>739</v>
      </c>
      <c r="X78">
        <v>848</v>
      </c>
      <c r="Y78" s="19">
        <v>792.78800000000001</v>
      </c>
      <c r="Z78" s="19">
        <v>13.596</v>
      </c>
      <c r="AA78" s="21">
        <v>6.8959999999999994E-2</v>
      </c>
      <c r="AB78" s="21">
        <v>3.8649999999999997E-2</v>
      </c>
      <c r="AC78" s="21">
        <v>4.3700000000000003E-2</v>
      </c>
      <c r="AD78" s="20">
        <v>58.195620346368756</v>
      </c>
    </row>
    <row r="79" spans="2:30" x14ac:dyDescent="0.25">
      <c r="B79" t="s">
        <v>42</v>
      </c>
      <c r="C79" s="15">
        <v>42499</v>
      </c>
      <c r="D79" s="23">
        <v>0.32126157407407407</v>
      </c>
      <c r="E79" s="24" t="s">
        <v>43</v>
      </c>
      <c r="F79">
        <v>109.8</v>
      </c>
      <c r="G79">
        <v>134.19999999999999</v>
      </c>
      <c r="H79" t="s">
        <v>45</v>
      </c>
      <c r="I79">
        <v>4000001</v>
      </c>
      <c r="J79">
        <v>242</v>
      </c>
      <c r="K79">
        <v>6.4290000000000003</v>
      </c>
      <c r="L79">
        <v>501</v>
      </c>
      <c r="M79">
        <v>360</v>
      </c>
      <c r="N79">
        <v>705</v>
      </c>
      <c r="O79">
        <v>850</v>
      </c>
      <c r="P79" s="19">
        <v>785.19799999999998</v>
      </c>
      <c r="Q79" s="19">
        <v>16.956</v>
      </c>
      <c r="R79" s="21">
        <v>9.2939999999999995E-2</v>
      </c>
      <c r="S79" s="21">
        <v>5.0999999999999997E-2</v>
      </c>
      <c r="T79" s="21">
        <v>4.6949999999999999E-2</v>
      </c>
      <c r="U79">
        <v>376</v>
      </c>
      <c r="V79">
        <v>270</v>
      </c>
      <c r="W79">
        <v>748</v>
      </c>
      <c r="X79">
        <v>835</v>
      </c>
      <c r="Y79" s="19">
        <v>791.54</v>
      </c>
      <c r="Z79" s="19">
        <v>13.271000000000001</v>
      </c>
      <c r="AA79" s="21">
        <v>5.4949999999999999E-2</v>
      </c>
      <c r="AB79" s="21">
        <v>4.2709999999999998E-2</v>
      </c>
      <c r="AC79" s="21">
        <v>3.9329999999999997E-2</v>
      </c>
      <c r="AD79" s="20">
        <v>58.642660142714277</v>
      </c>
    </row>
    <row r="80" spans="2:30" x14ac:dyDescent="0.25">
      <c r="B80" t="s">
        <v>42</v>
      </c>
      <c r="C80" s="15">
        <v>42500</v>
      </c>
      <c r="D80" s="23">
        <v>0.32936342592592593</v>
      </c>
      <c r="E80" s="24" t="s">
        <v>43</v>
      </c>
      <c r="F80">
        <v>109.8</v>
      </c>
      <c r="G80">
        <v>134.19999999999999</v>
      </c>
      <c r="H80" t="s">
        <v>45</v>
      </c>
      <c r="I80">
        <v>4000001</v>
      </c>
      <c r="J80">
        <v>240</v>
      </c>
      <c r="K80">
        <v>6.4290000000000003</v>
      </c>
      <c r="L80">
        <v>501</v>
      </c>
      <c r="M80">
        <v>360</v>
      </c>
      <c r="N80">
        <v>707</v>
      </c>
      <c r="O80">
        <v>847</v>
      </c>
      <c r="P80" s="19">
        <v>785.08500000000004</v>
      </c>
      <c r="Q80" s="19">
        <v>17.899999999999999</v>
      </c>
      <c r="R80" s="21">
        <v>9.017E-2</v>
      </c>
      <c r="S80" s="21">
        <v>5.8860000000000003E-2</v>
      </c>
      <c r="T80" s="21">
        <v>4.9860000000000002E-2</v>
      </c>
      <c r="U80">
        <v>376</v>
      </c>
      <c r="V80">
        <v>270</v>
      </c>
      <c r="W80">
        <v>745</v>
      </c>
      <c r="X80">
        <v>847</v>
      </c>
      <c r="Y80" s="19">
        <v>792.28</v>
      </c>
      <c r="Z80" s="19">
        <v>14.211</v>
      </c>
      <c r="AA80" s="21">
        <v>6.4579999999999999E-2</v>
      </c>
      <c r="AB80" s="21">
        <v>3.8019999999999998E-2</v>
      </c>
      <c r="AC80" s="21">
        <v>3.6200000000000003E-2</v>
      </c>
      <c r="AD80" s="20">
        <v>59.282372184088189</v>
      </c>
    </row>
    <row r="81" spans="2:30" x14ac:dyDescent="0.25">
      <c r="B81" t="s">
        <v>42</v>
      </c>
      <c r="C81" s="15">
        <v>42501</v>
      </c>
      <c r="D81" s="23">
        <v>0.31299768518518517</v>
      </c>
      <c r="E81" s="24" t="s">
        <v>43</v>
      </c>
      <c r="F81">
        <v>109.8</v>
      </c>
      <c r="G81">
        <v>134.19999999999999</v>
      </c>
      <c r="H81" t="s">
        <v>45</v>
      </c>
      <c r="I81">
        <v>4000001</v>
      </c>
      <c r="J81">
        <v>240</v>
      </c>
      <c r="K81">
        <v>6.4290000000000003</v>
      </c>
      <c r="L81">
        <v>501</v>
      </c>
      <c r="M81">
        <v>360</v>
      </c>
      <c r="N81">
        <v>685</v>
      </c>
      <c r="O81">
        <v>847</v>
      </c>
      <c r="P81" s="19">
        <v>784.59799999999996</v>
      </c>
      <c r="Q81" s="19">
        <v>17.135000000000002</v>
      </c>
      <c r="R81" s="21">
        <v>0.10611</v>
      </c>
      <c r="S81" s="21">
        <v>4.6609999999999999E-2</v>
      </c>
      <c r="T81" s="21">
        <v>4.3749999999999997E-2</v>
      </c>
      <c r="U81">
        <v>376</v>
      </c>
      <c r="V81">
        <v>270</v>
      </c>
      <c r="W81">
        <v>750</v>
      </c>
      <c r="X81">
        <v>834</v>
      </c>
      <c r="Y81" s="19">
        <v>791.71900000000005</v>
      </c>
      <c r="Z81" s="19">
        <v>13.358000000000001</v>
      </c>
      <c r="AA81" s="21">
        <v>5.2990000000000002E-2</v>
      </c>
      <c r="AB81" s="21">
        <v>3.8260000000000002E-2</v>
      </c>
      <c r="AC81" s="21">
        <v>3.7229999999999999E-2</v>
      </c>
      <c r="AD81" s="20">
        <v>59.433781108657762</v>
      </c>
    </row>
    <row r="82" spans="2:30" x14ac:dyDescent="0.25">
      <c r="B82" t="s">
        <v>42</v>
      </c>
      <c r="C82" s="15">
        <v>42502</v>
      </c>
      <c r="D82" s="23">
        <v>0.31059027777777776</v>
      </c>
      <c r="E82" s="24" t="s">
        <v>43</v>
      </c>
      <c r="F82">
        <v>109.8</v>
      </c>
      <c r="G82">
        <v>134.19999999999999</v>
      </c>
      <c r="H82" t="s">
        <v>45</v>
      </c>
      <c r="I82">
        <v>4000001</v>
      </c>
      <c r="J82">
        <v>242</v>
      </c>
      <c r="K82">
        <v>6.4290000000000003</v>
      </c>
      <c r="L82">
        <v>501</v>
      </c>
      <c r="M82">
        <v>360</v>
      </c>
      <c r="N82">
        <v>700</v>
      </c>
      <c r="O82">
        <v>855</v>
      </c>
      <c r="P82" s="19">
        <v>786.21600000000001</v>
      </c>
      <c r="Q82" s="19">
        <v>18.010999999999999</v>
      </c>
      <c r="R82" s="21">
        <v>9.9640000000000006E-2</v>
      </c>
      <c r="S82" s="21">
        <v>5.2209999999999999E-2</v>
      </c>
      <c r="T82" s="21">
        <v>7.109E-2</v>
      </c>
      <c r="U82">
        <v>376</v>
      </c>
      <c r="V82">
        <v>270</v>
      </c>
      <c r="W82">
        <v>744</v>
      </c>
      <c r="X82">
        <v>833</v>
      </c>
      <c r="Y82" s="19">
        <v>793.03700000000003</v>
      </c>
      <c r="Z82" s="19">
        <v>13.971</v>
      </c>
      <c r="AA82" s="21">
        <v>5.6649999999999999E-2</v>
      </c>
      <c r="AB82" s="21">
        <v>3.5520000000000003E-2</v>
      </c>
      <c r="AC82" s="21">
        <v>4.129E-2</v>
      </c>
      <c r="AD82" s="20">
        <v>59.093133953137261</v>
      </c>
    </row>
    <row r="83" spans="2:30" x14ac:dyDescent="0.25">
      <c r="B83" t="s">
        <v>42</v>
      </c>
      <c r="C83" s="15">
        <v>42503</v>
      </c>
      <c r="D83" s="23">
        <v>0.33059027777777777</v>
      </c>
      <c r="E83" s="24" t="s">
        <v>43</v>
      </c>
      <c r="F83">
        <v>109.8</v>
      </c>
      <c r="G83">
        <v>134.19999999999999</v>
      </c>
      <c r="H83" t="s">
        <v>45</v>
      </c>
      <c r="I83">
        <v>4000001</v>
      </c>
      <c r="J83">
        <v>241</v>
      </c>
      <c r="K83">
        <v>6.4290000000000003</v>
      </c>
      <c r="L83">
        <v>501</v>
      </c>
      <c r="M83">
        <v>360</v>
      </c>
      <c r="N83">
        <v>708</v>
      </c>
      <c r="O83">
        <v>836</v>
      </c>
      <c r="P83" s="19">
        <v>785.03800000000001</v>
      </c>
      <c r="Q83" s="19">
        <v>17.353000000000002</v>
      </c>
      <c r="R83" s="21">
        <v>8.3030000000000007E-2</v>
      </c>
      <c r="S83" s="21">
        <v>4.7359999999999999E-2</v>
      </c>
      <c r="T83" s="21">
        <v>4.6420000000000003E-2</v>
      </c>
      <c r="U83">
        <v>376</v>
      </c>
      <c r="V83">
        <v>270</v>
      </c>
      <c r="W83">
        <v>748</v>
      </c>
      <c r="X83">
        <v>836</v>
      </c>
      <c r="Y83" s="19">
        <v>792.279</v>
      </c>
      <c r="Z83" s="19">
        <v>13.808</v>
      </c>
      <c r="AA83" s="21">
        <v>5.5669999999999997E-2</v>
      </c>
      <c r="AB83" s="21">
        <v>4.4830000000000002E-2</v>
      </c>
      <c r="AC83" s="21">
        <v>3.6679999999999997E-2</v>
      </c>
      <c r="AD83" s="20">
        <v>59.48988553095991</v>
      </c>
    </row>
    <row r="84" spans="2:30" x14ac:dyDescent="0.25">
      <c r="B84" t="s">
        <v>42</v>
      </c>
      <c r="C84" s="15">
        <v>42506</v>
      </c>
      <c r="D84" s="23">
        <v>0.31615740740740739</v>
      </c>
      <c r="E84" s="24" t="s">
        <v>43</v>
      </c>
      <c r="F84">
        <v>109.8</v>
      </c>
      <c r="G84">
        <v>134.19999999999999</v>
      </c>
      <c r="H84" t="s">
        <v>45</v>
      </c>
      <c r="I84">
        <v>4000001</v>
      </c>
      <c r="J84">
        <v>247</v>
      </c>
      <c r="K84">
        <v>6.4290000000000003</v>
      </c>
      <c r="L84">
        <v>501</v>
      </c>
      <c r="M84">
        <v>360</v>
      </c>
      <c r="N84">
        <v>715</v>
      </c>
      <c r="O84">
        <v>858</v>
      </c>
      <c r="P84" s="19">
        <v>784.40899999999999</v>
      </c>
      <c r="Q84" s="19">
        <v>16.937000000000001</v>
      </c>
      <c r="R84" s="21">
        <v>9.0509999999999993E-2</v>
      </c>
      <c r="S84" s="21">
        <v>5.6959999999999997E-2</v>
      </c>
      <c r="T84" s="21">
        <v>5.2089999999999997E-2</v>
      </c>
      <c r="U84">
        <v>376</v>
      </c>
      <c r="V84">
        <v>270</v>
      </c>
      <c r="W84">
        <v>740</v>
      </c>
      <c r="X84">
        <v>837</v>
      </c>
      <c r="Y84" s="19">
        <v>790.84</v>
      </c>
      <c r="Z84" s="19">
        <v>12.968999999999999</v>
      </c>
      <c r="AA84" s="21">
        <v>6.139E-2</v>
      </c>
      <c r="AB84" s="21">
        <v>3.6170000000000001E-2</v>
      </c>
      <c r="AC84" s="21">
        <v>3.9010000000000003E-2</v>
      </c>
      <c r="AD84" s="20">
        <v>58.490668241472335</v>
      </c>
    </row>
    <row r="85" spans="2:30" x14ac:dyDescent="0.25">
      <c r="B85" t="s">
        <v>42</v>
      </c>
      <c r="C85" s="15">
        <v>42507</v>
      </c>
      <c r="D85" s="23">
        <v>0.31782407407407409</v>
      </c>
      <c r="E85" s="24" t="s">
        <v>43</v>
      </c>
      <c r="F85">
        <v>109.8</v>
      </c>
      <c r="G85">
        <v>134.19999999999999</v>
      </c>
      <c r="H85" t="s">
        <v>45</v>
      </c>
      <c r="I85">
        <v>4000001</v>
      </c>
      <c r="J85">
        <v>244</v>
      </c>
      <c r="K85">
        <v>6.4290000000000003</v>
      </c>
      <c r="L85">
        <v>501</v>
      </c>
      <c r="M85">
        <v>360</v>
      </c>
      <c r="N85">
        <v>676</v>
      </c>
      <c r="O85">
        <v>838</v>
      </c>
      <c r="P85" s="19">
        <v>784.846</v>
      </c>
      <c r="Q85" s="19">
        <v>18.486999999999998</v>
      </c>
      <c r="R85" s="21">
        <v>0.10738</v>
      </c>
      <c r="S85" s="21">
        <v>4.7910000000000001E-2</v>
      </c>
      <c r="T85" s="21">
        <v>5.3589999999999999E-2</v>
      </c>
      <c r="U85">
        <v>376</v>
      </c>
      <c r="V85">
        <v>270</v>
      </c>
      <c r="W85">
        <v>740</v>
      </c>
      <c r="X85">
        <v>838</v>
      </c>
      <c r="Y85" s="19">
        <v>793.03899999999999</v>
      </c>
      <c r="Z85" s="19">
        <v>14.055999999999999</v>
      </c>
      <c r="AA85" s="21">
        <v>6.2460000000000002E-2</v>
      </c>
      <c r="AB85" s="21">
        <v>4.7910000000000001E-2</v>
      </c>
      <c r="AC85" s="21">
        <v>3.977E-2</v>
      </c>
      <c r="AD85" s="20">
        <v>59.361039415250616</v>
      </c>
    </row>
    <row r="86" spans="2:30" x14ac:dyDescent="0.25">
      <c r="B86" t="s">
        <v>42</v>
      </c>
      <c r="C86" s="15">
        <v>42508</v>
      </c>
      <c r="D86" s="23">
        <v>0.30516203703703704</v>
      </c>
      <c r="E86" s="24" t="s">
        <v>43</v>
      </c>
      <c r="F86">
        <v>109.8</v>
      </c>
      <c r="G86">
        <v>134.19999999999999</v>
      </c>
      <c r="H86" t="s">
        <v>45</v>
      </c>
      <c r="I86">
        <v>4000001</v>
      </c>
      <c r="J86">
        <v>244</v>
      </c>
      <c r="K86">
        <v>6.4290000000000003</v>
      </c>
      <c r="L86">
        <v>501</v>
      </c>
      <c r="M86">
        <v>360</v>
      </c>
      <c r="N86">
        <v>712</v>
      </c>
      <c r="O86">
        <v>841</v>
      </c>
      <c r="P86" s="19">
        <v>784.47799999999995</v>
      </c>
      <c r="Q86" s="19">
        <v>17.137</v>
      </c>
      <c r="R86" s="21">
        <v>8.3070000000000005E-2</v>
      </c>
      <c r="S86" s="21">
        <v>5.3650000000000003E-2</v>
      </c>
      <c r="T86" s="21">
        <v>5.9679999999999997E-2</v>
      </c>
      <c r="U86">
        <v>376</v>
      </c>
      <c r="V86">
        <v>270</v>
      </c>
      <c r="W86">
        <v>751</v>
      </c>
      <c r="X86">
        <v>832</v>
      </c>
      <c r="Y86" s="19">
        <v>791.82299999999998</v>
      </c>
      <c r="Z86" s="19">
        <v>13.629</v>
      </c>
      <c r="AA86" s="21">
        <v>5.1360000000000003E-2</v>
      </c>
      <c r="AB86" s="21">
        <v>3.5540000000000002E-2</v>
      </c>
      <c r="AC86" s="21">
        <v>3.7719999999999997E-2</v>
      </c>
      <c r="AD86" s="20">
        <v>59.512649258245538</v>
      </c>
    </row>
    <row r="87" spans="2:30" x14ac:dyDescent="0.25">
      <c r="B87" t="s">
        <v>42</v>
      </c>
      <c r="C87" s="15">
        <v>42509</v>
      </c>
      <c r="D87" s="23">
        <v>0.30482638888888886</v>
      </c>
      <c r="E87" s="24" t="s">
        <v>43</v>
      </c>
      <c r="F87">
        <v>109.8</v>
      </c>
      <c r="G87">
        <v>134.19999999999999</v>
      </c>
      <c r="H87" t="s">
        <v>45</v>
      </c>
      <c r="I87">
        <v>4000001</v>
      </c>
      <c r="J87">
        <v>245</v>
      </c>
      <c r="K87">
        <v>6.4290000000000003</v>
      </c>
      <c r="L87">
        <v>501</v>
      </c>
      <c r="M87">
        <v>360</v>
      </c>
      <c r="N87">
        <v>698</v>
      </c>
      <c r="O87">
        <v>847</v>
      </c>
      <c r="P87" s="19">
        <v>784.24099999999999</v>
      </c>
      <c r="Q87" s="19">
        <v>17.731999999999999</v>
      </c>
      <c r="R87" s="21">
        <v>9.6619999999999998E-2</v>
      </c>
      <c r="S87" s="21">
        <v>4.9009999999999998E-2</v>
      </c>
      <c r="T87" s="21">
        <v>5.1959999999999999E-2</v>
      </c>
      <c r="U87">
        <v>376</v>
      </c>
      <c r="V87">
        <v>270</v>
      </c>
      <c r="W87">
        <v>750</v>
      </c>
      <c r="X87">
        <v>847</v>
      </c>
      <c r="Y87" s="19">
        <v>791.86</v>
      </c>
      <c r="Z87" s="19">
        <v>14.07</v>
      </c>
      <c r="AA87" s="21">
        <v>6.114E-2</v>
      </c>
      <c r="AB87" s="21">
        <v>3.9539999999999999E-2</v>
      </c>
      <c r="AC87" s="21">
        <v>5.1959999999999999E-2</v>
      </c>
      <c r="AD87" s="20">
        <v>59.421117148602931</v>
      </c>
    </row>
    <row r="88" spans="2:30" x14ac:dyDescent="0.25">
      <c r="B88" t="s">
        <v>42</v>
      </c>
      <c r="C88" s="15">
        <v>42513</v>
      </c>
      <c r="D88" s="23">
        <v>0.31609953703703703</v>
      </c>
      <c r="E88" s="24" t="s">
        <v>43</v>
      </c>
      <c r="F88">
        <v>109.8</v>
      </c>
      <c r="G88">
        <v>134.19999999999999</v>
      </c>
      <c r="H88" t="s">
        <v>45</v>
      </c>
      <c r="I88">
        <v>4000001</v>
      </c>
      <c r="J88">
        <v>252</v>
      </c>
      <c r="K88">
        <v>6.4290000000000003</v>
      </c>
      <c r="L88">
        <v>501</v>
      </c>
      <c r="M88">
        <v>360</v>
      </c>
      <c r="N88">
        <v>706</v>
      </c>
      <c r="O88">
        <v>835</v>
      </c>
      <c r="P88" s="19">
        <v>785.81</v>
      </c>
      <c r="Q88" s="19">
        <v>17.477</v>
      </c>
      <c r="R88" s="21">
        <v>8.362E-2</v>
      </c>
      <c r="S88" s="21">
        <v>5.3460000000000001E-2</v>
      </c>
      <c r="T88" s="21">
        <v>5.0459999999999998E-2</v>
      </c>
      <c r="U88">
        <v>376</v>
      </c>
      <c r="V88">
        <v>270</v>
      </c>
      <c r="W88">
        <v>746</v>
      </c>
      <c r="X88">
        <v>835</v>
      </c>
      <c r="Y88" s="19">
        <v>793.97799999999995</v>
      </c>
      <c r="Z88" s="19">
        <v>13.115</v>
      </c>
      <c r="AA88" s="21">
        <v>5.5879999999999999E-2</v>
      </c>
      <c r="AB88" s="21">
        <v>3.381E-2</v>
      </c>
      <c r="AC88" s="21">
        <v>3.737E-2</v>
      </c>
      <c r="AD88" s="20">
        <v>58.362986005656722</v>
      </c>
    </row>
    <row r="89" spans="2:30" x14ac:dyDescent="0.25">
      <c r="B89" t="s">
        <v>42</v>
      </c>
      <c r="C89" s="15">
        <v>42514</v>
      </c>
      <c r="D89" s="23">
        <v>0.30252314814814812</v>
      </c>
      <c r="E89" s="24" t="s">
        <v>43</v>
      </c>
      <c r="F89">
        <v>109.8</v>
      </c>
      <c r="G89">
        <v>134.19999999999999</v>
      </c>
      <c r="H89" t="s">
        <v>45</v>
      </c>
      <c r="I89">
        <v>4000001</v>
      </c>
      <c r="J89">
        <v>248</v>
      </c>
      <c r="K89">
        <v>6.4290000000000003</v>
      </c>
      <c r="L89">
        <v>501</v>
      </c>
      <c r="M89">
        <v>360</v>
      </c>
      <c r="N89">
        <v>688</v>
      </c>
      <c r="O89">
        <v>845</v>
      </c>
      <c r="P89" s="19">
        <v>785.58100000000002</v>
      </c>
      <c r="Q89" s="19">
        <v>17.61</v>
      </c>
      <c r="R89" s="21">
        <v>0.10235</v>
      </c>
      <c r="S89" s="21">
        <v>4.5789999999999997E-2</v>
      </c>
      <c r="T89" s="21">
        <v>5.2740000000000002E-2</v>
      </c>
      <c r="U89">
        <v>376</v>
      </c>
      <c r="V89">
        <v>270</v>
      </c>
      <c r="W89">
        <v>747</v>
      </c>
      <c r="X89">
        <v>840</v>
      </c>
      <c r="Y89" s="19">
        <v>792.67899999999997</v>
      </c>
      <c r="Z89" s="19">
        <v>13.257999999999999</v>
      </c>
      <c r="AA89" s="21">
        <v>5.8430000000000003E-2</v>
      </c>
      <c r="AB89" s="21">
        <v>3.6429999999999997E-2</v>
      </c>
      <c r="AC89" s="21">
        <v>3.9260000000000003E-2</v>
      </c>
      <c r="AD89" s="20">
        <v>59.455789481023402</v>
      </c>
    </row>
    <row r="90" spans="2:30" x14ac:dyDescent="0.25">
      <c r="B90" t="s">
        <v>42</v>
      </c>
      <c r="C90" s="15">
        <v>42515</v>
      </c>
      <c r="D90" s="23">
        <v>0.30876157407407406</v>
      </c>
      <c r="E90" s="24" t="s">
        <v>43</v>
      </c>
      <c r="F90">
        <v>109.8</v>
      </c>
      <c r="G90">
        <v>134.19999999999999</v>
      </c>
      <c r="H90" t="s">
        <v>45</v>
      </c>
      <c r="I90">
        <v>4000001</v>
      </c>
      <c r="J90">
        <v>247</v>
      </c>
      <c r="K90">
        <v>6.4290000000000003</v>
      </c>
      <c r="L90">
        <v>501</v>
      </c>
      <c r="M90">
        <v>360</v>
      </c>
      <c r="N90">
        <v>699</v>
      </c>
      <c r="O90">
        <v>842</v>
      </c>
      <c r="P90" s="19">
        <v>785.505</v>
      </c>
      <c r="Q90" s="19">
        <v>17.795999999999999</v>
      </c>
      <c r="R90" s="21">
        <v>9.2280000000000001E-2</v>
      </c>
      <c r="S90" s="21">
        <v>4.7530000000000003E-2</v>
      </c>
      <c r="T90" s="21">
        <v>5.4390000000000001E-2</v>
      </c>
      <c r="U90">
        <v>376</v>
      </c>
      <c r="V90">
        <v>270</v>
      </c>
      <c r="W90">
        <v>735</v>
      </c>
      <c r="X90">
        <v>842</v>
      </c>
      <c r="Y90" s="19">
        <v>792.68799999999999</v>
      </c>
      <c r="Z90" s="19">
        <v>13.648</v>
      </c>
      <c r="AA90" s="21">
        <v>6.7419999999999994E-2</v>
      </c>
      <c r="AB90" s="21">
        <v>4.6780000000000002E-2</v>
      </c>
      <c r="AC90" s="21">
        <v>4.1959999999999997E-2</v>
      </c>
      <c r="AD90" s="20">
        <v>59.848967801547694</v>
      </c>
    </row>
    <row r="91" spans="2:30" x14ac:dyDescent="0.25">
      <c r="B91" t="s">
        <v>42</v>
      </c>
      <c r="C91" s="15">
        <v>42516</v>
      </c>
      <c r="D91" s="23">
        <v>0.30623842592592593</v>
      </c>
      <c r="E91" s="24" t="s">
        <v>43</v>
      </c>
      <c r="F91">
        <v>109.8</v>
      </c>
      <c r="G91">
        <v>134.19999999999999</v>
      </c>
      <c r="H91" t="s">
        <v>45</v>
      </c>
      <c r="I91">
        <v>4000001</v>
      </c>
      <c r="J91">
        <v>249</v>
      </c>
      <c r="K91">
        <v>6.4290000000000003</v>
      </c>
      <c r="L91">
        <v>501</v>
      </c>
      <c r="M91">
        <v>360</v>
      </c>
      <c r="N91">
        <v>681</v>
      </c>
      <c r="O91">
        <v>835</v>
      </c>
      <c r="P91" s="19">
        <v>784.93</v>
      </c>
      <c r="Q91" s="19">
        <v>16.632000000000001</v>
      </c>
      <c r="R91" s="21">
        <v>0.10125000000000001</v>
      </c>
      <c r="S91" s="21">
        <v>5.5579999999999997E-2</v>
      </c>
      <c r="T91" s="21">
        <v>5.6649999999999999E-2</v>
      </c>
      <c r="U91">
        <v>376</v>
      </c>
      <c r="V91">
        <v>270</v>
      </c>
      <c r="W91">
        <v>745</v>
      </c>
      <c r="X91">
        <v>835</v>
      </c>
      <c r="Y91" s="19">
        <v>791.79300000000001</v>
      </c>
      <c r="Z91" s="19">
        <v>13.164999999999999</v>
      </c>
      <c r="AA91" s="21">
        <v>5.6710000000000003E-2</v>
      </c>
      <c r="AB91" s="21">
        <v>3.4470000000000001E-2</v>
      </c>
      <c r="AC91" s="21">
        <v>4.1149999999999999E-2</v>
      </c>
      <c r="AD91" s="20">
        <v>59.519881467947549</v>
      </c>
    </row>
    <row r="92" spans="2:30" x14ac:dyDescent="0.25">
      <c r="B92" t="s">
        <v>42</v>
      </c>
      <c r="C92" s="15">
        <v>42517</v>
      </c>
      <c r="D92" s="23">
        <v>0.34913194444444445</v>
      </c>
      <c r="E92" s="24" t="s">
        <v>43</v>
      </c>
      <c r="F92">
        <v>109.8</v>
      </c>
      <c r="G92">
        <v>134.19999999999999</v>
      </c>
      <c r="H92" t="s">
        <v>45</v>
      </c>
      <c r="I92">
        <v>4000001</v>
      </c>
      <c r="J92">
        <v>249</v>
      </c>
      <c r="K92">
        <v>6.4290000000000003</v>
      </c>
      <c r="L92">
        <v>501</v>
      </c>
      <c r="M92">
        <v>360</v>
      </c>
      <c r="N92">
        <v>671</v>
      </c>
      <c r="O92">
        <v>834</v>
      </c>
      <c r="P92" s="19">
        <v>785.07500000000005</v>
      </c>
      <c r="Q92" s="19">
        <v>17.468</v>
      </c>
      <c r="R92" s="21">
        <v>0.10865</v>
      </c>
      <c r="S92" s="21">
        <v>5.4010000000000002E-2</v>
      </c>
      <c r="T92" s="21">
        <v>6.0720000000000003E-2</v>
      </c>
      <c r="U92">
        <v>376</v>
      </c>
      <c r="V92">
        <v>270</v>
      </c>
      <c r="W92">
        <v>752</v>
      </c>
      <c r="X92">
        <v>834</v>
      </c>
      <c r="Y92" s="19">
        <v>791.93399999999997</v>
      </c>
      <c r="Z92" s="19">
        <v>13.161</v>
      </c>
      <c r="AA92" s="21">
        <v>5.1839999999999997E-2</v>
      </c>
      <c r="AB92" s="21">
        <v>3.6459999999999999E-2</v>
      </c>
      <c r="AC92" s="21">
        <v>3.984E-2</v>
      </c>
      <c r="AD92" s="20">
        <v>59.671896998223353</v>
      </c>
    </row>
    <row r="93" spans="2:30" x14ac:dyDescent="0.25">
      <c r="B93" t="s">
        <v>42</v>
      </c>
      <c r="C93" s="15">
        <v>42520</v>
      </c>
      <c r="D93" s="23">
        <v>0.29707175925925927</v>
      </c>
      <c r="E93" s="24" t="s">
        <v>43</v>
      </c>
      <c r="F93">
        <v>109.8</v>
      </c>
      <c r="G93">
        <v>134.19999999999999</v>
      </c>
      <c r="H93" t="s">
        <v>45</v>
      </c>
      <c r="I93">
        <v>4000001</v>
      </c>
      <c r="J93">
        <v>255</v>
      </c>
      <c r="K93">
        <v>6.4290000000000003</v>
      </c>
      <c r="L93">
        <v>501</v>
      </c>
      <c r="M93">
        <v>360</v>
      </c>
      <c r="N93">
        <v>691</v>
      </c>
      <c r="O93">
        <v>847</v>
      </c>
      <c r="P93" s="19">
        <v>785.42899999999997</v>
      </c>
      <c r="Q93" s="19">
        <v>17.22</v>
      </c>
      <c r="R93" s="21">
        <v>0.10193000000000001</v>
      </c>
      <c r="S93" s="21">
        <v>4.759E-2</v>
      </c>
      <c r="T93" s="21">
        <v>5.5350000000000003E-2</v>
      </c>
      <c r="U93">
        <v>376</v>
      </c>
      <c r="V93">
        <v>270</v>
      </c>
      <c r="W93">
        <v>743</v>
      </c>
      <c r="X93">
        <v>829</v>
      </c>
      <c r="Y93" s="19">
        <v>792.053</v>
      </c>
      <c r="Z93" s="19">
        <v>13.396000000000001</v>
      </c>
      <c r="AA93" s="21">
        <v>5.466E-2</v>
      </c>
      <c r="AB93" s="21">
        <v>4.3400000000000001E-2</v>
      </c>
      <c r="AC93" s="21">
        <v>3.7539999999999997E-2</v>
      </c>
      <c r="AD93" s="20">
        <v>58.715447022136111</v>
      </c>
    </row>
    <row r="94" spans="2:30" x14ac:dyDescent="0.25">
      <c r="B94" t="s">
        <v>42</v>
      </c>
      <c r="C94" s="15">
        <v>42521</v>
      </c>
      <c r="D94" s="23">
        <v>0.3270717592592593</v>
      </c>
      <c r="E94" s="24" t="s">
        <v>43</v>
      </c>
      <c r="F94">
        <v>109.8</v>
      </c>
      <c r="G94">
        <v>134.19999999999999</v>
      </c>
      <c r="H94" t="s">
        <v>45</v>
      </c>
      <c r="I94">
        <v>4000001</v>
      </c>
      <c r="J94">
        <v>253</v>
      </c>
      <c r="K94">
        <v>6.4290000000000003</v>
      </c>
      <c r="L94">
        <v>501</v>
      </c>
      <c r="M94">
        <v>360</v>
      </c>
      <c r="N94">
        <v>699</v>
      </c>
      <c r="O94">
        <v>854</v>
      </c>
      <c r="P94" s="19">
        <v>785.14700000000005</v>
      </c>
      <c r="Q94" s="19">
        <v>17.437999999999999</v>
      </c>
      <c r="R94" s="21">
        <v>9.9570000000000006E-2</v>
      </c>
      <c r="S94" s="21">
        <v>5.5899999999999998E-2</v>
      </c>
      <c r="T94" s="21">
        <v>5.3809999999999997E-2</v>
      </c>
      <c r="U94">
        <v>376</v>
      </c>
      <c r="V94">
        <v>270</v>
      </c>
      <c r="W94">
        <v>746</v>
      </c>
      <c r="X94">
        <v>835</v>
      </c>
      <c r="Y94" s="19">
        <v>791.69100000000003</v>
      </c>
      <c r="Z94" s="19">
        <v>13.566000000000001</v>
      </c>
      <c r="AA94" s="21">
        <v>5.604E-2</v>
      </c>
      <c r="AB94" s="21">
        <v>4.3450000000000003E-2</v>
      </c>
      <c r="AC94" s="21">
        <v>4.6489999999999997E-2</v>
      </c>
      <c r="AD94" s="20">
        <v>59.330747196845493</v>
      </c>
    </row>
    <row r="95" spans="2:30" x14ac:dyDescent="0.25">
      <c r="B95" t="s">
        <v>42</v>
      </c>
      <c r="C95" s="15">
        <v>42522</v>
      </c>
      <c r="D95" s="23">
        <v>0.32436342592592593</v>
      </c>
      <c r="E95" s="24" t="s">
        <v>43</v>
      </c>
      <c r="F95">
        <v>109.8</v>
      </c>
      <c r="G95">
        <v>134.19999999999999</v>
      </c>
      <c r="H95" t="s">
        <v>45</v>
      </c>
      <c r="I95">
        <v>4000001</v>
      </c>
      <c r="J95">
        <v>253</v>
      </c>
      <c r="K95">
        <v>6.4290000000000003</v>
      </c>
      <c r="L95">
        <v>501</v>
      </c>
      <c r="M95">
        <v>360</v>
      </c>
      <c r="N95">
        <v>701</v>
      </c>
      <c r="O95">
        <v>838</v>
      </c>
      <c r="P95" s="19">
        <v>785.73299999999995</v>
      </c>
      <c r="Q95" s="19">
        <v>17.922999999999998</v>
      </c>
      <c r="R95" s="21">
        <v>8.9050000000000004E-2</v>
      </c>
      <c r="S95" s="21">
        <v>5.0990000000000001E-2</v>
      </c>
      <c r="T95" s="21">
        <v>4.811E-2</v>
      </c>
      <c r="U95">
        <v>376</v>
      </c>
      <c r="V95">
        <v>270</v>
      </c>
      <c r="W95">
        <v>742</v>
      </c>
      <c r="X95">
        <v>835</v>
      </c>
      <c r="Y95" s="19">
        <v>793.60299999999995</v>
      </c>
      <c r="Z95" s="19">
        <v>13.268000000000001</v>
      </c>
      <c r="AA95" s="21">
        <v>5.9569999999999998E-2</v>
      </c>
      <c r="AB95" s="21">
        <v>3.5589999999999997E-2</v>
      </c>
      <c r="AC95" s="21">
        <v>3.6549999999999999E-2</v>
      </c>
      <c r="AD95" s="20">
        <v>59.482279672622425</v>
      </c>
    </row>
    <row r="96" spans="2:30" x14ac:dyDescent="0.25">
      <c r="B96" t="s">
        <v>42</v>
      </c>
      <c r="C96" s="15">
        <v>42523</v>
      </c>
      <c r="D96" s="23">
        <v>0.31908564814814816</v>
      </c>
      <c r="E96" s="24" t="s">
        <v>43</v>
      </c>
      <c r="F96">
        <v>109.8</v>
      </c>
      <c r="G96">
        <v>134.19999999999999</v>
      </c>
      <c r="H96" t="s">
        <v>45</v>
      </c>
      <c r="I96">
        <v>4000001</v>
      </c>
      <c r="J96">
        <v>254</v>
      </c>
      <c r="K96">
        <v>6.4290000000000003</v>
      </c>
      <c r="L96">
        <v>501</v>
      </c>
      <c r="M96">
        <v>360</v>
      </c>
      <c r="N96">
        <v>710</v>
      </c>
      <c r="O96">
        <v>842</v>
      </c>
      <c r="P96" s="19">
        <v>785.702</v>
      </c>
      <c r="Q96" s="19">
        <v>16.988</v>
      </c>
      <c r="R96" s="21">
        <v>8.4940000000000002E-2</v>
      </c>
      <c r="S96" s="21">
        <v>4.9110000000000001E-2</v>
      </c>
      <c r="T96" s="21">
        <v>5.287E-2</v>
      </c>
      <c r="U96">
        <v>376</v>
      </c>
      <c r="V96">
        <v>270</v>
      </c>
      <c r="W96">
        <v>740</v>
      </c>
      <c r="X96">
        <v>838</v>
      </c>
      <c r="Y96" s="19">
        <v>792.85699999999997</v>
      </c>
      <c r="Z96" s="19">
        <v>13.547000000000001</v>
      </c>
      <c r="AA96" s="21">
        <v>6.2080000000000003E-2</v>
      </c>
      <c r="AB96" s="21">
        <v>4.231E-2</v>
      </c>
      <c r="AC96" s="21">
        <v>3.8789999999999998E-2</v>
      </c>
      <c r="AD96" s="20">
        <v>59.399418855125148</v>
      </c>
    </row>
    <row r="97" spans="2:30" x14ac:dyDescent="0.25">
      <c r="B97" t="s">
        <v>42</v>
      </c>
      <c r="C97" s="15">
        <v>42524</v>
      </c>
      <c r="D97" s="23">
        <v>0.33212962962962961</v>
      </c>
      <c r="E97" s="24" t="s">
        <v>43</v>
      </c>
      <c r="F97">
        <v>109.8</v>
      </c>
      <c r="G97">
        <v>134.19999999999999</v>
      </c>
      <c r="H97" t="s">
        <v>45</v>
      </c>
      <c r="I97">
        <v>4000001</v>
      </c>
      <c r="J97">
        <v>254</v>
      </c>
      <c r="K97">
        <v>6.4290000000000003</v>
      </c>
      <c r="L97">
        <v>501</v>
      </c>
      <c r="M97">
        <v>360</v>
      </c>
      <c r="N97">
        <v>710</v>
      </c>
      <c r="O97">
        <v>842</v>
      </c>
      <c r="P97" s="19">
        <v>784.56700000000001</v>
      </c>
      <c r="Q97" s="19">
        <v>17.306999999999999</v>
      </c>
      <c r="R97" s="21">
        <v>8.4940000000000002E-2</v>
      </c>
      <c r="S97" s="21">
        <v>4.4380000000000003E-2</v>
      </c>
      <c r="T97" s="21">
        <v>5.9130000000000002E-2</v>
      </c>
      <c r="U97">
        <v>376</v>
      </c>
      <c r="V97">
        <v>270</v>
      </c>
      <c r="W97">
        <v>749</v>
      </c>
      <c r="X97">
        <v>840</v>
      </c>
      <c r="Y97" s="19">
        <v>792.23500000000001</v>
      </c>
      <c r="Z97" s="19">
        <v>13.689</v>
      </c>
      <c r="AA97" s="21">
        <v>5.7259999999999998E-2</v>
      </c>
      <c r="AB97" s="21">
        <v>4.4380000000000003E-2</v>
      </c>
      <c r="AC97" s="21">
        <v>4.4549999999999999E-2</v>
      </c>
      <c r="AD97" s="20">
        <v>59.551126720339894</v>
      </c>
    </row>
    <row r="98" spans="2:30" x14ac:dyDescent="0.25">
      <c r="B98" t="s">
        <v>42</v>
      </c>
      <c r="C98" s="15">
        <v>42528</v>
      </c>
      <c r="D98" s="23">
        <v>0.32442129629629629</v>
      </c>
      <c r="E98" s="24" t="s">
        <v>43</v>
      </c>
      <c r="F98">
        <v>109.8</v>
      </c>
      <c r="G98">
        <v>134.19999999999999</v>
      </c>
      <c r="H98" t="s">
        <v>45</v>
      </c>
      <c r="I98">
        <v>4000001</v>
      </c>
      <c r="J98">
        <v>262</v>
      </c>
      <c r="K98">
        <v>6.4290000000000003</v>
      </c>
      <c r="L98">
        <v>501</v>
      </c>
      <c r="M98">
        <v>360</v>
      </c>
      <c r="N98">
        <v>695</v>
      </c>
      <c r="O98">
        <v>847</v>
      </c>
      <c r="P98" s="19">
        <v>789.91800000000001</v>
      </c>
      <c r="Q98" s="19">
        <v>18.030999999999999</v>
      </c>
      <c r="R98" s="21">
        <v>9.8900000000000002E-2</v>
      </c>
      <c r="S98" s="21">
        <v>4.777E-2</v>
      </c>
      <c r="T98" s="21">
        <v>6.2399999999999997E-2</v>
      </c>
      <c r="U98">
        <v>376</v>
      </c>
      <c r="V98">
        <v>270</v>
      </c>
      <c r="W98">
        <v>741</v>
      </c>
      <c r="X98">
        <v>844</v>
      </c>
      <c r="Y98" s="19">
        <v>797.47</v>
      </c>
      <c r="Z98" s="19">
        <v>13.848000000000001</v>
      </c>
      <c r="AA98" s="21">
        <v>6.5229999999999996E-2</v>
      </c>
      <c r="AB98" s="21">
        <v>4.1790000000000001E-2</v>
      </c>
      <c r="AC98" s="21">
        <v>4.8309999999999999E-2</v>
      </c>
      <c r="AD98" s="20">
        <v>58.324839921241647</v>
      </c>
    </row>
    <row r="99" spans="2:30" x14ac:dyDescent="0.25">
      <c r="B99" t="s">
        <v>42</v>
      </c>
      <c r="C99" s="15">
        <v>42529</v>
      </c>
      <c r="D99" s="23">
        <v>0.31726851851851851</v>
      </c>
      <c r="E99" s="24" t="s">
        <v>43</v>
      </c>
      <c r="F99">
        <v>109.8</v>
      </c>
      <c r="G99">
        <v>134.19999999999999</v>
      </c>
      <c r="H99" t="s">
        <v>45</v>
      </c>
      <c r="I99">
        <v>4000001</v>
      </c>
      <c r="J99">
        <v>257</v>
      </c>
      <c r="K99">
        <v>6.4290000000000003</v>
      </c>
      <c r="L99">
        <v>501</v>
      </c>
      <c r="M99">
        <v>360</v>
      </c>
      <c r="N99">
        <v>675</v>
      </c>
      <c r="O99">
        <v>851</v>
      </c>
      <c r="P99" s="19">
        <v>784.79499999999996</v>
      </c>
      <c r="Q99" s="19">
        <v>17.026</v>
      </c>
      <c r="R99" s="21">
        <v>0.11516</v>
      </c>
      <c r="S99" s="21">
        <v>5.8470000000000001E-2</v>
      </c>
      <c r="T99" s="21">
        <v>6.318E-2</v>
      </c>
      <c r="U99">
        <v>376</v>
      </c>
      <c r="V99">
        <v>270</v>
      </c>
      <c r="W99">
        <v>749</v>
      </c>
      <c r="X99">
        <v>834</v>
      </c>
      <c r="Y99" s="19">
        <v>791.74800000000005</v>
      </c>
      <c r="Z99" s="19">
        <v>13.692</v>
      </c>
      <c r="AA99" s="21">
        <v>5.3809999999999997E-2</v>
      </c>
      <c r="AB99" s="21">
        <v>4.2250000000000003E-2</v>
      </c>
      <c r="AC99" s="21">
        <v>4.5879999999999997E-2</v>
      </c>
      <c r="AD99" s="20">
        <v>59.611425912120964</v>
      </c>
    </row>
    <row r="100" spans="2:30" x14ac:dyDescent="0.25">
      <c r="B100" t="s">
        <v>42</v>
      </c>
      <c r="C100" s="15">
        <v>42530</v>
      </c>
      <c r="D100" s="23">
        <v>0.31152777777777779</v>
      </c>
      <c r="E100" s="24" t="s">
        <v>43</v>
      </c>
      <c r="F100">
        <v>109.8</v>
      </c>
      <c r="G100">
        <v>134.19999999999999</v>
      </c>
      <c r="H100" t="s">
        <v>45</v>
      </c>
      <c r="I100">
        <v>4000001</v>
      </c>
      <c r="J100">
        <v>258</v>
      </c>
      <c r="K100">
        <v>6.4290000000000003</v>
      </c>
      <c r="L100">
        <v>501</v>
      </c>
      <c r="M100">
        <v>360</v>
      </c>
      <c r="N100">
        <v>683</v>
      </c>
      <c r="O100">
        <v>841</v>
      </c>
      <c r="P100" s="19">
        <v>785.13099999999997</v>
      </c>
      <c r="Q100" s="19">
        <v>16.771000000000001</v>
      </c>
      <c r="R100" s="21">
        <v>0.10347000000000001</v>
      </c>
      <c r="S100" s="21">
        <v>4.7539999999999999E-2</v>
      </c>
      <c r="T100" s="21">
        <v>4.9930000000000002E-2</v>
      </c>
      <c r="U100">
        <v>376</v>
      </c>
      <c r="V100">
        <v>270</v>
      </c>
      <c r="W100">
        <v>749</v>
      </c>
      <c r="X100">
        <v>833</v>
      </c>
      <c r="Y100" s="19">
        <v>792.06399999999996</v>
      </c>
      <c r="Z100" s="19">
        <v>12.98</v>
      </c>
      <c r="AA100" s="21">
        <v>5.3249999999999999E-2</v>
      </c>
      <c r="AB100" s="21">
        <v>3.5740000000000001E-2</v>
      </c>
      <c r="AC100" s="21">
        <v>3.9510000000000003E-2</v>
      </c>
      <c r="AD100" s="20">
        <v>59.532033097473132</v>
      </c>
    </row>
    <row r="101" spans="2:30" x14ac:dyDescent="0.25">
      <c r="B101" t="s">
        <v>42</v>
      </c>
      <c r="C101" s="15">
        <v>42531</v>
      </c>
      <c r="D101" s="23">
        <v>0.36278935185185185</v>
      </c>
      <c r="E101" s="24" t="s">
        <v>43</v>
      </c>
      <c r="F101">
        <v>109.8</v>
      </c>
      <c r="G101">
        <v>134.19999999999999</v>
      </c>
      <c r="H101" t="s">
        <v>45</v>
      </c>
      <c r="I101">
        <v>4000001</v>
      </c>
      <c r="J101">
        <v>258</v>
      </c>
      <c r="K101">
        <v>6.4290000000000003</v>
      </c>
      <c r="L101">
        <v>501</v>
      </c>
      <c r="M101">
        <v>360</v>
      </c>
      <c r="N101">
        <v>701</v>
      </c>
      <c r="O101">
        <v>837</v>
      </c>
      <c r="P101" s="19">
        <v>785.55100000000004</v>
      </c>
      <c r="Q101" s="19">
        <v>17.338999999999999</v>
      </c>
      <c r="R101" s="21">
        <v>8.7830000000000005E-2</v>
      </c>
      <c r="S101" s="21">
        <v>4.7149999999999997E-2</v>
      </c>
      <c r="T101" s="21">
        <v>4.9169999999999998E-2</v>
      </c>
      <c r="U101">
        <v>376</v>
      </c>
      <c r="V101">
        <v>270</v>
      </c>
      <c r="W101">
        <v>745</v>
      </c>
      <c r="X101">
        <v>835</v>
      </c>
      <c r="Y101" s="19">
        <v>792.572</v>
      </c>
      <c r="Z101" s="19">
        <v>12.645</v>
      </c>
      <c r="AA101" s="21">
        <v>5.6860000000000001E-2</v>
      </c>
      <c r="AB101" s="21">
        <v>3.8399999999999997E-2</v>
      </c>
      <c r="AC101" s="21">
        <v>3.5069999999999997E-2</v>
      </c>
      <c r="AD101" s="20">
        <v>59.684079663368628</v>
      </c>
    </row>
    <row r="102" spans="2:30" x14ac:dyDescent="0.25">
      <c r="B102" t="s">
        <v>42</v>
      </c>
      <c r="C102" s="15">
        <v>42534</v>
      </c>
      <c r="D102" s="23">
        <v>0.30900462962962966</v>
      </c>
      <c r="E102" s="24" t="s">
        <v>43</v>
      </c>
      <c r="F102">
        <v>109.8</v>
      </c>
      <c r="G102">
        <v>134.19999999999999</v>
      </c>
      <c r="H102" t="s">
        <v>45</v>
      </c>
      <c r="I102">
        <v>4000001</v>
      </c>
      <c r="J102">
        <v>264</v>
      </c>
      <c r="K102">
        <v>6.4290000000000003</v>
      </c>
      <c r="L102">
        <v>501</v>
      </c>
      <c r="M102">
        <v>360</v>
      </c>
      <c r="N102">
        <v>715</v>
      </c>
      <c r="O102">
        <v>869</v>
      </c>
      <c r="P102" s="19">
        <v>784.92600000000004</v>
      </c>
      <c r="Q102" s="19">
        <v>16.989999999999998</v>
      </c>
      <c r="R102" s="21">
        <v>9.7110000000000002E-2</v>
      </c>
      <c r="S102" s="21">
        <v>4.7300000000000002E-2</v>
      </c>
      <c r="T102" s="21">
        <v>6.1990000000000003E-2</v>
      </c>
      <c r="U102">
        <v>376</v>
      </c>
      <c r="V102">
        <v>270</v>
      </c>
      <c r="W102">
        <v>752</v>
      </c>
      <c r="X102">
        <v>834</v>
      </c>
      <c r="Y102" s="19">
        <v>791.42100000000005</v>
      </c>
      <c r="Z102" s="19">
        <v>12.973000000000001</v>
      </c>
      <c r="AA102" s="21">
        <v>5.1650000000000001E-2</v>
      </c>
      <c r="AB102" s="21">
        <v>4.7300000000000002E-2</v>
      </c>
      <c r="AC102" s="21">
        <v>3.6020000000000003E-2</v>
      </c>
      <c r="AD102" s="20">
        <v>58.775677107470671</v>
      </c>
    </row>
    <row r="103" spans="2:30" x14ac:dyDescent="0.25">
      <c r="B103" t="s">
        <v>42</v>
      </c>
      <c r="C103" s="15">
        <v>42535</v>
      </c>
      <c r="D103" s="23">
        <v>0.3024189814814815</v>
      </c>
      <c r="E103" s="24" t="s">
        <v>43</v>
      </c>
      <c r="F103">
        <v>109.8</v>
      </c>
      <c r="G103">
        <v>134.19999999999999</v>
      </c>
      <c r="H103" t="s">
        <v>45</v>
      </c>
      <c r="I103">
        <v>4000001</v>
      </c>
      <c r="J103">
        <v>261</v>
      </c>
      <c r="K103">
        <v>6.4290000000000003</v>
      </c>
      <c r="L103">
        <v>501</v>
      </c>
      <c r="M103">
        <v>360</v>
      </c>
      <c r="N103">
        <v>699</v>
      </c>
      <c r="O103">
        <v>833</v>
      </c>
      <c r="P103" s="19">
        <v>785.51800000000003</v>
      </c>
      <c r="Q103" s="19">
        <v>17.283999999999999</v>
      </c>
      <c r="R103" s="21">
        <v>8.7290000000000006E-2</v>
      </c>
      <c r="S103" s="21">
        <v>5.525E-2</v>
      </c>
      <c r="T103" s="21">
        <v>5.0459999999999998E-2</v>
      </c>
      <c r="U103">
        <v>376</v>
      </c>
      <c r="V103">
        <v>270</v>
      </c>
      <c r="W103">
        <v>744</v>
      </c>
      <c r="X103">
        <v>833</v>
      </c>
      <c r="Y103" s="19">
        <v>792.04899999999998</v>
      </c>
      <c r="Z103" s="19">
        <v>13.106999999999999</v>
      </c>
      <c r="AA103" s="21">
        <v>5.672E-2</v>
      </c>
      <c r="AB103" s="21">
        <v>3.9280000000000002E-2</v>
      </c>
      <c r="AC103" s="21">
        <v>3.6159999999999998E-2</v>
      </c>
      <c r="AD103" s="20">
        <v>59.603099870970361</v>
      </c>
    </row>
    <row r="104" spans="2:30" x14ac:dyDescent="0.25">
      <c r="B104" t="s">
        <v>42</v>
      </c>
      <c r="C104" s="15">
        <v>42536</v>
      </c>
      <c r="D104" s="23">
        <v>0.31393518518518521</v>
      </c>
      <c r="E104" s="24" t="s">
        <v>43</v>
      </c>
      <c r="F104">
        <v>109.8</v>
      </c>
      <c r="G104">
        <v>134.19999999999999</v>
      </c>
      <c r="H104" t="s">
        <v>45</v>
      </c>
      <c r="I104">
        <v>4000001</v>
      </c>
      <c r="J104">
        <v>261</v>
      </c>
      <c r="K104">
        <v>6.4290000000000003</v>
      </c>
      <c r="L104">
        <v>501</v>
      </c>
      <c r="M104">
        <v>360</v>
      </c>
      <c r="N104">
        <v>711</v>
      </c>
      <c r="O104">
        <v>851</v>
      </c>
      <c r="P104" s="19">
        <v>785.096</v>
      </c>
      <c r="Q104" s="19">
        <v>17.529</v>
      </c>
      <c r="R104" s="21">
        <v>8.9749999999999996E-2</v>
      </c>
      <c r="S104" s="21">
        <v>4.9200000000000001E-2</v>
      </c>
      <c r="T104" s="21">
        <v>4.4299999999999999E-2</v>
      </c>
      <c r="U104">
        <v>376</v>
      </c>
      <c r="V104">
        <v>270</v>
      </c>
      <c r="W104">
        <v>738</v>
      </c>
      <c r="X104">
        <v>836</v>
      </c>
      <c r="Y104" s="19">
        <v>792.10500000000002</v>
      </c>
      <c r="Z104" s="19">
        <v>13.506</v>
      </c>
      <c r="AA104" s="21">
        <v>6.268E-2</v>
      </c>
      <c r="AB104" s="21">
        <v>3.805E-2</v>
      </c>
      <c r="AC104" s="21">
        <v>4.0919999999999998E-2</v>
      </c>
      <c r="AD104" s="20">
        <v>59.755327943498479</v>
      </c>
    </row>
    <row r="105" spans="2:30" x14ac:dyDescent="0.25">
      <c r="B105" t="s">
        <v>42</v>
      </c>
      <c r="C105" s="15">
        <v>42537</v>
      </c>
      <c r="D105" s="23">
        <v>0.3129513888888889</v>
      </c>
      <c r="E105" s="24" t="s">
        <v>43</v>
      </c>
      <c r="F105">
        <v>109.8</v>
      </c>
      <c r="G105">
        <v>134.19999999999999</v>
      </c>
      <c r="H105" t="s">
        <v>45</v>
      </c>
      <c r="I105">
        <v>4000001</v>
      </c>
      <c r="J105">
        <v>262</v>
      </c>
      <c r="K105">
        <v>6.4290000000000003</v>
      </c>
      <c r="L105">
        <v>501</v>
      </c>
      <c r="M105">
        <v>360</v>
      </c>
      <c r="N105">
        <v>704</v>
      </c>
      <c r="O105">
        <v>849</v>
      </c>
      <c r="P105" s="19">
        <v>784.75099999999998</v>
      </c>
      <c r="Q105" s="19">
        <v>16.742000000000001</v>
      </c>
      <c r="R105" s="21">
        <v>9.3549999999999994E-2</v>
      </c>
      <c r="S105" s="21">
        <v>4.4720000000000003E-2</v>
      </c>
      <c r="T105" s="21">
        <v>5.185E-2</v>
      </c>
      <c r="U105">
        <v>376</v>
      </c>
      <c r="V105">
        <v>270</v>
      </c>
      <c r="W105">
        <v>752</v>
      </c>
      <c r="X105">
        <v>838</v>
      </c>
      <c r="Y105" s="19">
        <v>791.33500000000004</v>
      </c>
      <c r="Z105" s="19">
        <v>12.611000000000001</v>
      </c>
      <c r="AA105" s="21">
        <v>5.364E-2</v>
      </c>
      <c r="AB105" s="21">
        <v>3.533E-2</v>
      </c>
      <c r="AC105" s="21">
        <v>3.6850000000000001E-2</v>
      </c>
      <c r="AD105" s="20">
        <v>59.679288533102692</v>
      </c>
    </row>
    <row r="106" spans="2:30" x14ac:dyDescent="0.25">
      <c r="B106" t="s">
        <v>42</v>
      </c>
      <c r="C106" s="15">
        <v>42538</v>
      </c>
      <c r="D106" s="23">
        <v>0.31437500000000002</v>
      </c>
      <c r="E106" s="24" t="s">
        <v>43</v>
      </c>
      <c r="F106">
        <v>109.8</v>
      </c>
      <c r="G106">
        <v>134.19999999999999</v>
      </c>
      <c r="H106" t="s">
        <v>45</v>
      </c>
      <c r="I106">
        <v>4000001</v>
      </c>
      <c r="J106">
        <v>262</v>
      </c>
      <c r="K106">
        <v>6.4290000000000003</v>
      </c>
      <c r="L106">
        <v>501</v>
      </c>
      <c r="M106">
        <v>360</v>
      </c>
      <c r="N106">
        <v>694</v>
      </c>
      <c r="O106">
        <v>844</v>
      </c>
      <c r="P106" s="19">
        <v>784.71</v>
      </c>
      <c r="Q106" s="19">
        <v>17.597999999999999</v>
      </c>
      <c r="R106" s="21">
        <v>9.7180000000000002E-2</v>
      </c>
      <c r="S106" s="21">
        <v>5.289E-2</v>
      </c>
      <c r="T106" s="21">
        <v>5.3949999999999998E-2</v>
      </c>
      <c r="U106">
        <v>376</v>
      </c>
      <c r="V106">
        <v>270</v>
      </c>
      <c r="W106">
        <v>743</v>
      </c>
      <c r="X106">
        <v>844</v>
      </c>
      <c r="Y106" s="19">
        <v>792.24400000000003</v>
      </c>
      <c r="Z106" s="19">
        <v>13.808</v>
      </c>
      <c r="AA106" s="21">
        <v>6.3479999999999995E-2</v>
      </c>
      <c r="AB106" s="21">
        <v>4.165E-2</v>
      </c>
      <c r="AC106" s="21">
        <v>4.1309999999999999E-2</v>
      </c>
      <c r="AD106" s="20">
        <v>59.83171119371783</v>
      </c>
    </row>
    <row r="107" spans="2:30" x14ac:dyDescent="0.25">
      <c r="B107" t="s">
        <v>42</v>
      </c>
      <c r="C107" s="15">
        <v>42541</v>
      </c>
      <c r="D107" s="23">
        <v>0.30548611111111112</v>
      </c>
      <c r="E107" s="24" t="s">
        <v>43</v>
      </c>
      <c r="F107">
        <v>109.8</v>
      </c>
      <c r="G107">
        <v>134.19999999999999</v>
      </c>
      <c r="H107" t="s">
        <v>45</v>
      </c>
      <c r="I107">
        <v>4000001</v>
      </c>
      <c r="J107">
        <v>268</v>
      </c>
      <c r="K107">
        <v>6.4290000000000003</v>
      </c>
      <c r="L107">
        <v>501</v>
      </c>
      <c r="M107">
        <v>360</v>
      </c>
      <c r="N107">
        <v>706</v>
      </c>
      <c r="O107">
        <v>838</v>
      </c>
      <c r="P107" s="19">
        <v>785.25099999999998</v>
      </c>
      <c r="Q107" s="19">
        <v>17.683</v>
      </c>
      <c r="R107" s="21">
        <v>8.5400000000000004E-2</v>
      </c>
      <c r="S107" s="21">
        <v>5.1659999999999998E-2</v>
      </c>
      <c r="T107" s="21">
        <v>6.0740000000000002E-2</v>
      </c>
      <c r="U107">
        <v>376</v>
      </c>
      <c r="V107">
        <v>270</v>
      </c>
      <c r="W107">
        <v>742</v>
      </c>
      <c r="X107">
        <v>838</v>
      </c>
      <c r="Y107" s="19">
        <v>791.72299999999996</v>
      </c>
      <c r="Z107" s="19">
        <v>13.547000000000001</v>
      </c>
      <c r="AA107" s="21">
        <v>6.1060000000000003E-2</v>
      </c>
      <c r="AB107" s="21">
        <v>4.7980000000000002E-2</v>
      </c>
      <c r="AC107" s="21">
        <v>4.4420000000000001E-2</v>
      </c>
      <c r="AD107" s="20">
        <v>58.941513259771433</v>
      </c>
    </row>
    <row r="108" spans="2:30" x14ac:dyDescent="0.25">
      <c r="B108" t="s">
        <v>42</v>
      </c>
      <c r="C108" s="15">
        <v>42542</v>
      </c>
      <c r="D108" s="23">
        <v>0.30079861111111111</v>
      </c>
      <c r="E108" s="24" t="s">
        <v>43</v>
      </c>
      <c r="F108">
        <v>109.8</v>
      </c>
      <c r="G108">
        <v>134.19999999999999</v>
      </c>
      <c r="H108" t="s">
        <v>45</v>
      </c>
      <c r="I108">
        <v>4000001</v>
      </c>
      <c r="J108">
        <v>265</v>
      </c>
      <c r="K108">
        <v>6.4290000000000003</v>
      </c>
      <c r="L108">
        <v>501</v>
      </c>
      <c r="M108">
        <v>360</v>
      </c>
      <c r="N108">
        <v>705</v>
      </c>
      <c r="O108">
        <v>840</v>
      </c>
      <c r="P108" s="19">
        <v>784.87900000000002</v>
      </c>
      <c r="Q108" s="19">
        <v>17.201000000000001</v>
      </c>
      <c r="R108" s="21">
        <v>8.7290000000000006E-2</v>
      </c>
      <c r="S108" s="21">
        <v>4.5490000000000003E-2</v>
      </c>
      <c r="T108" s="21">
        <v>3.9690000000000003E-2</v>
      </c>
      <c r="U108">
        <v>376</v>
      </c>
      <c r="V108">
        <v>270</v>
      </c>
      <c r="W108">
        <v>741</v>
      </c>
      <c r="X108">
        <v>831</v>
      </c>
      <c r="Y108" s="19">
        <v>791.48599999999999</v>
      </c>
      <c r="Z108" s="19">
        <v>13.965</v>
      </c>
      <c r="AA108" s="21">
        <v>5.7410000000000003E-2</v>
      </c>
      <c r="AB108" s="21">
        <v>4.2759999999999999E-2</v>
      </c>
      <c r="AC108" s="21">
        <v>3.8059999999999997E-2</v>
      </c>
      <c r="AD108" s="20">
        <v>59.761018242729293</v>
      </c>
    </row>
    <row r="109" spans="2:30" x14ac:dyDescent="0.25">
      <c r="B109" t="s">
        <v>42</v>
      </c>
      <c r="C109" s="15">
        <v>42543</v>
      </c>
      <c r="D109" s="23">
        <v>0.30865740740740738</v>
      </c>
      <c r="E109" s="24" t="s">
        <v>43</v>
      </c>
      <c r="F109">
        <v>109.8</v>
      </c>
      <c r="G109">
        <v>134.19999999999999</v>
      </c>
      <c r="H109" t="s">
        <v>45</v>
      </c>
      <c r="I109">
        <v>4000001</v>
      </c>
      <c r="J109">
        <v>265</v>
      </c>
      <c r="K109">
        <v>6.4290000000000003</v>
      </c>
      <c r="L109">
        <v>501</v>
      </c>
      <c r="M109">
        <v>360</v>
      </c>
      <c r="N109">
        <v>693</v>
      </c>
      <c r="O109">
        <v>850</v>
      </c>
      <c r="P109" s="19">
        <v>785.13300000000004</v>
      </c>
      <c r="Q109" s="19">
        <v>16.725000000000001</v>
      </c>
      <c r="R109" s="21">
        <v>0.10159</v>
      </c>
      <c r="S109" s="21">
        <v>4.4330000000000001E-2</v>
      </c>
      <c r="T109" s="21">
        <v>4.3069999999999997E-2</v>
      </c>
      <c r="U109">
        <v>376</v>
      </c>
      <c r="V109">
        <v>270</v>
      </c>
      <c r="W109">
        <v>742</v>
      </c>
      <c r="X109">
        <v>838</v>
      </c>
      <c r="Y109" s="19">
        <v>791.95</v>
      </c>
      <c r="Z109" s="19">
        <v>13.571999999999999</v>
      </c>
      <c r="AA109" s="21">
        <v>6.0510000000000001E-2</v>
      </c>
      <c r="AB109" s="21">
        <v>3.5889999999999998E-2</v>
      </c>
      <c r="AC109" s="21">
        <v>3.4849999999999999E-2</v>
      </c>
      <c r="AD109" s="20">
        <v>59.913649643429942</v>
      </c>
    </row>
    <row r="110" spans="2:30" x14ac:dyDescent="0.25">
      <c r="B110" t="s">
        <v>42</v>
      </c>
      <c r="C110" s="15">
        <v>42544</v>
      </c>
      <c r="D110" s="23">
        <v>0.2945949074074074</v>
      </c>
      <c r="E110" s="24" t="s">
        <v>43</v>
      </c>
      <c r="F110">
        <v>109.8</v>
      </c>
      <c r="G110">
        <v>134.19999999999999</v>
      </c>
      <c r="H110" t="s">
        <v>45</v>
      </c>
      <c r="I110">
        <v>4000001</v>
      </c>
      <c r="J110">
        <v>266</v>
      </c>
      <c r="K110">
        <v>6.4290000000000003</v>
      </c>
      <c r="L110">
        <v>501</v>
      </c>
      <c r="M110">
        <v>360</v>
      </c>
      <c r="N110">
        <v>706</v>
      </c>
      <c r="O110">
        <v>848</v>
      </c>
      <c r="P110" s="19">
        <v>784.74900000000002</v>
      </c>
      <c r="Q110" s="19">
        <v>16.751999999999999</v>
      </c>
      <c r="R110" s="21">
        <v>9.1130000000000003E-2</v>
      </c>
      <c r="S110" s="21">
        <v>5.1529999999999999E-2</v>
      </c>
      <c r="T110" s="21">
        <v>5.8009999999999999E-2</v>
      </c>
      <c r="U110">
        <v>376</v>
      </c>
      <c r="V110">
        <v>270</v>
      </c>
      <c r="W110">
        <v>746</v>
      </c>
      <c r="X110">
        <v>835</v>
      </c>
      <c r="Y110" s="19">
        <v>791.68399999999997</v>
      </c>
      <c r="Z110" s="19">
        <v>12.977</v>
      </c>
      <c r="AA110" s="21">
        <v>5.6890000000000003E-2</v>
      </c>
      <c r="AB110" s="21">
        <v>4.8820000000000002E-2</v>
      </c>
      <c r="AC110" s="21">
        <v>3.9530000000000003E-2</v>
      </c>
      <c r="AD110" s="20">
        <v>59.840856317083428</v>
      </c>
    </row>
    <row r="111" spans="2:30" x14ac:dyDescent="0.25">
      <c r="B111" t="s">
        <v>42</v>
      </c>
      <c r="C111" s="15">
        <v>42549</v>
      </c>
      <c r="D111" s="23">
        <v>0.31300925925925926</v>
      </c>
      <c r="E111" s="24" t="s">
        <v>43</v>
      </c>
      <c r="F111">
        <v>109.8</v>
      </c>
      <c r="G111">
        <v>134.19999999999999</v>
      </c>
      <c r="H111" t="s">
        <v>45</v>
      </c>
      <c r="I111">
        <v>4000001</v>
      </c>
      <c r="J111">
        <v>269</v>
      </c>
      <c r="K111">
        <v>6.4290000000000003</v>
      </c>
      <c r="L111">
        <v>501</v>
      </c>
      <c r="M111">
        <v>360</v>
      </c>
      <c r="N111">
        <v>705</v>
      </c>
      <c r="O111">
        <v>840</v>
      </c>
      <c r="P111" s="19">
        <v>784.41499999999996</v>
      </c>
      <c r="Q111" s="19">
        <v>17.516999999999999</v>
      </c>
      <c r="R111" s="21">
        <v>8.7609999999999993E-2</v>
      </c>
      <c r="S111" s="21">
        <v>4.8160000000000001E-2</v>
      </c>
      <c r="T111" s="21">
        <v>5.1959999999999999E-2</v>
      </c>
      <c r="U111">
        <v>376</v>
      </c>
      <c r="V111">
        <v>270</v>
      </c>
      <c r="W111">
        <v>747</v>
      </c>
      <c r="X111">
        <v>840</v>
      </c>
      <c r="Y111" s="19">
        <v>791.65599999999995</v>
      </c>
      <c r="Z111" s="19">
        <v>13.134</v>
      </c>
      <c r="AA111" s="21">
        <v>5.8529999999999999E-2</v>
      </c>
      <c r="AB111" s="21">
        <v>3.73E-2</v>
      </c>
      <c r="AC111" s="21">
        <v>3.619E-2</v>
      </c>
      <c r="AD111" s="20">
        <v>59.933010101505836</v>
      </c>
    </row>
    <row r="112" spans="2:30" x14ac:dyDescent="0.25">
      <c r="B112" t="s">
        <v>42</v>
      </c>
      <c r="C112" s="15">
        <v>42550</v>
      </c>
      <c r="D112" s="23">
        <v>0.31282407407407409</v>
      </c>
      <c r="E112" s="24" t="s">
        <v>43</v>
      </c>
      <c r="F112">
        <v>109.8</v>
      </c>
      <c r="G112">
        <v>134.19999999999999</v>
      </c>
      <c r="H112" t="s">
        <v>45</v>
      </c>
      <c r="I112">
        <v>4000001</v>
      </c>
      <c r="J112">
        <v>269</v>
      </c>
      <c r="K112">
        <v>6.4290000000000003</v>
      </c>
      <c r="L112">
        <v>501</v>
      </c>
      <c r="M112">
        <v>360</v>
      </c>
      <c r="N112">
        <v>711</v>
      </c>
      <c r="O112">
        <v>861</v>
      </c>
      <c r="P112" s="19">
        <v>784.36800000000005</v>
      </c>
      <c r="Q112" s="19">
        <v>17.300999999999998</v>
      </c>
      <c r="R112" s="21">
        <v>9.572E-2</v>
      </c>
      <c r="S112" s="21">
        <v>5.5070000000000001E-2</v>
      </c>
      <c r="T112" s="21">
        <v>5.491E-2</v>
      </c>
      <c r="U112">
        <v>376</v>
      </c>
      <c r="V112">
        <v>270</v>
      </c>
      <c r="W112">
        <v>737</v>
      </c>
      <c r="X112">
        <v>834</v>
      </c>
      <c r="Y112" s="19">
        <v>791.37699999999995</v>
      </c>
      <c r="Z112" s="19">
        <v>13.318</v>
      </c>
      <c r="AA112" s="21">
        <v>6.1760000000000002E-2</v>
      </c>
      <c r="AB112" s="21">
        <v>4.82E-2</v>
      </c>
      <c r="AC112" s="21">
        <v>3.9710000000000002E-2</v>
      </c>
      <c r="AD112" s="20">
        <v>60.086080774479406</v>
      </c>
    </row>
    <row r="113" spans="2:30" x14ac:dyDescent="0.25">
      <c r="B113" t="s">
        <v>42</v>
      </c>
      <c r="C113" s="15">
        <v>42551</v>
      </c>
      <c r="D113" s="23">
        <v>0.29287037037037039</v>
      </c>
      <c r="E113" s="24" t="s">
        <v>43</v>
      </c>
      <c r="F113">
        <v>109.8</v>
      </c>
      <c r="G113">
        <v>134.19999999999999</v>
      </c>
      <c r="H113" t="s">
        <v>45</v>
      </c>
      <c r="I113">
        <v>4000001</v>
      </c>
      <c r="J113">
        <v>270</v>
      </c>
      <c r="K113">
        <v>6.4290000000000003</v>
      </c>
      <c r="L113">
        <v>501</v>
      </c>
      <c r="M113">
        <v>360</v>
      </c>
      <c r="N113">
        <v>691</v>
      </c>
      <c r="O113">
        <v>833</v>
      </c>
      <c r="P113" s="19">
        <v>783.84199999999998</v>
      </c>
      <c r="Q113" s="19">
        <v>18.181000000000001</v>
      </c>
      <c r="R113" s="21">
        <v>9.3170000000000003E-2</v>
      </c>
      <c r="S113" s="21">
        <v>4.394E-2</v>
      </c>
      <c r="T113" s="21">
        <v>5.6509999999999998E-2</v>
      </c>
      <c r="U113">
        <v>376</v>
      </c>
      <c r="V113">
        <v>270</v>
      </c>
      <c r="W113">
        <v>740</v>
      </c>
      <c r="X113">
        <v>833</v>
      </c>
      <c r="Y113" s="19">
        <v>791.42499999999995</v>
      </c>
      <c r="Z113" s="19">
        <v>14.156000000000001</v>
      </c>
      <c r="AA113" s="21">
        <v>5.9240000000000001E-2</v>
      </c>
      <c r="AB113" s="21">
        <v>3.5520000000000003E-2</v>
      </c>
      <c r="AC113" s="21">
        <v>4.3920000000000001E-2</v>
      </c>
      <c r="AD113" s="20">
        <v>60.016432978184262</v>
      </c>
    </row>
    <row r="114" spans="2:30" x14ac:dyDescent="0.25">
      <c r="B114" t="s">
        <v>42</v>
      </c>
      <c r="C114" s="15">
        <v>42552</v>
      </c>
      <c r="D114" s="23">
        <v>0.31417824074074074</v>
      </c>
      <c r="E114" s="24" t="s">
        <v>43</v>
      </c>
      <c r="F114">
        <v>109.8</v>
      </c>
      <c r="G114">
        <v>134.19999999999999</v>
      </c>
      <c r="H114" t="s">
        <v>45</v>
      </c>
      <c r="I114">
        <v>4000001</v>
      </c>
      <c r="J114">
        <v>271</v>
      </c>
      <c r="K114">
        <v>6.4290000000000003</v>
      </c>
      <c r="L114">
        <v>501</v>
      </c>
      <c r="M114">
        <v>360</v>
      </c>
      <c r="N114">
        <v>698</v>
      </c>
      <c r="O114">
        <v>849</v>
      </c>
      <c r="P114" s="19">
        <v>785.49400000000003</v>
      </c>
      <c r="Q114" s="19">
        <v>18.771000000000001</v>
      </c>
      <c r="R114" s="21">
        <v>9.7600000000000006E-2</v>
      </c>
      <c r="S114" s="21">
        <v>5.6410000000000002E-2</v>
      </c>
      <c r="T114" s="21">
        <v>5.1720000000000002E-2</v>
      </c>
      <c r="U114">
        <v>376</v>
      </c>
      <c r="V114">
        <v>270</v>
      </c>
      <c r="W114">
        <v>745</v>
      </c>
      <c r="X114">
        <v>849</v>
      </c>
      <c r="Y114" s="19">
        <v>793.65200000000004</v>
      </c>
      <c r="Z114" s="19">
        <v>14.266999999999999</v>
      </c>
      <c r="AA114" s="21">
        <v>6.5799999999999997E-2</v>
      </c>
      <c r="AB114" s="21">
        <v>3.9789999999999999E-2</v>
      </c>
      <c r="AC114" s="21">
        <v>4.2520000000000002E-2</v>
      </c>
      <c r="AD114" s="20">
        <v>59.947688240676399</v>
      </c>
    </row>
    <row r="115" spans="2:30" x14ac:dyDescent="0.25">
      <c r="B115" t="s">
        <v>42</v>
      </c>
      <c r="C115" s="15">
        <v>42555</v>
      </c>
      <c r="D115" s="23">
        <v>0.32916666666666666</v>
      </c>
      <c r="E115" s="24" t="s">
        <v>43</v>
      </c>
      <c r="F115">
        <v>109.8</v>
      </c>
      <c r="G115">
        <v>134.19999999999999</v>
      </c>
      <c r="H115" t="s">
        <v>45</v>
      </c>
      <c r="I115">
        <v>4000001</v>
      </c>
      <c r="J115">
        <v>277</v>
      </c>
      <c r="K115">
        <v>6.4290000000000003</v>
      </c>
      <c r="L115">
        <v>501</v>
      </c>
      <c r="M115">
        <v>360</v>
      </c>
      <c r="N115">
        <v>697</v>
      </c>
      <c r="O115">
        <v>839</v>
      </c>
      <c r="P115" s="19">
        <v>784.18600000000004</v>
      </c>
      <c r="Q115" s="19">
        <v>17.757999999999999</v>
      </c>
      <c r="R115" s="21">
        <v>9.2520000000000005E-2</v>
      </c>
      <c r="S115" s="21">
        <v>4.4630000000000003E-2</v>
      </c>
      <c r="T115" s="21">
        <v>4.512E-2</v>
      </c>
      <c r="U115">
        <v>376</v>
      </c>
      <c r="V115">
        <v>270</v>
      </c>
      <c r="W115">
        <v>744</v>
      </c>
      <c r="X115">
        <v>830</v>
      </c>
      <c r="Y115" s="19">
        <v>790.80100000000004</v>
      </c>
      <c r="Z115" s="19">
        <v>13.624000000000001</v>
      </c>
      <c r="AA115" s="21">
        <v>5.4379999999999998E-2</v>
      </c>
      <c r="AB115" s="21">
        <v>3.5619999999999999E-2</v>
      </c>
      <c r="AC115" s="21">
        <v>4.1739999999999999E-2</v>
      </c>
      <c r="AD115" s="20">
        <v>59.09970627016444</v>
      </c>
    </row>
    <row r="116" spans="2:30" x14ac:dyDescent="0.25">
      <c r="B116" t="s">
        <v>42</v>
      </c>
      <c r="C116" s="15">
        <v>42557</v>
      </c>
      <c r="D116" s="23">
        <v>0.31516203703703705</v>
      </c>
      <c r="E116" s="24" t="s">
        <v>43</v>
      </c>
      <c r="F116">
        <v>109.8</v>
      </c>
      <c r="G116">
        <v>134.19999999999999</v>
      </c>
      <c r="H116" t="s">
        <v>45</v>
      </c>
      <c r="I116">
        <v>4000001</v>
      </c>
      <c r="J116">
        <v>274</v>
      </c>
      <c r="K116">
        <v>6.4290000000000003</v>
      </c>
      <c r="L116">
        <v>501</v>
      </c>
      <c r="M116">
        <v>360</v>
      </c>
      <c r="N116">
        <v>695</v>
      </c>
      <c r="O116">
        <v>839</v>
      </c>
      <c r="P116" s="19">
        <v>784.22</v>
      </c>
      <c r="Q116" s="19">
        <v>18.295999999999999</v>
      </c>
      <c r="R116" s="21">
        <v>9.393E-2</v>
      </c>
      <c r="S116" s="21">
        <v>5.2639999999999999E-2</v>
      </c>
      <c r="T116" s="21">
        <v>5.765E-2</v>
      </c>
      <c r="U116">
        <v>376</v>
      </c>
      <c r="V116">
        <v>270</v>
      </c>
      <c r="W116">
        <v>747</v>
      </c>
      <c r="X116">
        <v>835</v>
      </c>
      <c r="Y116" s="19">
        <v>792.00199999999995</v>
      </c>
      <c r="Z116" s="19">
        <v>14.180999999999999</v>
      </c>
      <c r="AA116" s="21">
        <v>5.6030000000000003E-2</v>
      </c>
      <c r="AB116" s="21">
        <v>3.7850000000000002E-2</v>
      </c>
      <c r="AC116" s="21">
        <v>3.959E-2</v>
      </c>
      <c r="AD116" s="20">
        <v>60.052363167063646</v>
      </c>
    </row>
    <row r="117" spans="2:30" x14ac:dyDescent="0.25">
      <c r="B117" t="s">
        <v>42</v>
      </c>
      <c r="C117" s="15">
        <v>42558</v>
      </c>
      <c r="D117" s="23">
        <v>0.31038194444444445</v>
      </c>
      <c r="E117" s="24" t="s">
        <v>43</v>
      </c>
      <c r="F117">
        <v>109.8</v>
      </c>
      <c r="G117">
        <v>134.19999999999999</v>
      </c>
      <c r="H117" t="s">
        <v>45</v>
      </c>
      <c r="I117">
        <v>4000001</v>
      </c>
      <c r="J117">
        <v>275</v>
      </c>
      <c r="K117">
        <v>6.4290000000000003</v>
      </c>
      <c r="L117">
        <v>501</v>
      </c>
      <c r="M117">
        <v>360</v>
      </c>
      <c r="N117">
        <v>708</v>
      </c>
      <c r="O117">
        <v>859</v>
      </c>
      <c r="P117" s="19">
        <v>784.85</v>
      </c>
      <c r="Q117" s="19">
        <v>18.805</v>
      </c>
      <c r="R117" s="21">
        <v>9.6299999999999997E-2</v>
      </c>
      <c r="S117" s="21">
        <v>5.3060000000000003E-2</v>
      </c>
      <c r="T117" s="21">
        <v>4.9849999999999998E-2</v>
      </c>
      <c r="U117">
        <v>376</v>
      </c>
      <c r="V117">
        <v>270</v>
      </c>
      <c r="W117">
        <v>747</v>
      </c>
      <c r="X117">
        <v>843</v>
      </c>
      <c r="Y117" s="19">
        <v>792.65899999999999</v>
      </c>
      <c r="Z117" s="19">
        <v>14.121</v>
      </c>
      <c r="AA117" s="21">
        <v>6.028E-2</v>
      </c>
      <c r="AB117" s="21">
        <v>3.7870000000000001E-2</v>
      </c>
      <c r="AC117" s="21">
        <v>4.308E-2</v>
      </c>
      <c r="AD117" s="20">
        <v>59.986808712477227</v>
      </c>
    </row>
    <row r="118" spans="2:30" x14ac:dyDescent="0.25">
      <c r="B118" t="s">
        <v>42</v>
      </c>
      <c r="C118" s="15">
        <v>42559</v>
      </c>
      <c r="D118" s="23">
        <v>0.31667824074074075</v>
      </c>
      <c r="E118" s="24" t="s">
        <v>43</v>
      </c>
      <c r="F118">
        <v>109.8</v>
      </c>
      <c r="G118">
        <v>134.19999999999999</v>
      </c>
      <c r="H118" t="s">
        <v>45</v>
      </c>
      <c r="I118">
        <v>4000001</v>
      </c>
      <c r="J118">
        <v>275</v>
      </c>
      <c r="K118">
        <v>6.4290000000000003</v>
      </c>
      <c r="L118">
        <v>501</v>
      </c>
      <c r="M118">
        <v>360</v>
      </c>
      <c r="N118">
        <v>689</v>
      </c>
      <c r="O118">
        <v>836</v>
      </c>
      <c r="P118" s="19">
        <v>784.22799999999995</v>
      </c>
      <c r="Q118" s="19">
        <v>19.03</v>
      </c>
      <c r="R118" s="21">
        <v>9.6250000000000002E-2</v>
      </c>
      <c r="S118" s="21">
        <v>5.6480000000000002E-2</v>
      </c>
      <c r="T118" s="21">
        <v>4.9919999999999999E-2</v>
      </c>
      <c r="U118">
        <v>376</v>
      </c>
      <c r="V118">
        <v>270</v>
      </c>
      <c r="W118">
        <v>736</v>
      </c>
      <c r="X118">
        <v>834</v>
      </c>
      <c r="Y118" s="19">
        <v>791.87199999999996</v>
      </c>
      <c r="Z118" s="19">
        <v>14.417</v>
      </c>
      <c r="AA118" s="21">
        <v>6.2869999999999995E-2</v>
      </c>
      <c r="AB118" s="21">
        <v>4.5679999999999998E-2</v>
      </c>
      <c r="AC118" s="21">
        <v>3.6299999999999999E-2</v>
      </c>
      <c r="AD118" s="20">
        <v>60.140016788687696</v>
      </c>
    </row>
    <row r="119" spans="2:30" x14ac:dyDescent="0.25">
      <c r="B119" t="s">
        <v>42</v>
      </c>
      <c r="C119" s="15">
        <v>42562</v>
      </c>
      <c r="D119" s="23">
        <v>0.3260763888888889</v>
      </c>
      <c r="E119" s="24" t="s">
        <v>43</v>
      </c>
      <c r="F119">
        <v>109.8</v>
      </c>
      <c r="G119">
        <v>134.19999999999999</v>
      </c>
      <c r="H119" t="s">
        <v>45</v>
      </c>
      <c r="I119">
        <v>4000001</v>
      </c>
      <c r="J119">
        <v>281</v>
      </c>
      <c r="K119">
        <v>6.4290000000000003</v>
      </c>
      <c r="L119">
        <v>501</v>
      </c>
      <c r="M119">
        <v>360</v>
      </c>
      <c r="N119">
        <v>698</v>
      </c>
      <c r="O119">
        <v>841</v>
      </c>
      <c r="P119" s="19">
        <v>784.42499999999995</v>
      </c>
      <c r="Q119" s="19">
        <v>17.259</v>
      </c>
      <c r="R119" s="21">
        <v>9.307E-2</v>
      </c>
      <c r="S119" s="21">
        <v>4.3659999999999997E-2</v>
      </c>
      <c r="T119" s="21">
        <v>4.8899999999999999E-2</v>
      </c>
      <c r="U119">
        <v>376</v>
      </c>
      <c r="V119">
        <v>270</v>
      </c>
      <c r="W119">
        <v>742</v>
      </c>
      <c r="X119">
        <v>841</v>
      </c>
      <c r="Y119" s="19">
        <v>791.79300000000001</v>
      </c>
      <c r="Z119" s="19">
        <v>13.597</v>
      </c>
      <c r="AA119" s="21">
        <v>6.2710000000000002E-2</v>
      </c>
      <c r="AB119" s="21">
        <v>4.2470000000000001E-2</v>
      </c>
      <c r="AC119" s="21">
        <v>3.9120000000000002E-2</v>
      </c>
      <c r="AD119" s="20">
        <v>59.308000076117928</v>
      </c>
    </row>
    <row r="120" spans="2:30" x14ac:dyDescent="0.25">
      <c r="B120" t="s">
        <v>42</v>
      </c>
      <c r="C120" s="15">
        <v>42563</v>
      </c>
      <c r="D120" s="23">
        <v>0.30916666666666665</v>
      </c>
      <c r="E120" s="24" t="s">
        <v>43</v>
      </c>
      <c r="F120">
        <v>109.8</v>
      </c>
      <c r="G120">
        <v>134.19999999999999</v>
      </c>
      <c r="H120" t="s">
        <v>45</v>
      </c>
      <c r="I120">
        <v>4000001</v>
      </c>
      <c r="J120">
        <v>277</v>
      </c>
      <c r="K120">
        <v>6.4290000000000003</v>
      </c>
      <c r="L120">
        <v>501</v>
      </c>
      <c r="M120">
        <v>360</v>
      </c>
      <c r="N120">
        <v>692</v>
      </c>
      <c r="O120">
        <v>840</v>
      </c>
      <c r="P120" s="19">
        <v>784.16099999999994</v>
      </c>
      <c r="Q120" s="19">
        <v>17.882000000000001</v>
      </c>
      <c r="R120" s="21">
        <v>9.6619999999999998E-2</v>
      </c>
      <c r="S120" s="21">
        <v>5.1839999999999997E-2</v>
      </c>
      <c r="T120" s="21">
        <v>4.9860000000000002E-2</v>
      </c>
      <c r="U120">
        <v>376</v>
      </c>
      <c r="V120">
        <v>270</v>
      </c>
      <c r="W120">
        <v>729</v>
      </c>
      <c r="X120">
        <v>829</v>
      </c>
      <c r="Y120" s="19">
        <v>791.98500000000001</v>
      </c>
      <c r="Z120" s="19">
        <v>13.208</v>
      </c>
      <c r="AA120" s="21">
        <v>6.4310000000000006E-2</v>
      </c>
      <c r="AB120" s="21">
        <v>5.1839999999999997E-2</v>
      </c>
      <c r="AC120" s="21">
        <v>4.9700000000000001E-2</v>
      </c>
      <c r="AD120" s="20">
        <v>60.318095024827002</v>
      </c>
    </row>
    <row r="121" spans="2:30" x14ac:dyDescent="0.25">
      <c r="B121" t="s">
        <v>42</v>
      </c>
      <c r="C121" s="15">
        <v>42564</v>
      </c>
      <c r="D121" s="23">
        <v>0.34037037037037038</v>
      </c>
      <c r="E121" s="24" t="s">
        <v>43</v>
      </c>
      <c r="F121">
        <v>109.8</v>
      </c>
      <c r="G121">
        <v>134.19999999999999</v>
      </c>
      <c r="H121" t="s">
        <v>45</v>
      </c>
      <c r="I121">
        <v>4000001</v>
      </c>
      <c r="J121">
        <v>278</v>
      </c>
      <c r="K121">
        <v>6.4290000000000003</v>
      </c>
      <c r="L121">
        <v>501</v>
      </c>
      <c r="M121">
        <v>360</v>
      </c>
      <c r="N121">
        <v>668</v>
      </c>
      <c r="O121">
        <v>853</v>
      </c>
      <c r="P121" s="19">
        <v>784.51700000000005</v>
      </c>
      <c r="Q121" s="19">
        <v>17.239000000000001</v>
      </c>
      <c r="R121" s="21">
        <v>0.12139999999999999</v>
      </c>
      <c r="S121" s="21">
        <v>4.7890000000000002E-2</v>
      </c>
      <c r="T121" s="21">
        <v>4.8840000000000001E-2</v>
      </c>
      <c r="U121">
        <v>376</v>
      </c>
      <c r="V121">
        <v>270</v>
      </c>
      <c r="W121">
        <v>746</v>
      </c>
      <c r="X121">
        <v>824</v>
      </c>
      <c r="Y121" s="19">
        <v>791.47799999999995</v>
      </c>
      <c r="Z121" s="19">
        <v>13.000999999999999</v>
      </c>
      <c r="AA121" s="21">
        <v>4.9340000000000002E-2</v>
      </c>
      <c r="AB121" s="21">
        <v>3.2960000000000003E-2</v>
      </c>
      <c r="AC121" s="21">
        <v>3.5569999999999997E-2</v>
      </c>
      <c r="AD121" s="20">
        <v>60.254623499431972</v>
      </c>
    </row>
    <row r="122" spans="2:30" x14ac:dyDescent="0.25">
      <c r="B122" t="s">
        <v>42</v>
      </c>
      <c r="C122" s="15">
        <v>42565</v>
      </c>
      <c r="D122" s="23">
        <v>0.34923611111111108</v>
      </c>
      <c r="E122" s="24" t="s">
        <v>43</v>
      </c>
      <c r="F122">
        <v>109.8</v>
      </c>
      <c r="G122">
        <v>134.19999999999999</v>
      </c>
      <c r="H122" t="s">
        <v>45</v>
      </c>
      <c r="I122">
        <v>4000001</v>
      </c>
      <c r="J122">
        <v>279</v>
      </c>
      <c r="K122">
        <v>6.4290000000000003</v>
      </c>
      <c r="L122">
        <v>501</v>
      </c>
      <c r="M122">
        <v>360</v>
      </c>
      <c r="N122">
        <v>693</v>
      </c>
      <c r="O122">
        <v>835</v>
      </c>
      <c r="P122" s="19">
        <v>784.56899999999996</v>
      </c>
      <c r="Q122" s="19">
        <v>17.861999999999998</v>
      </c>
      <c r="R122" s="21">
        <v>9.2749999999999999E-2</v>
      </c>
      <c r="S122" s="21">
        <v>5.5259999999999997E-2</v>
      </c>
      <c r="T122" s="21">
        <v>5.3370000000000001E-2</v>
      </c>
      <c r="U122">
        <v>376</v>
      </c>
      <c r="V122">
        <v>270</v>
      </c>
      <c r="W122">
        <v>748</v>
      </c>
      <c r="X122">
        <v>835</v>
      </c>
      <c r="Y122" s="19">
        <v>792.00099999999998</v>
      </c>
      <c r="Z122" s="19">
        <v>14.044</v>
      </c>
      <c r="AA122" s="21">
        <v>5.4730000000000001E-2</v>
      </c>
      <c r="AB122" s="21">
        <v>4.1549999999999997E-2</v>
      </c>
      <c r="AC122" s="21">
        <v>4.1869999999999997E-2</v>
      </c>
      <c r="AD122" s="20">
        <v>60.191997605497946</v>
      </c>
    </row>
    <row r="123" spans="2:30" x14ac:dyDescent="0.25">
      <c r="B123" t="s">
        <v>42</v>
      </c>
      <c r="C123" s="15">
        <v>42566</v>
      </c>
      <c r="D123" s="23">
        <v>0.31395833333333334</v>
      </c>
      <c r="E123" s="24" t="s">
        <v>43</v>
      </c>
      <c r="F123">
        <v>109.8</v>
      </c>
      <c r="G123">
        <v>134.19999999999999</v>
      </c>
      <c r="H123" t="s">
        <v>45</v>
      </c>
      <c r="I123">
        <v>4000001</v>
      </c>
      <c r="J123">
        <v>279</v>
      </c>
      <c r="K123">
        <v>6.4290000000000003</v>
      </c>
      <c r="L123">
        <v>501</v>
      </c>
      <c r="M123">
        <v>360</v>
      </c>
      <c r="N123">
        <v>674</v>
      </c>
      <c r="O123">
        <v>842</v>
      </c>
      <c r="P123" s="19">
        <v>784.59199999999998</v>
      </c>
      <c r="Q123" s="19">
        <v>18.436</v>
      </c>
      <c r="R123" s="21">
        <v>0.11094999999999999</v>
      </c>
      <c r="S123" s="21">
        <v>5.9959999999999999E-2</v>
      </c>
      <c r="T123" s="21">
        <v>5.944E-2</v>
      </c>
      <c r="U123">
        <v>376</v>
      </c>
      <c r="V123">
        <v>270</v>
      </c>
      <c r="W123">
        <v>746</v>
      </c>
      <c r="X123">
        <v>842</v>
      </c>
      <c r="Y123" s="19">
        <v>792.28</v>
      </c>
      <c r="Z123" s="19">
        <v>13.75</v>
      </c>
      <c r="AA123" s="21">
        <v>6.0609999999999997E-2</v>
      </c>
      <c r="AB123" s="21">
        <v>3.6080000000000001E-2</v>
      </c>
      <c r="AC123" s="21">
        <v>4.2119999999999998E-2</v>
      </c>
      <c r="AD123" s="20">
        <v>60.345729740184517</v>
      </c>
    </row>
    <row r="124" spans="2:30" x14ac:dyDescent="0.25">
      <c r="B124" t="s">
        <v>42</v>
      </c>
      <c r="C124" s="15">
        <v>42571</v>
      </c>
      <c r="D124" s="23">
        <v>0.31438657407407405</v>
      </c>
      <c r="E124" s="24" t="s">
        <v>43</v>
      </c>
      <c r="F124">
        <v>109.8</v>
      </c>
      <c r="G124">
        <v>134.19999999999999</v>
      </c>
      <c r="H124" t="s">
        <v>45</v>
      </c>
      <c r="I124">
        <v>4000001</v>
      </c>
      <c r="J124">
        <v>283</v>
      </c>
      <c r="K124">
        <v>6.4290000000000003</v>
      </c>
      <c r="L124">
        <v>501</v>
      </c>
      <c r="M124">
        <v>360</v>
      </c>
      <c r="N124">
        <v>682</v>
      </c>
      <c r="O124">
        <v>842</v>
      </c>
      <c r="P124" s="19">
        <v>784.5</v>
      </c>
      <c r="Q124" s="19">
        <v>17.678000000000001</v>
      </c>
      <c r="R124" s="21">
        <v>0.1055</v>
      </c>
      <c r="S124" s="21">
        <v>7.1559999999999999E-2</v>
      </c>
      <c r="T124" s="21">
        <v>5.4420000000000003E-2</v>
      </c>
      <c r="U124">
        <v>376</v>
      </c>
      <c r="V124">
        <v>270</v>
      </c>
      <c r="W124">
        <v>744</v>
      </c>
      <c r="X124">
        <v>842</v>
      </c>
      <c r="Y124" s="19">
        <v>792.86599999999999</v>
      </c>
      <c r="Z124" s="19">
        <v>13.384</v>
      </c>
      <c r="AA124" s="21">
        <v>6.2390000000000001E-2</v>
      </c>
      <c r="AB124" s="21">
        <v>3.773E-2</v>
      </c>
      <c r="AC124" s="21">
        <v>4.1709999999999997E-2</v>
      </c>
      <c r="AD124" s="20">
        <v>60.256408887326408</v>
      </c>
    </row>
    <row r="125" spans="2:30" x14ac:dyDescent="0.25">
      <c r="B125" t="s">
        <v>42</v>
      </c>
      <c r="C125" s="15">
        <v>42576</v>
      </c>
      <c r="D125" s="23">
        <v>0.31437500000000002</v>
      </c>
      <c r="E125" s="24" t="s">
        <v>43</v>
      </c>
      <c r="F125">
        <v>109.8</v>
      </c>
      <c r="G125">
        <v>134.19999999999999</v>
      </c>
      <c r="H125" t="s">
        <v>45</v>
      </c>
      <c r="I125">
        <v>4000001</v>
      </c>
      <c r="J125">
        <v>291</v>
      </c>
      <c r="K125">
        <v>6.4290000000000003</v>
      </c>
      <c r="L125">
        <v>501</v>
      </c>
      <c r="M125">
        <v>360</v>
      </c>
      <c r="N125">
        <v>699</v>
      </c>
      <c r="O125">
        <v>839</v>
      </c>
      <c r="P125" s="19">
        <v>784.17700000000002</v>
      </c>
      <c r="Q125" s="19">
        <v>18.591000000000001</v>
      </c>
      <c r="R125" s="21">
        <v>9.0759999999999993E-2</v>
      </c>
      <c r="S125" s="21">
        <v>5.7930000000000002E-2</v>
      </c>
      <c r="T125" s="21">
        <v>4.9320000000000003E-2</v>
      </c>
      <c r="U125">
        <v>376</v>
      </c>
      <c r="V125">
        <v>270</v>
      </c>
      <c r="W125">
        <v>742</v>
      </c>
      <c r="X125">
        <v>839</v>
      </c>
      <c r="Y125" s="19">
        <v>791.32399999999996</v>
      </c>
      <c r="Z125" s="19">
        <v>14.739000000000001</v>
      </c>
      <c r="AA125" s="21">
        <v>6.0990000000000003E-2</v>
      </c>
      <c r="AB125" s="21">
        <v>4.9590000000000002E-2</v>
      </c>
      <c r="AC125" s="21">
        <v>3.6740000000000002E-2</v>
      </c>
      <c r="AD125" s="20">
        <v>59.352036630999741</v>
      </c>
    </row>
    <row r="126" spans="2:30" x14ac:dyDescent="0.25">
      <c r="B126" t="s">
        <v>42</v>
      </c>
      <c r="C126" s="15">
        <v>42578</v>
      </c>
      <c r="D126" s="23">
        <v>0.31672453703703701</v>
      </c>
      <c r="E126" s="24" t="s">
        <v>43</v>
      </c>
      <c r="F126">
        <v>109.8</v>
      </c>
      <c r="G126">
        <v>134.19999999999999</v>
      </c>
      <c r="H126" t="s">
        <v>45</v>
      </c>
      <c r="I126">
        <v>4000001</v>
      </c>
      <c r="J126">
        <v>287</v>
      </c>
      <c r="K126">
        <v>6.4290000000000003</v>
      </c>
      <c r="L126">
        <v>501</v>
      </c>
      <c r="M126">
        <v>360</v>
      </c>
      <c r="N126">
        <v>685</v>
      </c>
      <c r="O126">
        <v>847</v>
      </c>
      <c r="P126" s="19">
        <v>784.755</v>
      </c>
      <c r="Q126" s="19">
        <v>16.747</v>
      </c>
      <c r="R126" s="21">
        <v>0.10589999999999999</v>
      </c>
      <c r="S126" s="21">
        <v>6.8049999999999999E-2</v>
      </c>
      <c r="T126" s="21">
        <v>4.9209999999999997E-2</v>
      </c>
      <c r="U126">
        <v>376</v>
      </c>
      <c r="V126">
        <v>270</v>
      </c>
      <c r="W126">
        <v>739</v>
      </c>
      <c r="X126">
        <v>847</v>
      </c>
      <c r="Y126" s="19">
        <v>791.81600000000003</v>
      </c>
      <c r="Z126" s="19">
        <v>13.725</v>
      </c>
      <c r="AA126" s="21">
        <v>6.7760000000000001E-2</v>
      </c>
      <c r="AB126" s="21">
        <v>3.7249999999999998E-2</v>
      </c>
      <c r="AC126" s="21">
        <v>3.8150000000000003E-2</v>
      </c>
      <c r="AD126" s="20">
        <v>60.487034386296578</v>
      </c>
    </row>
    <row r="127" spans="2:30" x14ac:dyDescent="0.25">
      <c r="B127" t="s">
        <v>42</v>
      </c>
      <c r="C127" s="15">
        <v>42580</v>
      </c>
      <c r="D127" s="23">
        <v>0.30150462962962959</v>
      </c>
      <c r="E127" s="24" t="s">
        <v>43</v>
      </c>
      <c r="F127">
        <v>109.8</v>
      </c>
      <c r="G127">
        <v>134.19999999999999</v>
      </c>
      <c r="H127" t="s">
        <v>45</v>
      </c>
      <c r="I127">
        <v>4000001</v>
      </c>
      <c r="J127">
        <v>289</v>
      </c>
      <c r="K127">
        <v>6.4290000000000003</v>
      </c>
      <c r="L127">
        <v>501</v>
      </c>
      <c r="M127">
        <v>360</v>
      </c>
      <c r="N127">
        <v>698</v>
      </c>
      <c r="O127">
        <v>838</v>
      </c>
      <c r="P127" s="19">
        <v>785.07500000000005</v>
      </c>
      <c r="Q127" s="19">
        <v>17.54</v>
      </c>
      <c r="R127" s="21">
        <v>9.078E-2</v>
      </c>
      <c r="S127" s="21">
        <v>4.5589999999999999E-2</v>
      </c>
      <c r="T127" s="21">
        <v>4.6190000000000002E-2</v>
      </c>
      <c r="U127">
        <v>376</v>
      </c>
      <c r="V127">
        <v>270</v>
      </c>
      <c r="W127">
        <v>749</v>
      </c>
      <c r="X127">
        <v>838</v>
      </c>
      <c r="Y127" s="19">
        <v>792.28800000000001</v>
      </c>
      <c r="Z127" s="19">
        <v>14.103</v>
      </c>
      <c r="AA127" s="21">
        <v>5.586E-2</v>
      </c>
      <c r="AB127" s="21">
        <v>4.5589999999999999E-2</v>
      </c>
      <c r="AC127" s="21">
        <v>4.6190000000000002E-2</v>
      </c>
      <c r="AD127" s="20">
        <v>60.375663947738865</v>
      </c>
    </row>
    <row r="128" spans="2:30" x14ac:dyDescent="0.25">
      <c r="B128" t="s">
        <v>42</v>
      </c>
      <c r="C128" s="15">
        <v>42584</v>
      </c>
      <c r="D128" s="23">
        <v>0.31339120370370371</v>
      </c>
      <c r="E128" s="24" t="s">
        <v>43</v>
      </c>
      <c r="F128">
        <v>109.8</v>
      </c>
      <c r="G128">
        <v>134.19999999999999</v>
      </c>
      <c r="H128" t="s">
        <v>45</v>
      </c>
      <c r="I128">
        <v>4000001</v>
      </c>
      <c r="J128">
        <v>295</v>
      </c>
      <c r="K128">
        <v>6.4290000000000003</v>
      </c>
      <c r="L128">
        <v>501</v>
      </c>
      <c r="M128">
        <v>360</v>
      </c>
      <c r="N128">
        <v>719</v>
      </c>
      <c r="O128">
        <v>842</v>
      </c>
      <c r="P128" s="19">
        <v>783.99300000000005</v>
      </c>
      <c r="Q128" s="19">
        <v>17.056999999999999</v>
      </c>
      <c r="R128" s="21">
        <v>7.8950000000000006E-2</v>
      </c>
      <c r="S128" s="21">
        <v>5.9400000000000001E-2</v>
      </c>
      <c r="T128" s="21">
        <v>6.5540000000000001E-2</v>
      </c>
      <c r="U128">
        <v>376</v>
      </c>
      <c r="V128">
        <v>270</v>
      </c>
      <c r="W128">
        <v>745</v>
      </c>
      <c r="X128">
        <v>836</v>
      </c>
      <c r="Y128" s="19">
        <v>791.15</v>
      </c>
      <c r="Z128" s="19">
        <v>13.52</v>
      </c>
      <c r="AA128" s="21">
        <v>5.7209999999999997E-2</v>
      </c>
      <c r="AB128" s="21">
        <v>3.857E-2</v>
      </c>
      <c r="AC128" s="21">
        <v>4.0910000000000002E-2</v>
      </c>
      <c r="AD128" s="20">
        <v>59.754262943231225</v>
      </c>
    </row>
    <row r="129" spans="2:30" x14ac:dyDescent="0.25">
      <c r="B129" t="s">
        <v>42</v>
      </c>
      <c r="C129" s="15">
        <v>42585</v>
      </c>
      <c r="D129" s="23">
        <v>0.29987268518518517</v>
      </c>
      <c r="E129" s="24" t="s">
        <v>43</v>
      </c>
      <c r="F129">
        <v>109.8</v>
      </c>
      <c r="G129">
        <v>134.19999999999999</v>
      </c>
      <c r="H129" t="s">
        <v>45</v>
      </c>
      <c r="I129">
        <v>4000001</v>
      </c>
      <c r="J129">
        <v>292</v>
      </c>
      <c r="K129">
        <v>6.4290000000000003</v>
      </c>
      <c r="L129">
        <v>501</v>
      </c>
      <c r="M129">
        <v>360</v>
      </c>
      <c r="N129">
        <v>714</v>
      </c>
      <c r="O129">
        <v>839</v>
      </c>
      <c r="P129" s="19">
        <v>784.83600000000001</v>
      </c>
      <c r="Q129" s="19">
        <v>16.059999999999999</v>
      </c>
      <c r="R129" s="21">
        <v>8.0519999999999994E-2</v>
      </c>
      <c r="S129" s="21">
        <v>4.4040000000000003E-2</v>
      </c>
      <c r="T129" s="21">
        <v>5.4730000000000001E-2</v>
      </c>
      <c r="U129">
        <v>376</v>
      </c>
      <c r="V129">
        <v>270</v>
      </c>
      <c r="W129">
        <v>755</v>
      </c>
      <c r="X129">
        <v>839</v>
      </c>
      <c r="Y129" s="19">
        <v>791.68299999999999</v>
      </c>
      <c r="Z129" s="19">
        <v>12.504</v>
      </c>
      <c r="AA129" s="21">
        <v>5.2699999999999997E-2</v>
      </c>
      <c r="AB129" s="21">
        <v>3.6470000000000002E-2</v>
      </c>
      <c r="AC129" s="21">
        <v>3.6949999999999997E-2</v>
      </c>
      <c r="AD129" s="20">
        <v>60.522358704643544</v>
      </c>
    </row>
    <row r="130" spans="2:30" x14ac:dyDescent="0.25">
      <c r="B130" t="s">
        <v>42</v>
      </c>
      <c r="C130" s="15">
        <v>42590</v>
      </c>
      <c r="D130" s="23">
        <v>0.3133333333333333</v>
      </c>
      <c r="E130" s="24" t="s">
        <v>43</v>
      </c>
      <c r="F130">
        <v>109.8</v>
      </c>
      <c r="G130">
        <v>134.19999999999999</v>
      </c>
      <c r="H130" t="s">
        <v>45</v>
      </c>
      <c r="I130">
        <v>4000001</v>
      </c>
      <c r="J130">
        <v>302</v>
      </c>
      <c r="K130">
        <v>6.4290000000000003</v>
      </c>
      <c r="L130">
        <v>501</v>
      </c>
      <c r="M130">
        <v>360</v>
      </c>
      <c r="N130">
        <v>710</v>
      </c>
      <c r="O130">
        <v>844</v>
      </c>
      <c r="P130" s="19">
        <v>785.88300000000004</v>
      </c>
      <c r="Q130" s="19">
        <v>17.718</v>
      </c>
      <c r="R130" s="21">
        <v>8.5930000000000006E-2</v>
      </c>
      <c r="S130" s="21">
        <v>4.9759999999999999E-2</v>
      </c>
      <c r="T130" s="21">
        <v>5.287E-2</v>
      </c>
      <c r="U130">
        <v>376</v>
      </c>
      <c r="V130">
        <v>270</v>
      </c>
      <c r="W130">
        <v>731</v>
      </c>
      <c r="X130">
        <v>844</v>
      </c>
      <c r="Y130" s="19">
        <v>792.928</v>
      </c>
      <c r="Z130" s="19">
        <v>14.494999999999999</v>
      </c>
      <c r="AA130" s="21">
        <v>7.1749999999999994E-2</v>
      </c>
      <c r="AB130" s="21">
        <v>4.1160000000000002E-2</v>
      </c>
      <c r="AC130" s="21">
        <v>3.7409999999999999E-2</v>
      </c>
      <c r="AD130" s="20">
        <v>59.269421440730312</v>
      </c>
    </row>
    <row r="131" spans="2:30" x14ac:dyDescent="0.25">
      <c r="B131" t="s">
        <v>42</v>
      </c>
      <c r="C131" s="15">
        <v>42591</v>
      </c>
      <c r="D131" s="23">
        <v>0.30843749999999998</v>
      </c>
      <c r="E131" s="24" t="s">
        <v>43</v>
      </c>
      <c r="F131">
        <v>109.8</v>
      </c>
      <c r="G131">
        <v>134.19999999999999</v>
      </c>
      <c r="H131" t="s">
        <v>45</v>
      </c>
      <c r="I131">
        <v>4000001</v>
      </c>
      <c r="J131">
        <v>296</v>
      </c>
      <c r="K131">
        <v>6.4290000000000003</v>
      </c>
      <c r="L131">
        <v>501</v>
      </c>
      <c r="M131">
        <v>360</v>
      </c>
      <c r="N131">
        <v>712</v>
      </c>
      <c r="O131">
        <v>842</v>
      </c>
      <c r="P131" s="19">
        <v>784.40700000000004</v>
      </c>
      <c r="Q131" s="19">
        <v>16.852</v>
      </c>
      <c r="R131" s="21">
        <v>8.3400000000000002E-2</v>
      </c>
      <c r="S131" s="21">
        <v>4.1980000000000003E-2</v>
      </c>
      <c r="T131" s="21">
        <v>4.3040000000000002E-2</v>
      </c>
      <c r="U131">
        <v>376</v>
      </c>
      <c r="V131">
        <v>270</v>
      </c>
      <c r="W131">
        <v>742</v>
      </c>
      <c r="X131">
        <v>831</v>
      </c>
      <c r="Y131" s="19">
        <v>791.40499999999997</v>
      </c>
      <c r="Z131" s="19">
        <v>13.39</v>
      </c>
      <c r="AA131" s="21">
        <v>5.6829999999999999E-2</v>
      </c>
      <c r="AB131" s="21">
        <v>3.9489999999999997E-2</v>
      </c>
      <c r="AC131" s="21">
        <v>3.9829999999999997E-2</v>
      </c>
      <c r="AD131" s="20">
        <v>60.625272909437243</v>
      </c>
    </row>
    <row r="132" spans="2:30" x14ac:dyDescent="0.25">
      <c r="B132" t="s">
        <v>42</v>
      </c>
      <c r="C132" s="15">
        <v>42592</v>
      </c>
      <c r="D132" s="23">
        <v>0.31193287037037037</v>
      </c>
      <c r="E132" s="24" t="s">
        <v>43</v>
      </c>
      <c r="F132">
        <v>109.8</v>
      </c>
      <c r="G132">
        <v>134.19999999999999</v>
      </c>
      <c r="H132" t="s">
        <v>45</v>
      </c>
      <c r="I132">
        <v>4000001</v>
      </c>
      <c r="J132">
        <v>296</v>
      </c>
      <c r="K132">
        <v>6.4290000000000003</v>
      </c>
      <c r="L132">
        <v>501</v>
      </c>
      <c r="M132">
        <v>360</v>
      </c>
      <c r="N132">
        <v>702</v>
      </c>
      <c r="O132">
        <v>836</v>
      </c>
      <c r="P132" s="19">
        <v>784.596</v>
      </c>
      <c r="Q132" s="19">
        <v>16.402999999999999</v>
      </c>
      <c r="R132" s="21">
        <v>8.7470000000000006E-2</v>
      </c>
      <c r="S132" s="21">
        <v>5.5469999999999998E-2</v>
      </c>
      <c r="T132" s="21">
        <v>4.1939999999999998E-2</v>
      </c>
      <c r="U132">
        <v>376</v>
      </c>
      <c r="V132">
        <v>270</v>
      </c>
      <c r="W132">
        <v>752</v>
      </c>
      <c r="X132">
        <v>836</v>
      </c>
      <c r="Y132" s="19">
        <v>792.07399999999996</v>
      </c>
      <c r="Z132" s="19">
        <v>13.36</v>
      </c>
      <c r="AA132" s="21">
        <v>5.3319999999999999E-2</v>
      </c>
      <c r="AB132" s="21">
        <v>3.7479999999999999E-2</v>
      </c>
      <c r="AC132" s="21">
        <v>3.8609999999999998E-2</v>
      </c>
      <c r="AD132" s="20">
        <v>60.780111642011093</v>
      </c>
    </row>
    <row r="133" spans="2:30" x14ac:dyDescent="0.25">
      <c r="B133" t="s">
        <v>42</v>
      </c>
      <c r="C133" s="15">
        <v>42598</v>
      </c>
      <c r="D133" s="23">
        <v>0.3026388888888889</v>
      </c>
      <c r="E133" s="24" t="s">
        <v>43</v>
      </c>
      <c r="F133">
        <v>109.8</v>
      </c>
      <c r="G133">
        <v>134.19999999999999</v>
      </c>
      <c r="H133" t="s">
        <v>45</v>
      </c>
      <c r="I133">
        <v>4000001</v>
      </c>
      <c r="J133">
        <v>302</v>
      </c>
      <c r="K133">
        <v>6.4290000000000003</v>
      </c>
      <c r="L133">
        <v>501</v>
      </c>
      <c r="M133">
        <v>360</v>
      </c>
      <c r="N133">
        <v>702</v>
      </c>
      <c r="O133">
        <v>836</v>
      </c>
      <c r="P133" s="19">
        <v>784.63099999999997</v>
      </c>
      <c r="Q133" s="19">
        <v>16.969000000000001</v>
      </c>
      <c r="R133" s="21">
        <v>8.7050000000000002E-2</v>
      </c>
      <c r="S133" s="21">
        <v>4.4970000000000003E-2</v>
      </c>
      <c r="T133" s="21">
        <v>3.9780000000000003E-2</v>
      </c>
      <c r="U133">
        <v>376</v>
      </c>
      <c r="V133">
        <v>270</v>
      </c>
      <c r="W133">
        <v>735</v>
      </c>
      <c r="X133">
        <v>836</v>
      </c>
      <c r="Y133" s="19">
        <v>791.88599999999997</v>
      </c>
      <c r="Z133" s="19">
        <v>13.425000000000001</v>
      </c>
      <c r="AA133" s="21">
        <v>6.3960000000000003E-2</v>
      </c>
      <c r="AB133" s="21">
        <v>4.1930000000000002E-2</v>
      </c>
      <c r="AC133" s="21">
        <v>3.7190000000000001E-2</v>
      </c>
      <c r="AD133" s="20">
        <v>60.491309012364432</v>
      </c>
    </row>
    <row r="134" spans="2:30" x14ac:dyDescent="0.25">
      <c r="B134" t="s">
        <v>42</v>
      </c>
      <c r="C134" s="15">
        <v>42599</v>
      </c>
      <c r="D134" s="23">
        <v>0.31329861111111112</v>
      </c>
      <c r="E134" s="24" t="s">
        <v>43</v>
      </c>
      <c r="F134">
        <v>109.8</v>
      </c>
      <c r="G134">
        <v>134.19999999999999</v>
      </c>
      <c r="H134" t="s">
        <v>45</v>
      </c>
      <c r="I134">
        <v>4000001</v>
      </c>
      <c r="J134">
        <v>303</v>
      </c>
      <c r="K134">
        <v>6.4290000000000003</v>
      </c>
      <c r="L134">
        <v>501</v>
      </c>
      <c r="M134">
        <v>360</v>
      </c>
      <c r="N134">
        <v>684</v>
      </c>
      <c r="O134">
        <v>851</v>
      </c>
      <c r="P134" s="19">
        <v>785.31299999999999</v>
      </c>
      <c r="Q134" s="19">
        <v>19.045000000000002</v>
      </c>
      <c r="R134" s="21">
        <v>0.10832</v>
      </c>
      <c r="S134" s="21">
        <v>4.3959999999999999E-2</v>
      </c>
      <c r="T134" s="21">
        <v>0.06</v>
      </c>
      <c r="U134">
        <v>376</v>
      </c>
      <c r="V134">
        <v>270</v>
      </c>
      <c r="W134">
        <v>738</v>
      </c>
      <c r="X134">
        <v>843</v>
      </c>
      <c r="Y134" s="19">
        <v>793.27099999999996</v>
      </c>
      <c r="Z134" s="19">
        <v>14.124000000000001</v>
      </c>
      <c r="AA134" s="21">
        <v>6.6680000000000003E-2</v>
      </c>
      <c r="AB134" s="21">
        <v>3.5040000000000002E-2</v>
      </c>
      <c r="AC134" s="21">
        <v>4.3569999999999998E-2</v>
      </c>
      <c r="AD134" s="20">
        <v>60.445654423611479</v>
      </c>
    </row>
    <row r="135" spans="2:30" x14ac:dyDescent="0.25">
      <c r="B135" t="s">
        <v>42</v>
      </c>
      <c r="C135" s="15">
        <v>42600</v>
      </c>
      <c r="D135" s="23">
        <v>0.31487268518518519</v>
      </c>
      <c r="E135" s="24" t="s">
        <v>43</v>
      </c>
      <c r="F135">
        <v>109.8</v>
      </c>
      <c r="G135">
        <v>134.19999999999999</v>
      </c>
      <c r="H135" t="s">
        <v>45</v>
      </c>
      <c r="I135">
        <v>4000001</v>
      </c>
      <c r="J135">
        <v>304</v>
      </c>
      <c r="K135">
        <v>6.4290000000000003</v>
      </c>
      <c r="L135">
        <v>501</v>
      </c>
      <c r="M135">
        <v>360</v>
      </c>
      <c r="N135">
        <v>702</v>
      </c>
      <c r="O135">
        <v>834</v>
      </c>
      <c r="P135" s="19">
        <v>785.89099999999996</v>
      </c>
      <c r="Q135" s="19">
        <v>18.532</v>
      </c>
      <c r="R135" s="21">
        <v>8.5919999999999996E-2</v>
      </c>
      <c r="S135" s="21">
        <v>4.3459999999999999E-2</v>
      </c>
      <c r="T135" s="21">
        <v>4.3029999999999999E-2</v>
      </c>
      <c r="U135">
        <v>376</v>
      </c>
      <c r="V135">
        <v>270</v>
      </c>
      <c r="W135">
        <v>750</v>
      </c>
      <c r="X135">
        <v>834</v>
      </c>
      <c r="Y135" s="19">
        <v>793.30700000000002</v>
      </c>
      <c r="Z135" s="19">
        <v>13.43</v>
      </c>
      <c r="AA135" s="21">
        <v>5.3069999999999999E-2</v>
      </c>
      <c r="AB135" s="21">
        <v>3.8699999999999998E-2</v>
      </c>
      <c r="AC135" s="21">
        <v>3.8879999999999998E-2</v>
      </c>
      <c r="AD135" s="20">
        <v>60.400692186843912</v>
      </c>
    </row>
    <row r="136" spans="2:30" x14ac:dyDescent="0.25">
      <c r="B136" t="s">
        <v>42</v>
      </c>
      <c r="C136" s="15">
        <v>42601</v>
      </c>
      <c r="D136" s="23">
        <v>0.41545138888888888</v>
      </c>
      <c r="E136" s="24" t="s">
        <v>43</v>
      </c>
      <c r="F136">
        <v>109.8</v>
      </c>
      <c r="G136">
        <v>134.19999999999999</v>
      </c>
      <c r="H136" t="s">
        <v>45</v>
      </c>
      <c r="I136">
        <v>4000001</v>
      </c>
      <c r="J136">
        <v>304</v>
      </c>
      <c r="K136">
        <v>6.4290000000000003</v>
      </c>
      <c r="L136">
        <v>501</v>
      </c>
      <c r="M136">
        <v>360</v>
      </c>
      <c r="N136">
        <v>694</v>
      </c>
      <c r="O136">
        <v>842</v>
      </c>
      <c r="P136" s="19">
        <v>786.01400000000001</v>
      </c>
      <c r="Q136" s="19">
        <v>18.391999999999999</v>
      </c>
      <c r="R136" s="21">
        <v>9.6500000000000002E-2</v>
      </c>
      <c r="S136" s="21">
        <v>5.4140000000000001E-2</v>
      </c>
      <c r="T136" s="21">
        <v>4.5749999999999999E-2</v>
      </c>
      <c r="U136">
        <v>376</v>
      </c>
      <c r="V136">
        <v>270</v>
      </c>
      <c r="W136">
        <v>745</v>
      </c>
      <c r="X136">
        <v>842</v>
      </c>
      <c r="Y136" s="19">
        <v>793.40599999999995</v>
      </c>
      <c r="Z136" s="19">
        <v>13.134</v>
      </c>
      <c r="AA136" s="21">
        <v>6.1039999999999997E-2</v>
      </c>
      <c r="AB136" s="21">
        <v>4.3790000000000003E-2</v>
      </c>
      <c r="AC136" s="21">
        <v>4.394E-2</v>
      </c>
      <c r="AD136" s="20">
        <v>60.554957333637795</v>
      </c>
    </row>
    <row r="137" spans="2:30" x14ac:dyDescent="0.25">
      <c r="B137" t="s">
        <v>42</v>
      </c>
      <c r="C137" s="15">
        <v>42604</v>
      </c>
      <c r="D137" s="23">
        <v>0.32086805555555559</v>
      </c>
      <c r="E137" s="24" t="s">
        <v>43</v>
      </c>
      <c r="F137">
        <v>109.8</v>
      </c>
      <c r="G137">
        <v>134.19999999999999</v>
      </c>
      <c r="H137" t="s">
        <v>45</v>
      </c>
      <c r="I137">
        <v>4000001</v>
      </c>
      <c r="J137">
        <v>311</v>
      </c>
      <c r="K137">
        <v>6.4290000000000003</v>
      </c>
      <c r="L137">
        <v>501</v>
      </c>
      <c r="M137">
        <v>360</v>
      </c>
      <c r="N137">
        <v>687</v>
      </c>
      <c r="O137">
        <v>839</v>
      </c>
      <c r="P137" s="19">
        <v>784.58</v>
      </c>
      <c r="Q137" s="19">
        <v>17.738</v>
      </c>
      <c r="R137" s="21">
        <v>9.962E-2</v>
      </c>
      <c r="S137" s="21">
        <v>5.3960000000000001E-2</v>
      </c>
      <c r="T137" s="21">
        <v>4.7219999999999998E-2</v>
      </c>
      <c r="U137">
        <v>376</v>
      </c>
      <c r="V137">
        <v>270</v>
      </c>
      <c r="W137">
        <v>734</v>
      </c>
      <c r="X137">
        <v>839</v>
      </c>
      <c r="Y137" s="19">
        <v>791.60699999999997</v>
      </c>
      <c r="Z137" s="19">
        <v>13.625</v>
      </c>
      <c r="AA137" s="21">
        <v>6.7049999999999998E-2</v>
      </c>
      <c r="AB137" s="21">
        <v>4.2160000000000003E-2</v>
      </c>
      <c r="AC137" s="21">
        <v>4.0469999999999999E-2</v>
      </c>
      <c r="AD137" s="20">
        <v>59.64667755491481</v>
      </c>
    </row>
    <row r="138" spans="2:30" x14ac:dyDescent="0.25">
      <c r="B138" t="s">
        <v>42</v>
      </c>
      <c r="C138" s="15">
        <v>42606</v>
      </c>
      <c r="D138" s="23">
        <v>0.29803240740740738</v>
      </c>
      <c r="E138" s="24" t="s">
        <v>43</v>
      </c>
      <c r="F138">
        <v>109.8</v>
      </c>
      <c r="G138">
        <v>134.19999999999999</v>
      </c>
      <c r="H138" t="s">
        <v>45</v>
      </c>
      <c r="I138">
        <v>4000001</v>
      </c>
      <c r="J138">
        <v>306</v>
      </c>
      <c r="K138">
        <v>6.4290000000000003</v>
      </c>
      <c r="L138">
        <v>501</v>
      </c>
      <c r="M138">
        <v>360</v>
      </c>
      <c r="N138">
        <v>725</v>
      </c>
      <c r="O138">
        <v>845</v>
      </c>
      <c r="P138" s="19">
        <v>785.68</v>
      </c>
      <c r="Q138" s="19">
        <v>16.891999999999999</v>
      </c>
      <c r="R138" s="21">
        <v>7.6439999999999994E-2</v>
      </c>
      <c r="S138" s="21">
        <v>4.5670000000000002E-2</v>
      </c>
      <c r="T138" s="21">
        <v>4.308E-2</v>
      </c>
      <c r="U138">
        <v>376</v>
      </c>
      <c r="V138">
        <v>270</v>
      </c>
      <c r="W138">
        <v>747</v>
      </c>
      <c r="X138">
        <v>844</v>
      </c>
      <c r="Y138" s="19">
        <v>792.11800000000005</v>
      </c>
      <c r="Z138" s="19">
        <v>13.379</v>
      </c>
      <c r="AA138" s="21">
        <v>6.0760000000000002E-2</v>
      </c>
      <c r="AB138" s="21">
        <v>3.8859999999999999E-2</v>
      </c>
      <c r="AC138" s="21">
        <v>3.7519999999999998E-2</v>
      </c>
      <c r="AD138" s="20">
        <v>60.931349059212387</v>
      </c>
    </row>
    <row r="139" spans="2:30" x14ac:dyDescent="0.25">
      <c r="B139" t="s">
        <v>42</v>
      </c>
      <c r="C139" s="15">
        <v>42607</v>
      </c>
      <c r="D139" s="23">
        <v>0.31555555555555553</v>
      </c>
      <c r="E139" s="24" t="s">
        <v>43</v>
      </c>
      <c r="F139">
        <v>109.8</v>
      </c>
      <c r="G139">
        <v>134.19999999999999</v>
      </c>
      <c r="H139" t="s">
        <v>45</v>
      </c>
      <c r="I139">
        <v>4000001</v>
      </c>
      <c r="J139">
        <v>307</v>
      </c>
      <c r="K139">
        <v>6.4290000000000003</v>
      </c>
      <c r="L139">
        <v>501</v>
      </c>
      <c r="M139">
        <v>360</v>
      </c>
      <c r="N139">
        <v>694</v>
      </c>
      <c r="O139">
        <v>838</v>
      </c>
      <c r="P139" s="19">
        <v>784.73800000000006</v>
      </c>
      <c r="Q139" s="19">
        <v>16.888000000000002</v>
      </c>
      <c r="R139" s="21">
        <v>9.4299999999999995E-2</v>
      </c>
      <c r="S139" s="21">
        <v>4.2590000000000003E-2</v>
      </c>
      <c r="T139" s="21">
        <v>5.2130000000000003E-2</v>
      </c>
      <c r="U139">
        <v>376</v>
      </c>
      <c r="V139">
        <v>270</v>
      </c>
      <c r="W139">
        <v>751</v>
      </c>
      <c r="X139">
        <v>838</v>
      </c>
      <c r="Y139" s="19">
        <v>791.24199999999996</v>
      </c>
      <c r="Z139" s="19">
        <v>13.18</v>
      </c>
      <c r="AA139" s="21">
        <v>5.475E-2</v>
      </c>
      <c r="AB139" s="21">
        <v>3.6639999999999999E-2</v>
      </c>
      <c r="AC139" s="21">
        <v>3.9070000000000001E-2</v>
      </c>
      <c r="AD139" s="20">
        <v>60.887989162547107</v>
      </c>
    </row>
    <row r="140" spans="2:30" x14ac:dyDescent="0.25">
      <c r="B140" t="s">
        <v>42</v>
      </c>
      <c r="C140" s="15">
        <v>42608</v>
      </c>
      <c r="D140" s="23">
        <v>0.32019675925925922</v>
      </c>
      <c r="E140" s="24" t="s">
        <v>43</v>
      </c>
      <c r="F140">
        <v>109.8</v>
      </c>
      <c r="G140">
        <v>134.19999999999999</v>
      </c>
      <c r="H140" t="s">
        <v>45</v>
      </c>
      <c r="I140">
        <v>4000001</v>
      </c>
      <c r="J140">
        <v>309</v>
      </c>
      <c r="K140">
        <v>6.4290000000000003</v>
      </c>
      <c r="L140">
        <v>501</v>
      </c>
      <c r="M140">
        <v>360</v>
      </c>
      <c r="N140">
        <v>695</v>
      </c>
      <c r="O140">
        <v>844</v>
      </c>
      <c r="P140" s="19">
        <v>787.01900000000001</v>
      </c>
      <c r="Q140" s="19">
        <v>18.297999999999998</v>
      </c>
      <c r="R140" s="21">
        <v>9.6809999999999993E-2</v>
      </c>
      <c r="S140" s="21">
        <v>4.7969999999999999E-2</v>
      </c>
      <c r="T140" s="21">
        <v>5.0040000000000001E-2</v>
      </c>
      <c r="U140">
        <v>376</v>
      </c>
      <c r="V140">
        <v>270</v>
      </c>
      <c r="W140">
        <v>749</v>
      </c>
      <c r="X140">
        <v>839</v>
      </c>
      <c r="Y140" s="19">
        <v>793.83299999999997</v>
      </c>
      <c r="Z140" s="19">
        <v>13.625</v>
      </c>
      <c r="AA140" s="21">
        <v>5.6230000000000002E-2</v>
      </c>
      <c r="AB140" s="21">
        <v>4.7969999999999999E-2</v>
      </c>
      <c r="AC140" s="21">
        <v>4.0050000000000002E-2</v>
      </c>
      <c r="AD140" s="20">
        <v>60.648395327546588</v>
      </c>
    </row>
    <row r="141" spans="2:30" x14ac:dyDescent="0.25">
      <c r="B141" t="s">
        <v>42</v>
      </c>
      <c r="C141" s="15">
        <v>42611</v>
      </c>
      <c r="D141" s="23">
        <v>0.3115046296296296</v>
      </c>
      <c r="E141" s="24" t="s">
        <v>43</v>
      </c>
      <c r="F141">
        <v>109.8</v>
      </c>
      <c r="G141">
        <v>134.19999999999999</v>
      </c>
      <c r="H141" t="s">
        <v>45</v>
      </c>
      <c r="I141">
        <v>4000001</v>
      </c>
      <c r="J141">
        <v>317</v>
      </c>
      <c r="K141">
        <v>6.4290000000000003</v>
      </c>
      <c r="L141">
        <v>501</v>
      </c>
      <c r="M141">
        <v>360</v>
      </c>
      <c r="N141">
        <v>714</v>
      </c>
      <c r="O141">
        <v>842</v>
      </c>
      <c r="P141" s="19">
        <v>784.64200000000005</v>
      </c>
      <c r="Q141" s="19">
        <v>17.065999999999999</v>
      </c>
      <c r="R141" s="21">
        <v>8.2479999999999998E-2</v>
      </c>
      <c r="S141" s="21">
        <v>5.0979999999999998E-2</v>
      </c>
      <c r="T141" s="21">
        <v>4.6129999999999997E-2</v>
      </c>
      <c r="U141">
        <v>376</v>
      </c>
      <c r="V141">
        <v>270</v>
      </c>
      <c r="W141">
        <v>731</v>
      </c>
      <c r="X141">
        <v>835</v>
      </c>
      <c r="Y141" s="19">
        <v>790.79399999999998</v>
      </c>
      <c r="Z141" s="19">
        <v>13.771000000000001</v>
      </c>
      <c r="AA141" s="21">
        <v>6.6489999999999994E-2</v>
      </c>
      <c r="AB141" s="21">
        <v>5.0979999999999998E-2</v>
      </c>
      <c r="AC141" s="21">
        <v>4.4839999999999998E-2</v>
      </c>
      <c r="AD141" s="20">
        <v>59.571960414976068</v>
      </c>
    </row>
    <row r="142" spans="2:30" x14ac:dyDescent="0.25">
      <c r="B142" t="s">
        <v>42</v>
      </c>
      <c r="C142" s="15">
        <v>42612</v>
      </c>
      <c r="D142" s="23">
        <v>0.3422337962962963</v>
      </c>
      <c r="E142" s="24" t="s">
        <v>43</v>
      </c>
      <c r="F142">
        <v>109.8</v>
      </c>
      <c r="G142">
        <v>134.19999999999999</v>
      </c>
      <c r="H142" t="s">
        <v>45</v>
      </c>
      <c r="I142">
        <v>4000001</v>
      </c>
      <c r="J142">
        <v>312</v>
      </c>
      <c r="K142">
        <v>6.4290000000000003</v>
      </c>
      <c r="L142">
        <v>501</v>
      </c>
      <c r="M142">
        <v>360</v>
      </c>
      <c r="N142">
        <v>693</v>
      </c>
      <c r="O142">
        <v>845</v>
      </c>
      <c r="P142" s="19">
        <v>784.65499999999997</v>
      </c>
      <c r="Q142" s="19">
        <v>17.43</v>
      </c>
      <c r="R142" s="21">
        <v>9.8470000000000002E-2</v>
      </c>
      <c r="S142" s="21">
        <v>4.9970000000000001E-2</v>
      </c>
      <c r="T142" s="21">
        <v>5.5559999999999998E-2</v>
      </c>
      <c r="U142">
        <v>376</v>
      </c>
      <c r="V142">
        <v>270</v>
      </c>
      <c r="W142">
        <v>741</v>
      </c>
      <c r="X142">
        <v>835</v>
      </c>
      <c r="Y142" s="19">
        <v>791.149</v>
      </c>
      <c r="Z142" s="19">
        <v>13.712999999999999</v>
      </c>
      <c r="AA142" s="21">
        <v>5.9409999999999998E-2</v>
      </c>
      <c r="AB142" s="21">
        <v>4.632E-2</v>
      </c>
      <c r="AC142" s="21">
        <v>4.5359999999999998E-2</v>
      </c>
      <c r="AD142" s="20">
        <v>60.681226087128223</v>
      </c>
    </row>
    <row r="143" spans="2:30" x14ac:dyDescent="0.25">
      <c r="B143" t="s">
        <v>42</v>
      </c>
      <c r="C143" s="15">
        <v>42613</v>
      </c>
      <c r="D143" s="23">
        <v>0.31390046296296298</v>
      </c>
      <c r="E143" s="24" t="s">
        <v>43</v>
      </c>
      <c r="F143">
        <v>109.8</v>
      </c>
      <c r="G143">
        <v>134.19999999999999</v>
      </c>
      <c r="H143" t="s">
        <v>45</v>
      </c>
      <c r="I143">
        <v>4000001</v>
      </c>
      <c r="J143">
        <v>312</v>
      </c>
      <c r="K143">
        <v>6.4290000000000003</v>
      </c>
      <c r="L143">
        <v>501</v>
      </c>
      <c r="M143">
        <v>360</v>
      </c>
      <c r="N143">
        <v>707</v>
      </c>
      <c r="O143">
        <v>863</v>
      </c>
      <c r="P143" s="19">
        <v>784.59100000000001</v>
      </c>
      <c r="Q143" s="19">
        <v>18.632999999999999</v>
      </c>
      <c r="R143" s="21">
        <v>9.9390000000000006E-2</v>
      </c>
      <c r="S143" s="21">
        <v>4.8849999999999998E-2</v>
      </c>
      <c r="T143" s="21">
        <v>5.4370000000000002E-2</v>
      </c>
      <c r="U143">
        <v>376</v>
      </c>
      <c r="V143">
        <v>270</v>
      </c>
      <c r="W143">
        <v>735</v>
      </c>
      <c r="X143">
        <v>846</v>
      </c>
      <c r="Y143" s="19">
        <v>791.83500000000004</v>
      </c>
      <c r="Z143" s="19">
        <v>14.510999999999999</v>
      </c>
      <c r="AA143" s="21">
        <v>7.0279999999999995E-2</v>
      </c>
      <c r="AB143" s="21">
        <v>3.644E-2</v>
      </c>
      <c r="AC143" s="21">
        <v>4.24E-2</v>
      </c>
      <c r="AD143" s="20">
        <v>60.836207725765881</v>
      </c>
    </row>
    <row r="144" spans="2:30" x14ac:dyDescent="0.25">
      <c r="B144" t="s">
        <v>42</v>
      </c>
      <c r="C144" s="15">
        <v>42614</v>
      </c>
      <c r="D144" s="23">
        <v>0.33629629629629632</v>
      </c>
      <c r="E144" s="24" t="s">
        <v>43</v>
      </c>
      <c r="F144">
        <v>109.8</v>
      </c>
      <c r="G144">
        <v>134.19999999999999</v>
      </c>
      <c r="H144" t="s">
        <v>45</v>
      </c>
      <c r="I144">
        <v>4000001</v>
      </c>
      <c r="J144">
        <v>313</v>
      </c>
      <c r="K144">
        <v>6.4290000000000003</v>
      </c>
      <c r="L144">
        <v>501</v>
      </c>
      <c r="M144">
        <v>360</v>
      </c>
      <c r="N144">
        <v>685</v>
      </c>
      <c r="O144">
        <v>836</v>
      </c>
      <c r="P144" s="19">
        <v>784.66099999999994</v>
      </c>
      <c r="Q144" s="19">
        <v>17.420000000000002</v>
      </c>
      <c r="R144" s="21">
        <v>9.9080000000000001E-2</v>
      </c>
      <c r="S144" s="21">
        <v>4.2419999999999999E-2</v>
      </c>
      <c r="T144" s="21">
        <v>5.373E-2</v>
      </c>
      <c r="U144">
        <v>376</v>
      </c>
      <c r="V144">
        <v>270</v>
      </c>
      <c r="W144">
        <v>750</v>
      </c>
      <c r="X144">
        <v>832</v>
      </c>
      <c r="Y144" s="19">
        <v>791.08699999999999</v>
      </c>
      <c r="Z144" s="19">
        <v>13.288</v>
      </c>
      <c r="AA144" s="21">
        <v>5.1330000000000001E-2</v>
      </c>
      <c r="AB144" s="21">
        <v>3.671E-2</v>
      </c>
      <c r="AC144" s="21">
        <v>3.671E-2</v>
      </c>
      <c r="AD144" s="20">
        <v>60.796723897529816</v>
      </c>
    </row>
    <row r="145" spans="2:30" x14ac:dyDescent="0.25">
      <c r="B145" t="s">
        <v>42</v>
      </c>
      <c r="C145" s="15">
        <v>42615</v>
      </c>
      <c r="D145" s="23">
        <v>0.31297453703703704</v>
      </c>
      <c r="E145" s="24" t="s">
        <v>43</v>
      </c>
      <c r="F145">
        <v>109.8</v>
      </c>
      <c r="G145">
        <v>134.19999999999999</v>
      </c>
      <c r="H145" t="s">
        <v>45</v>
      </c>
      <c r="I145">
        <v>4000001</v>
      </c>
      <c r="J145">
        <v>314</v>
      </c>
      <c r="K145">
        <v>6.4290000000000003</v>
      </c>
      <c r="L145">
        <v>501</v>
      </c>
      <c r="M145">
        <v>360</v>
      </c>
      <c r="N145">
        <v>698</v>
      </c>
      <c r="O145">
        <v>841</v>
      </c>
      <c r="P145" s="19">
        <v>786.04399999999998</v>
      </c>
      <c r="Q145" s="19">
        <v>17.349</v>
      </c>
      <c r="R145" s="21">
        <v>9.2689999999999995E-2</v>
      </c>
      <c r="S145" s="21">
        <v>4.3720000000000002E-2</v>
      </c>
      <c r="T145" s="21">
        <v>4.6440000000000002E-2</v>
      </c>
      <c r="U145">
        <v>376</v>
      </c>
      <c r="V145">
        <v>270</v>
      </c>
      <c r="W145">
        <v>748</v>
      </c>
      <c r="X145">
        <v>841</v>
      </c>
      <c r="Y145" s="19">
        <v>792.83500000000004</v>
      </c>
      <c r="Z145" s="19">
        <v>13.167</v>
      </c>
      <c r="AA145" s="21">
        <v>5.858E-2</v>
      </c>
      <c r="AB145" s="21">
        <v>3.5819999999999998E-2</v>
      </c>
      <c r="AC145" s="21">
        <v>3.542E-2</v>
      </c>
      <c r="AD145" s="20">
        <v>60.757885869636219</v>
      </c>
    </row>
    <row r="146" spans="2:30" x14ac:dyDescent="0.25">
      <c r="B146" t="s">
        <v>42</v>
      </c>
      <c r="C146" s="15">
        <v>42618</v>
      </c>
      <c r="D146" s="23">
        <v>0.29854166666666665</v>
      </c>
      <c r="E146" s="24" t="s">
        <v>43</v>
      </c>
      <c r="F146">
        <v>109.8</v>
      </c>
      <c r="G146">
        <v>134.19999999999999</v>
      </c>
      <c r="H146" t="s">
        <v>45</v>
      </c>
      <c r="I146">
        <v>4000001</v>
      </c>
      <c r="J146">
        <v>321</v>
      </c>
      <c r="K146">
        <v>6.4290000000000003</v>
      </c>
      <c r="L146">
        <v>501</v>
      </c>
      <c r="M146">
        <v>360</v>
      </c>
      <c r="N146">
        <v>714</v>
      </c>
      <c r="O146">
        <v>844</v>
      </c>
      <c r="P146" s="19">
        <v>784.73800000000006</v>
      </c>
      <c r="Q146" s="19">
        <v>16.216999999999999</v>
      </c>
      <c r="R146" s="21">
        <v>8.3159999999999998E-2</v>
      </c>
      <c r="S146" s="21">
        <v>5.5010000000000003E-2</v>
      </c>
      <c r="T146" s="21">
        <v>5.4030000000000002E-2</v>
      </c>
      <c r="U146">
        <v>376</v>
      </c>
      <c r="V146">
        <v>270</v>
      </c>
      <c r="W146">
        <v>739</v>
      </c>
      <c r="X146">
        <v>836</v>
      </c>
      <c r="Y146" s="19">
        <v>790.27</v>
      </c>
      <c r="Z146" s="19">
        <v>13.102</v>
      </c>
      <c r="AA146" s="21">
        <v>6.1559999999999997E-2</v>
      </c>
      <c r="AB146" s="21">
        <v>4.061E-2</v>
      </c>
      <c r="AC146" s="21">
        <v>4.3630000000000002E-2</v>
      </c>
      <c r="AD146" s="20">
        <v>59.889492089303317</v>
      </c>
    </row>
    <row r="147" spans="2:30" x14ac:dyDescent="0.25">
      <c r="B147" t="s">
        <v>42</v>
      </c>
      <c r="C147" s="15">
        <v>42619</v>
      </c>
      <c r="D147" s="23">
        <v>0.302650462962963</v>
      </c>
      <c r="E147" s="24" t="s">
        <v>43</v>
      </c>
      <c r="F147">
        <v>109.8</v>
      </c>
      <c r="G147">
        <v>134.19999999999999</v>
      </c>
      <c r="H147" t="s">
        <v>45</v>
      </c>
      <c r="I147">
        <v>4000001</v>
      </c>
      <c r="J147">
        <v>316</v>
      </c>
      <c r="K147">
        <v>6.4290000000000003</v>
      </c>
      <c r="L147">
        <v>501</v>
      </c>
      <c r="M147">
        <v>360</v>
      </c>
      <c r="N147">
        <v>706</v>
      </c>
      <c r="O147">
        <v>841</v>
      </c>
      <c r="P147" s="19">
        <v>784.87800000000004</v>
      </c>
      <c r="Q147" s="19">
        <v>16.251999999999999</v>
      </c>
      <c r="R147" s="21">
        <v>8.7230000000000002E-2</v>
      </c>
      <c r="S147" s="21">
        <v>4.9489999999999999E-2</v>
      </c>
      <c r="T147" s="21">
        <v>4.5449999999999997E-2</v>
      </c>
      <c r="U147">
        <v>376</v>
      </c>
      <c r="V147">
        <v>270</v>
      </c>
      <c r="W147">
        <v>749</v>
      </c>
      <c r="X147">
        <v>841</v>
      </c>
      <c r="Y147" s="19">
        <v>791.38099999999997</v>
      </c>
      <c r="Z147" s="19">
        <v>12.571999999999999</v>
      </c>
      <c r="AA147" s="21">
        <v>5.8009999999999999E-2</v>
      </c>
      <c r="AB147" s="21">
        <v>3.7409999999999999E-2</v>
      </c>
      <c r="AC147" s="21">
        <v>4.1050000000000003E-2</v>
      </c>
      <c r="AD147" s="20">
        <v>60.992490407384274</v>
      </c>
    </row>
    <row r="148" spans="2:30" x14ac:dyDescent="0.25">
      <c r="B148" t="s">
        <v>42</v>
      </c>
      <c r="C148" s="15">
        <v>42620</v>
      </c>
      <c r="D148" s="23">
        <v>0.32074074074074072</v>
      </c>
      <c r="E148" s="24" t="s">
        <v>43</v>
      </c>
      <c r="F148">
        <v>109.8</v>
      </c>
      <c r="G148">
        <v>134.19999999999999</v>
      </c>
      <c r="H148" t="s">
        <v>45</v>
      </c>
      <c r="I148">
        <v>4000001</v>
      </c>
      <c r="J148">
        <v>320</v>
      </c>
      <c r="K148">
        <v>6.4290000000000003</v>
      </c>
      <c r="L148">
        <v>501</v>
      </c>
      <c r="M148">
        <v>354</v>
      </c>
      <c r="N148">
        <v>704</v>
      </c>
      <c r="O148">
        <v>850</v>
      </c>
      <c r="P148" s="19">
        <v>794.10900000000004</v>
      </c>
      <c r="Q148" s="19">
        <v>16.87</v>
      </c>
      <c r="R148" s="21">
        <v>9.4070000000000001E-2</v>
      </c>
      <c r="S148" s="21">
        <v>4.8959999999999997E-2</v>
      </c>
      <c r="T148" s="21">
        <v>4.4110000000000003E-2</v>
      </c>
      <c r="U148">
        <v>376</v>
      </c>
      <c r="V148">
        <v>265</v>
      </c>
      <c r="W148">
        <v>762</v>
      </c>
      <c r="X148">
        <v>840</v>
      </c>
      <c r="Y148" s="19">
        <v>800.33699999999999</v>
      </c>
      <c r="Z148" s="19">
        <v>13.21</v>
      </c>
      <c r="AA148" s="21">
        <v>4.8590000000000001E-2</v>
      </c>
      <c r="AB148" s="21">
        <v>3.986E-2</v>
      </c>
      <c r="AC148" s="21">
        <v>4.0620000000000003E-2</v>
      </c>
      <c r="AD148" s="20">
        <v>60.383913686460048</v>
      </c>
    </row>
    <row r="149" spans="2:30" x14ac:dyDescent="0.25">
      <c r="B149" t="s">
        <v>42</v>
      </c>
      <c r="C149" s="15">
        <v>42621</v>
      </c>
      <c r="D149" s="23">
        <v>0.33427083333333335</v>
      </c>
      <c r="E149" s="24" t="s">
        <v>43</v>
      </c>
      <c r="F149">
        <v>109.8</v>
      </c>
      <c r="G149">
        <v>134.19999999999999</v>
      </c>
      <c r="H149" t="s">
        <v>45</v>
      </c>
      <c r="I149">
        <v>4000001</v>
      </c>
      <c r="J149">
        <v>317</v>
      </c>
      <c r="K149">
        <v>6.4290000000000003</v>
      </c>
      <c r="L149">
        <v>501</v>
      </c>
      <c r="M149">
        <v>360</v>
      </c>
      <c r="N149">
        <v>697</v>
      </c>
      <c r="O149">
        <v>840</v>
      </c>
      <c r="P149" s="19">
        <v>784.18700000000001</v>
      </c>
      <c r="Q149" s="19">
        <v>17.366</v>
      </c>
      <c r="R149" s="21">
        <v>9.2869999999999994E-2</v>
      </c>
      <c r="S149" s="21">
        <v>4.895E-2</v>
      </c>
      <c r="T149" s="21">
        <v>4.4769999999999997E-2</v>
      </c>
      <c r="U149">
        <v>376</v>
      </c>
      <c r="V149">
        <v>270</v>
      </c>
      <c r="W149">
        <v>744</v>
      </c>
      <c r="X149">
        <v>831</v>
      </c>
      <c r="Y149" s="19">
        <v>790.73299999999995</v>
      </c>
      <c r="Z149" s="19">
        <v>13.458</v>
      </c>
      <c r="AA149" s="21">
        <v>5.4989999999999997E-2</v>
      </c>
      <c r="AB149" s="21">
        <v>3.3709999999999997E-2</v>
      </c>
      <c r="AC149" s="21">
        <v>4.4769999999999997E-2</v>
      </c>
      <c r="AD149" s="20">
        <v>61.111052093849644</v>
      </c>
    </row>
    <row r="150" spans="2:30" x14ac:dyDescent="0.25">
      <c r="B150" t="s">
        <v>42</v>
      </c>
      <c r="C150" s="15">
        <v>42622</v>
      </c>
      <c r="D150" s="23">
        <v>0.32596064814814812</v>
      </c>
      <c r="E150" s="24" t="s">
        <v>43</v>
      </c>
      <c r="F150">
        <v>109.8</v>
      </c>
      <c r="G150">
        <v>134.19999999999999</v>
      </c>
      <c r="H150" t="s">
        <v>45</v>
      </c>
      <c r="I150">
        <v>4000001</v>
      </c>
      <c r="J150">
        <v>318</v>
      </c>
      <c r="K150">
        <v>6.4290000000000003</v>
      </c>
      <c r="L150">
        <v>501</v>
      </c>
      <c r="M150">
        <v>360</v>
      </c>
      <c r="N150">
        <v>684</v>
      </c>
      <c r="O150">
        <v>845</v>
      </c>
      <c r="P150" s="19">
        <v>784.54700000000003</v>
      </c>
      <c r="Q150" s="19">
        <v>16.885000000000002</v>
      </c>
      <c r="R150" s="21">
        <v>0.10517</v>
      </c>
      <c r="S150" s="21">
        <v>5.2220000000000003E-2</v>
      </c>
      <c r="T150" s="21">
        <v>4.9849999999999998E-2</v>
      </c>
      <c r="U150">
        <v>376</v>
      </c>
      <c r="V150">
        <v>270</v>
      </c>
      <c r="W150">
        <v>743</v>
      </c>
      <c r="X150">
        <v>839</v>
      </c>
      <c r="Y150" s="19">
        <v>791.68700000000001</v>
      </c>
      <c r="Z150" s="19">
        <v>12.942</v>
      </c>
      <c r="AA150" s="21">
        <v>6.0760000000000002E-2</v>
      </c>
      <c r="AB150" s="21">
        <v>3.9140000000000001E-2</v>
      </c>
      <c r="AC150" s="21">
        <v>4.5510000000000002E-2</v>
      </c>
      <c r="AD150" s="20">
        <v>61.07446758516798</v>
      </c>
    </row>
    <row r="151" spans="2:30" x14ac:dyDescent="0.25">
      <c r="B151" t="s">
        <v>42</v>
      </c>
      <c r="C151" s="15">
        <v>42625</v>
      </c>
      <c r="D151" s="23">
        <v>0.33865740740740741</v>
      </c>
      <c r="E151" s="24" t="s">
        <v>43</v>
      </c>
      <c r="F151">
        <v>109.8</v>
      </c>
      <c r="G151">
        <v>134.19999999999999</v>
      </c>
      <c r="H151" t="s">
        <v>45</v>
      </c>
      <c r="I151">
        <v>4000001</v>
      </c>
      <c r="J151">
        <v>327</v>
      </c>
      <c r="K151">
        <v>6.4290000000000003</v>
      </c>
      <c r="L151">
        <v>501</v>
      </c>
      <c r="M151">
        <v>360</v>
      </c>
      <c r="N151">
        <v>711</v>
      </c>
      <c r="O151">
        <v>850</v>
      </c>
      <c r="P151" s="19">
        <v>784.90099999999995</v>
      </c>
      <c r="Q151" s="19">
        <v>16.611999999999998</v>
      </c>
      <c r="R151" s="21">
        <v>8.9149999999999993E-2</v>
      </c>
      <c r="S151" s="21">
        <v>4.3639999999999998E-2</v>
      </c>
      <c r="T151" s="21">
        <v>6.1210000000000001E-2</v>
      </c>
      <c r="U151">
        <v>376</v>
      </c>
      <c r="V151">
        <v>270</v>
      </c>
      <c r="W151">
        <v>748</v>
      </c>
      <c r="X151">
        <v>831</v>
      </c>
      <c r="Y151" s="19">
        <v>791.39800000000002</v>
      </c>
      <c r="Z151" s="19">
        <v>13.077</v>
      </c>
      <c r="AA151" s="21">
        <v>5.2699999999999997E-2</v>
      </c>
      <c r="AB151" s="21">
        <v>3.601E-2</v>
      </c>
      <c r="AC151" s="21">
        <v>4.0050000000000002E-2</v>
      </c>
      <c r="AD151" s="20">
        <v>59.849760599091006</v>
      </c>
    </row>
    <row r="152" spans="2:30" x14ac:dyDescent="0.25">
      <c r="B152" t="s">
        <v>42</v>
      </c>
      <c r="C152" s="15">
        <v>42626</v>
      </c>
      <c r="D152" s="23">
        <v>0.29854166666666665</v>
      </c>
      <c r="E152" s="24" t="s">
        <v>43</v>
      </c>
      <c r="F152">
        <v>109.8</v>
      </c>
      <c r="G152">
        <v>134.19999999999999</v>
      </c>
      <c r="H152" t="s">
        <v>45</v>
      </c>
      <c r="I152">
        <v>4000001</v>
      </c>
      <c r="J152">
        <v>323</v>
      </c>
      <c r="K152">
        <v>6.4290000000000003</v>
      </c>
      <c r="L152">
        <v>501</v>
      </c>
      <c r="M152">
        <v>360</v>
      </c>
      <c r="N152">
        <v>695</v>
      </c>
      <c r="O152">
        <v>853</v>
      </c>
      <c r="P152" s="19">
        <v>784.29499999999996</v>
      </c>
      <c r="Q152" s="19">
        <v>17.928999999999998</v>
      </c>
      <c r="R152" s="21">
        <v>0.10244</v>
      </c>
      <c r="S152" s="21">
        <v>4.5019999999999998E-2</v>
      </c>
      <c r="T152" s="21">
        <v>4.5839999999999999E-2</v>
      </c>
      <c r="U152">
        <v>376</v>
      </c>
      <c r="V152">
        <v>270</v>
      </c>
      <c r="W152">
        <v>748</v>
      </c>
      <c r="X152">
        <v>853</v>
      </c>
      <c r="Y152" s="19">
        <v>791.06799999999998</v>
      </c>
      <c r="Z152" s="19">
        <v>14.302</v>
      </c>
      <c r="AA152" s="21">
        <v>6.583E-2</v>
      </c>
      <c r="AB152" s="21">
        <v>3.7819999999999999E-2</v>
      </c>
      <c r="AC152" s="21">
        <v>4.1009999999999998E-2</v>
      </c>
      <c r="AD152" s="20">
        <v>60.745685135217968</v>
      </c>
    </row>
    <row r="153" spans="2:30" x14ac:dyDescent="0.25">
      <c r="B153" t="s">
        <v>42</v>
      </c>
      <c r="C153" s="15">
        <v>42626</v>
      </c>
      <c r="D153" s="23">
        <v>0.29854166666666665</v>
      </c>
      <c r="E153" s="24" t="s">
        <v>43</v>
      </c>
      <c r="F153">
        <v>109.8</v>
      </c>
      <c r="G153">
        <v>134.19999999999999</v>
      </c>
      <c r="H153" t="s">
        <v>45</v>
      </c>
      <c r="I153">
        <v>4000001</v>
      </c>
      <c r="J153">
        <v>323</v>
      </c>
      <c r="K153">
        <v>6.4290000000000003</v>
      </c>
      <c r="L153">
        <v>501</v>
      </c>
      <c r="M153">
        <v>360</v>
      </c>
      <c r="N153">
        <v>695</v>
      </c>
      <c r="O153">
        <v>853</v>
      </c>
      <c r="P153" s="19">
        <v>784.29499999999996</v>
      </c>
      <c r="Q153" s="19">
        <v>17.928999999999998</v>
      </c>
      <c r="R153" s="21">
        <v>0.10244</v>
      </c>
      <c r="S153" s="21">
        <v>4.5019999999999998E-2</v>
      </c>
      <c r="T153" s="21">
        <v>4.5839999999999999E-2</v>
      </c>
      <c r="U153">
        <v>376</v>
      </c>
      <c r="V153">
        <v>270</v>
      </c>
      <c r="W153">
        <v>748</v>
      </c>
      <c r="X153">
        <v>853</v>
      </c>
      <c r="Y153" s="19">
        <v>791.06799999999998</v>
      </c>
      <c r="Z153" s="19">
        <v>14.302</v>
      </c>
      <c r="AA153" s="21">
        <v>6.583E-2</v>
      </c>
      <c r="AB153" s="21">
        <v>3.7819999999999999E-2</v>
      </c>
      <c r="AC153" s="21">
        <v>4.1009999999999998E-2</v>
      </c>
      <c r="AD153" s="20">
        <v>60.745685135217968</v>
      </c>
    </row>
    <row r="154" spans="2:30" x14ac:dyDescent="0.25">
      <c r="B154" t="s">
        <v>42</v>
      </c>
      <c r="C154" s="15">
        <v>42627</v>
      </c>
      <c r="D154" s="23">
        <v>0.33813657407407405</v>
      </c>
      <c r="E154" s="24" t="s">
        <v>43</v>
      </c>
      <c r="F154">
        <v>109.8</v>
      </c>
      <c r="G154">
        <v>134.19999999999999</v>
      </c>
      <c r="H154" t="s">
        <v>45</v>
      </c>
      <c r="I154">
        <v>4000001</v>
      </c>
      <c r="J154">
        <v>323</v>
      </c>
      <c r="K154">
        <v>6.4290000000000003</v>
      </c>
      <c r="L154">
        <v>501</v>
      </c>
      <c r="M154">
        <v>360</v>
      </c>
      <c r="N154">
        <v>683</v>
      </c>
      <c r="O154">
        <v>832</v>
      </c>
      <c r="P154" s="19">
        <v>784.11099999999999</v>
      </c>
      <c r="Q154" s="19">
        <v>17.323</v>
      </c>
      <c r="R154" s="21">
        <v>9.8519999999999996E-2</v>
      </c>
      <c r="S154" s="21">
        <v>4.6449999999999998E-2</v>
      </c>
      <c r="T154" s="21">
        <v>5.4269999999999999E-2</v>
      </c>
      <c r="U154">
        <v>376</v>
      </c>
      <c r="V154">
        <v>270</v>
      </c>
      <c r="W154">
        <v>734</v>
      </c>
      <c r="X154">
        <v>830</v>
      </c>
      <c r="Y154" s="19">
        <v>791.09</v>
      </c>
      <c r="Z154" s="19">
        <v>13.762</v>
      </c>
      <c r="AA154" s="21">
        <v>6.1749999999999999E-2</v>
      </c>
      <c r="AB154" s="21">
        <v>3.6949999999999997E-2</v>
      </c>
      <c r="AC154" s="21">
        <v>3.669E-2</v>
      </c>
      <c r="AD154" s="20">
        <v>60.900831404162901</v>
      </c>
    </row>
    <row r="155" spans="2:30" x14ac:dyDescent="0.25">
      <c r="B155" t="s">
        <v>42</v>
      </c>
      <c r="C155" s="15">
        <v>42628</v>
      </c>
      <c r="D155" s="23">
        <v>0.31185185185185188</v>
      </c>
      <c r="E155" s="24" t="s">
        <v>43</v>
      </c>
      <c r="F155">
        <v>109.8</v>
      </c>
      <c r="G155">
        <v>134.19999999999999</v>
      </c>
      <c r="H155" t="s">
        <v>45</v>
      </c>
      <c r="I155">
        <v>4000001</v>
      </c>
      <c r="J155">
        <v>323</v>
      </c>
      <c r="K155">
        <v>6.4290000000000003</v>
      </c>
      <c r="L155">
        <v>501</v>
      </c>
      <c r="M155">
        <v>360</v>
      </c>
      <c r="N155">
        <v>666</v>
      </c>
      <c r="O155">
        <v>838</v>
      </c>
      <c r="P155" s="19">
        <v>784.81200000000001</v>
      </c>
      <c r="Q155" s="19">
        <v>17.602</v>
      </c>
      <c r="R155" s="21">
        <v>0.11468</v>
      </c>
      <c r="S155" s="21">
        <v>6.9000000000000006E-2</v>
      </c>
      <c r="T155" s="21">
        <v>5.5840000000000001E-2</v>
      </c>
      <c r="U155">
        <v>376</v>
      </c>
      <c r="V155">
        <v>270</v>
      </c>
      <c r="W155">
        <v>752</v>
      </c>
      <c r="X155">
        <v>831</v>
      </c>
      <c r="Y155" s="19">
        <v>791.452</v>
      </c>
      <c r="Z155" s="19">
        <v>12.691000000000001</v>
      </c>
      <c r="AA155" s="21">
        <v>4.9689999999999998E-2</v>
      </c>
      <c r="AB155" s="21">
        <v>4.0300000000000002E-2</v>
      </c>
      <c r="AC155" s="21">
        <v>3.6330000000000001E-2</v>
      </c>
      <c r="AD155" s="20">
        <v>61.056373921248159</v>
      </c>
    </row>
    <row r="156" spans="2:30" x14ac:dyDescent="0.25">
      <c r="B156" t="s">
        <v>42</v>
      </c>
      <c r="C156" s="15">
        <v>42629</v>
      </c>
      <c r="D156" s="23">
        <v>0.31502314814814814</v>
      </c>
      <c r="E156" s="24" t="s">
        <v>43</v>
      </c>
      <c r="F156">
        <v>109.8</v>
      </c>
      <c r="G156">
        <v>134.19999999999999</v>
      </c>
      <c r="H156" t="s">
        <v>45</v>
      </c>
      <c r="I156">
        <v>4000001</v>
      </c>
      <c r="J156">
        <v>323</v>
      </c>
      <c r="K156">
        <v>6.4290000000000003</v>
      </c>
      <c r="L156">
        <v>501</v>
      </c>
      <c r="M156">
        <v>360</v>
      </c>
      <c r="N156">
        <v>706</v>
      </c>
      <c r="O156">
        <v>835</v>
      </c>
      <c r="P156" s="19">
        <v>785.72299999999996</v>
      </c>
      <c r="Q156" s="19">
        <v>17.815999999999999</v>
      </c>
      <c r="R156" s="21">
        <v>8.3960000000000007E-2</v>
      </c>
      <c r="S156" s="21">
        <v>4.4929999999999998E-2</v>
      </c>
      <c r="T156" s="21">
        <v>4.1399999999999999E-2</v>
      </c>
      <c r="U156">
        <v>376</v>
      </c>
      <c r="V156">
        <v>270</v>
      </c>
      <c r="W156">
        <v>749</v>
      </c>
      <c r="X156">
        <v>835</v>
      </c>
      <c r="Y156" s="19">
        <v>792.85400000000004</v>
      </c>
      <c r="Z156" s="19">
        <v>13.535</v>
      </c>
      <c r="AA156" s="21">
        <v>5.4879999999999998E-2</v>
      </c>
      <c r="AB156" s="21">
        <v>3.9039999999999998E-2</v>
      </c>
      <c r="AC156" s="21">
        <v>3.9469999999999998E-2</v>
      </c>
      <c r="AD156" s="20">
        <v>61.212313698503166</v>
      </c>
    </row>
    <row r="157" spans="2:30" x14ac:dyDescent="0.25">
      <c r="B157" t="s">
        <v>42</v>
      </c>
      <c r="C157" s="15">
        <v>42636</v>
      </c>
      <c r="D157" s="23">
        <v>0.28354166666666664</v>
      </c>
      <c r="E157" s="24" t="s">
        <v>43</v>
      </c>
      <c r="F157">
        <v>109.8</v>
      </c>
      <c r="G157">
        <v>134.19999999999999</v>
      </c>
      <c r="H157" t="s">
        <v>45</v>
      </c>
      <c r="I157">
        <v>4000001</v>
      </c>
      <c r="J157">
        <v>329</v>
      </c>
      <c r="K157">
        <v>6.4290000000000003</v>
      </c>
      <c r="L157">
        <v>501</v>
      </c>
      <c r="M157">
        <v>360</v>
      </c>
      <c r="N157">
        <v>722</v>
      </c>
      <c r="O157">
        <v>845</v>
      </c>
      <c r="P157" s="19">
        <v>784.76400000000001</v>
      </c>
      <c r="Q157" s="19">
        <v>16.504000000000001</v>
      </c>
      <c r="R157" s="21">
        <v>7.8200000000000006E-2</v>
      </c>
      <c r="S157" s="21">
        <v>5.7779999999999998E-2</v>
      </c>
      <c r="T157" s="21">
        <v>4.5569999999999999E-2</v>
      </c>
      <c r="U157">
        <v>376</v>
      </c>
      <c r="V157">
        <v>270</v>
      </c>
      <c r="W157">
        <v>749</v>
      </c>
      <c r="X157">
        <v>837</v>
      </c>
      <c r="Y157" s="19">
        <v>791.31299999999999</v>
      </c>
      <c r="Z157" s="19">
        <v>13.305999999999999</v>
      </c>
      <c r="AA157" s="21">
        <v>5.5199999999999999E-2</v>
      </c>
      <c r="AB157" s="21">
        <v>3.397E-2</v>
      </c>
      <c r="AC157" s="21">
        <v>4.5569999999999999E-2</v>
      </c>
      <c r="AD157" s="20">
        <v>61.178655368418788</v>
      </c>
    </row>
    <row r="158" spans="2:30" x14ac:dyDescent="0.25">
      <c r="B158" t="s">
        <v>42</v>
      </c>
      <c r="C158" s="15">
        <v>42639</v>
      </c>
      <c r="D158" s="23">
        <v>0.30427083333333332</v>
      </c>
      <c r="E158" s="24" t="s">
        <v>43</v>
      </c>
      <c r="F158">
        <v>109.8</v>
      </c>
      <c r="G158">
        <v>134.19999999999999</v>
      </c>
      <c r="H158" t="s">
        <v>45</v>
      </c>
      <c r="I158">
        <v>4000001</v>
      </c>
      <c r="J158">
        <v>338</v>
      </c>
      <c r="K158">
        <v>6.4290000000000003</v>
      </c>
      <c r="L158">
        <v>501</v>
      </c>
      <c r="M158">
        <v>360</v>
      </c>
      <c r="N158">
        <v>720</v>
      </c>
      <c r="O158">
        <v>853</v>
      </c>
      <c r="P158" s="19">
        <v>784.41700000000003</v>
      </c>
      <c r="Q158" s="19">
        <v>16.364999999999998</v>
      </c>
      <c r="R158" s="21">
        <v>8.4320000000000006E-2</v>
      </c>
      <c r="S158" s="21">
        <v>4.3770000000000003E-2</v>
      </c>
      <c r="T158" s="21">
        <v>5.4989999999999997E-2</v>
      </c>
      <c r="U158">
        <v>376</v>
      </c>
      <c r="V158">
        <v>270</v>
      </c>
      <c r="W158">
        <v>740</v>
      </c>
      <c r="X158">
        <v>853</v>
      </c>
      <c r="Y158" s="19">
        <v>790.03300000000002</v>
      </c>
      <c r="Z158" s="19">
        <v>13.760999999999999</v>
      </c>
      <c r="AA158" s="21">
        <v>7.1340000000000001E-2</v>
      </c>
      <c r="AB158" s="21">
        <v>3.9980000000000002E-2</v>
      </c>
      <c r="AC158" s="21">
        <v>4.1750000000000002E-2</v>
      </c>
      <c r="AD158" s="20">
        <v>60.007078835993354</v>
      </c>
    </row>
    <row r="159" spans="2:30" x14ac:dyDescent="0.25">
      <c r="B159" t="s">
        <v>42</v>
      </c>
      <c r="C159" s="15">
        <v>42640</v>
      </c>
      <c r="D159" s="23">
        <v>0.30606481481481479</v>
      </c>
      <c r="E159" s="24" t="s">
        <v>43</v>
      </c>
      <c r="F159">
        <v>109.8</v>
      </c>
      <c r="G159">
        <v>134.19999999999999</v>
      </c>
      <c r="H159" t="s">
        <v>45</v>
      </c>
      <c r="I159">
        <v>4000001</v>
      </c>
      <c r="J159">
        <v>333</v>
      </c>
      <c r="K159">
        <v>6.4290000000000003</v>
      </c>
      <c r="L159">
        <v>501</v>
      </c>
      <c r="M159">
        <v>360</v>
      </c>
      <c r="N159">
        <v>706</v>
      </c>
      <c r="O159">
        <v>848</v>
      </c>
      <c r="P159" s="19">
        <v>785.51400000000001</v>
      </c>
      <c r="Q159" s="19">
        <v>17.414999999999999</v>
      </c>
      <c r="R159" s="21">
        <v>9.1600000000000001E-2</v>
      </c>
      <c r="S159" s="21">
        <v>4.8680000000000001E-2</v>
      </c>
      <c r="T159" s="21">
        <v>6.2600000000000003E-2</v>
      </c>
      <c r="U159">
        <v>376</v>
      </c>
      <c r="V159">
        <v>270</v>
      </c>
      <c r="W159">
        <v>737</v>
      </c>
      <c r="X159">
        <v>848</v>
      </c>
      <c r="Y159" s="19">
        <v>791.35299999999995</v>
      </c>
      <c r="Z159" s="19">
        <v>13.782999999999999</v>
      </c>
      <c r="AA159" s="21">
        <v>6.991E-2</v>
      </c>
      <c r="AB159" s="21">
        <v>3.7269999999999998E-2</v>
      </c>
      <c r="AC159" s="21">
        <v>4.5069999999999999E-2</v>
      </c>
      <c r="AD159" s="20">
        <v>61.06364707132537</v>
      </c>
    </row>
    <row r="160" spans="2:30" x14ac:dyDescent="0.25">
      <c r="B160" t="s">
        <v>42</v>
      </c>
      <c r="C160" s="15">
        <v>42641</v>
      </c>
      <c r="D160" s="23">
        <v>0.30412037037037037</v>
      </c>
      <c r="E160" s="24" t="s">
        <v>43</v>
      </c>
      <c r="F160">
        <v>109.8</v>
      </c>
      <c r="G160">
        <v>134.19999999999999</v>
      </c>
      <c r="H160" t="s">
        <v>45</v>
      </c>
      <c r="I160">
        <v>4000001</v>
      </c>
      <c r="J160">
        <v>333</v>
      </c>
      <c r="K160">
        <v>6.4290000000000003</v>
      </c>
      <c r="L160">
        <v>501</v>
      </c>
      <c r="M160">
        <v>360</v>
      </c>
      <c r="N160">
        <v>695</v>
      </c>
      <c r="O160">
        <v>834</v>
      </c>
      <c r="P160" s="19">
        <v>784.99599999999998</v>
      </c>
      <c r="Q160" s="19">
        <v>17.314</v>
      </c>
      <c r="R160" s="21">
        <v>9.1069999999999998E-2</v>
      </c>
      <c r="S160" s="21">
        <v>5.4600000000000003E-2</v>
      </c>
      <c r="T160" s="21">
        <v>4.7309999999999998E-2</v>
      </c>
      <c r="U160">
        <v>376</v>
      </c>
      <c r="V160">
        <v>270</v>
      </c>
      <c r="W160">
        <v>753</v>
      </c>
      <c r="X160">
        <v>829</v>
      </c>
      <c r="Y160" s="19">
        <v>791.803</v>
      </c>
      <c r="Z160" s="19">
        <v>12.692</v>
      </c>
      <c r="AA160" s="21">
        <v>4.861E-2</v>
      </c>
      <c r="AB160" s="21">
        <v>3.8830000000000003E-2</v>
      </c>
      <c r="AC160" s="21">
        <v>3.603E-2</v>
      </c>
      <c r="AD160" s="20">
        <v>61.219605424419889</v>
      </c>
    </row>
    <row r="161" spans="2:30" x14ac:dyDescent="0.25">
      <c r="B161" t="s">
        <v>42</v>
      </c>
      <c r="C161" s="15">
        <v>42642</v>
      </c>
      <c r="D161" s="23">
        <v>0.30561342592592594</v>
      </c>
      <c r="E161" s="24" t="s">
        <v>43</v>
      </c>
      <c r="F161">
        <v>109.8</v>
      </c>
      <c r="G161">
        <v>134.19999999999999</v>
      </c>
      <c r="H161" t="s">
        <v>45</v>
      </c>
      <c r="I161">
        <v>4000001</v>
      </c>
      <c r="J161">
        <v>334</v>
      </c>
      <c r="K161">
        <v>6.4290000000000003</v>
      </c>
      <c r="L161">
        <v>501</v>
      </c>
      <c r="M161">
        <v>360</v>
      </c>
      <c r="N161">
        <v>696</v>
      </c>
      <c r="O161">
        <v>836</v>
      </c>
      <c r="P161" s="19">
        <v>784.88699999999994</v>
      </c>
      <c r="Q161" s="19">
        <v>16.808</v>
      </c>
      <c r="R161" s="21">
        <v>9.1639999999999999E-2</v>
      </c>
      <c r="S161" s="21">
        <v>5.0950000000000002E-2</v>
      </c>
      <c r="T161" s="21">
        <v>5.3710000000000001E-2</v>
      </c>
      <c r="U161">
        <v>376</v>
      </c>
      <c r="V161">
        <v>270</v>
      </c>
      <c r="W161">
        <v>737</v>
      </c>
      <c r="X161">
        <v>834</v>
      </c>
      <c r="Y161" s="19">
        <v>790.98800000000006</v>
      </c>
      <c r="Z161" s="19">
        <v>12.977</v>
      </c>
      <c r="AA161" s="21">
        <v>6.1899999999999997E-2</v>
      </c>
      <c r="AB161" s="21">
        <v>4.3299999999999998E-2</v>
      </c>
      <c r="AC161" s="21">
        <v>3.9640000000000002E-2</v>
      </c>
      <c r="AD161" s="20">
        <v>61.192201734173466</v>
      </c>
    </row>
    <row r="162" spans="2:30" x14ac:dyDescent="0.25">
      <c r="B162" t="s">
        <v>42</v>
      </c>
      <c r="C162" s="15">
        <v>42643</v>
      </c>
      <c r="D162" s="23">
        <v>0.32556712962962964</v>
      </c>
      <c r="E162" s="24" t="s">
        <v>43</v>
      </c>
      <c r="F162">
        <v>109.8</v>
      </c>
      <c r="G162">
        <v>134.19999999999999</v>
      </c>
      <c r="H162" t="s">
        <v>45</v>
      </c>
      <c r="I162">
        <v>4000001</v>
      </c>
      <c r="J162">
        <v>335</v>
      </c>
      <c r="K162">
        <v>6.4290000000000003</v>
      </c>
      <c r="L162">
        <v>501</v>
      </c>
      <c r="M162">
        <v>360</v>
      </c>
      <c r="N162">
        <v>711</v>
      </c>
      <c r="O162">
        <v>837</v>
      </c>
      <c r="P162" s="19">
        <v>785.07299999999998</v>
      </c>
      <c r="Q162" s="19">
        <v>16.507000000000001</v>
      </c>
      <c r="R162" s="21">
        <v>8.1470000000000001E-2</v>
      </c>
      <c r="S162" s="21">
        <v>5.0630000000000001E-2</v>
      </c>
      <c r="T162" s="21">
        <v>4.5929999999999999E-2</v>
      </c>
      <c r="U162">
        <v>376</v>
      </c>
      <c r="V162">
        <v>270</v>
      </c>
      <c r="W162">
        <v>744</v>
      </c>
      <c r="X162">
        <v>837</v>
      </c>
      <c r="Y162" s="19">
        <v>791.24800000000005</v>
      </c>
      <c r="Z162" s="19">
        <v>12.952</v>
      </c>
      <c r="AA162" s="21">
        <v>5.849E-2</v>
      </c>
      <c r="AB162" s="21">
        <v>3.8030000000000001E-2</v>
      </c>
      <c r="AC162" s="21">
        <v>3.5479999999999998E-2</v>
      </c>
      <c r="AD162" s="20">
        <v>61.165358603485046</v>
      </c>
    </row>
    <row r="163" spans="2:30" x14ac:dyDescent="0.25">
      <c r="B163" t="s">
        <v>42</v>
      </c>
      <c r="C163" s="15">
        <v>42647</v>
      </c>
      <c r="D163" s="23">
        <v>0.30104166666666665</v>
      </c>
      <c r="E163" s="24" t="s">
        <v>43</v>
      </c>
      <c r="F163">
        <v>109.8</v>
      </c>
      <c r="G163">
        <v>134.19999999999999</v>
      </c>
      <c r="H163" t="s">
        <v>45</v>
      </c>
      <c r="I163">
        <v>4000001</v>
      </c>
      <c r="J163">
        <v>340</v>
      </c>
      <c r="K163">
        <v>6.4290000000000003</v>
      </c>
      <c r="L163">
        <v>501</v>
      </c>
      <c r="M163">
        <v>360</v>
      </c>
      <c r="N163">
        <v>710</v>
      </c>
      <c r="O163">
        <v>852</v>
      </c>
      <c r="P163" s="19">
        <v>784.30200000000002</v>
      </c>
      <c r="Q163" s="19">
        <v>16.257999999999999</v>
      </c>
      <c r="R163" s="21">
        <v>9.0819999999999998E-2</v>
      </c>
      <c r="S163" s="21">
        <v>4.9459999999999997E-2</v>
      </c>
      <c r="T163" s="21">
        <v>5.8040000000000001E-2</v>
      </c>
      <c r="U163">
        <v>376</v>
      </c>
      <c r="V163">
        <v>270</v>
      </c>
      <c r="W163">
        <v>745</v>
      </c>
      <c r="X163">
        <v>831</v>
      </c>
      <c r="Y163" s="19">
        <v>790.41499999999996</v>
      </c>
      <c r="Z163" s="19">
        <v>12.85</v>
      </c>
      <c r="AA163" s="21">
        <v>5.4469999999999998E-2</v>
      </c>
      <c r="AB163" s="21">
        <v>3.671E-2</v>
      </c>
      <c r="AC163" s="21">
        <v>3.705E-2</v>
      </c>
      <c r="AD163" s="20">
        <v>60.88391397182734</v>
      </c>
    </row>
    <row r="164" spans="2:30" x14ac:dyDescent="0.25">
      <c r="B164" t="s">
        <v>42</v>
      </c>
      <c r="C164" s="15">
        <v>42648</v>
      </c>
      <c r="D164" s="23">
        <v>0.3107523148148148</v>
      </c>
      <c r="E164" s="24" t="s">
        <v>43</v>
      </c>
      <c r="F164">
        <v>109.8</v>
      </c>
      <c r="G164">
        <v>134.19999999999999</v>
      </c>
      <c r="H164" t="s">
        <v>45</v>
      </c>
      <c r="I164">
        <v>4000001</v>
      </c>
      <c r="J164">
        <v>341</v>
      </c>
      <c r="K164">
        <v>6.4290000000000003</v>
      </c>
      <c r="L164">
        <v>501</v>
      </c>
      <c r="M164">
        <v>360</v>
      </c>
      <c r="N164">
        <v>686</v>
      </c>
      <c r="O164">
        <v>841</v>
      </c>
      <c r="P164" s="19">
        <v>787.25199999999995</v>
      </c>
      <c r="Q164" s="19">
        <v>18.11</v>
      </c>
      <c r="R164" s="21">
        <v>0.10144</v>
      </c>
      <c r="S164" s="21">
        <v>4.8520000000000001E-2</v>
      </c>
      <c r="T164" s="21">
        <v>5.4789999999999998E-2</v>
      </c>
      <c r="U164">
        <v>376</v>
      </c>
      <c r="V164">
        <v>270</v>
      </c>
      <c r="W164">
        <v>754</v>
      </c>
      <c r="X164">
        <v>835</v>
      </c>
      <c r="Y164" s="19">
        <v>794.38099999999997</v>
      </c>
      <c r="Z164" s="19">
        <v>13.679</v>
      </c>
      <c r="AA164" s="21">
        <v>5.1150000000000001E-2</v>
      </c>
      <c r="AB164" s="21">
        <v>3.6749999999999998E-2</v>
      </c>
      <c r="AC164" s="21">
        <v>4.0390000000000002E-2</v>
      </c>
      <c r="AD164" s="20">
        <v>60.860412069323552</v>
      </c>
    </row>
    <row r="165" spans="2:30" x14ac:dyDescent="0.25">
      <c r="B165" t="s">
        <v>42</v>
      </c>
      <c r="C165" s="15">
        <v>42649</v>
      </c>
      <c r="D165" s="23">
        <v>0.3077199074074074</v>
      </c>
      <c r="E165" s="24" t="s">
        <v>43</v>
      </c>
      <c r="F165">
        <v>109.8</v>
      </c>
      <c r="G165">
        <v>134.19999999999999</v>
      </c>
      <c r="H165" t="s">
        <v>45</v>
      </c>
      <c r="I165">
        <v>4000001</v>
      </c>
      <c r="J165">
        <v>340</v>
      </c>
      <c r="K165">
        <v>6.4290000000000003</v>
      </c>
      <c r="L165">
        <v>501</v>
      </c>
      <c r="M165">
        <v>360</v>
      </c>
      <c r="N165">
        <v>689</v>
      </c>
      <c r="O165">
        <v>840</v>
      </c>
      <c r="P165" s="19">
        <v>784.62</v>
      </c>
      <c r="Q165" s="19">
        <v>17.190000000000001</v>
      </c>
      <c r="R165" s="21">
        <v>9.869E-2</v>
      </c>
      <c r="S165" s="21">
        <v>7.0169999999999996E-2</v>
      </c>
      <c r="T165" s="21">
        <v>5.6829999999999999E-2</v>
      </c>
      <c r="U165">
        <v>376</v>
      </c>
      <c r="V165">
        <v>270</v>
      </c>
      <c r="W165">
        <v>745</v>
      </c>
      <c r="X165">
        <v>840</v>
      </c>
      <c r="Y165" s="19">
        <v>791.49699999999996</v>
      </c>
      <c r="Z165" s="19">
        <v>13.801</v>
      </c>
      <c r="AA165" s="21">
        <v>6.0060000000000002E-2</v>
      </c>
      <c r="AB165" s="21">
        <v>4.0390000000000002E-2</v>
      </c>
      <c r="AC165" s="21">
        <v>4.0430000000000001E-2</v>
      </c>
      <c r="AD165" s="20">
        <v>61.195309740573187</v>
      </c>
    </row>
    <row r="166" spans="2:30" x14ac:dyDescent="0.25">
      <c r="B166" t="s">
        <v>42</v>
      </c>
      <c r="C166" s="15">
        <v>42650</v>
      </c>
      <c r="D166" s="23">
        <v>0.33648148148148144</v>
      </c>
      <c r="E166" s="24" t="s">
        <v>43</v>
      </c>
      <c r="F166">
        <v>109.8</v>
      </c>
      <c r="G166">
        <v>134.19999999999999</v>
      </c>
      <c r="H166" t="s">
        <v>45</v>
      </c>
      <c r="I166">
        <v>4000001</v>
      </c>
      <c r="J166">
        <v>340</v>
      </c>
      <c r="K166">
        <v>6.4290000000000003</v>
      </c>
      <c r="L166">
        <v>501</v>
      </c>
      <c r="M166">
        <v>360</v>
      </c>
      <c r="N166">
        <v>706</v>
      </c>
      <c r="O166">
        <v>849</v>
      </c>
      <c r="P166" s="19">
        <v>785.18700000000001</v>
      </c>
      <c r="Q166" s="19">
        <v>17.263999999999999</v>
      </c>
      <c r="R166" s="21">
        <v>9.1639999999999999E-2</v>
      </c>
      <c r="S166" s="21">
        <v>6.5780000000000005E-2</v>
      </c>
      <c r="T166" s="21">
        <v>4.8489999999999998E-2</v>
      </c>
      <c r="U166">
        <v>376</v>
      </c>
      <c r="V166">
        <v>270</v>
      </c>
      <c r="W166">
        <v>749</v>
      </c>
      <c r="X166">
        <v>833</v>
      </c>
      <c r="Y166" s="19">
        <v>791.41700000000003</v>
      </c>
      <c r="Z166" s="19">
        <v>12.86</v>
      </c>
      <c r="AA166" s="21">
        <v>5.3620000000000001E-2</v>
      </c>
      <c r="AB166" s="21">
        <v>4.3290000000000002E-2</v>
      </c>
      <c r="AC166" s="21">
        <v>3.8089999999999999E-2</v>
      </c>
      <c r="AD166" s="20">
        <v>61.351604364002753</v>
      </c>
    </row>
    <row r="167" spans="2:30" x14ac:dyDescent="0.25">
      <c r="B167" t="s">
        <v>42</v>
      </c>
      <c r="C167" s="15">
        <v>42653</v>
      </c>
      <c r="D167" s="23">
        <v>0.30824074074074076</v>
      </c>
      <c r="E167" s="24" t="s">
        <v>43</v>
      </c>
      <c r="F167">
        <v>109.8</v>
      </c>
      <c r="G167">
        <v>134.19999999999999</v>
      </c>
      <c r="H167" t="s">
        <v>45</v>
      </c>
      <c r="I167">
        <v>4000001</v>
      </c>
      <c r="J167">
        <v>351</v>
      </c>
      <c r="K167">
        <v>6.4290000000000003</v>
      </c>
      <c r="L167">
        <v>501</v>
      </c>
      <c r="M167">
        <v>360</v>
      </c>
      <c r="N167">
        <v>715</v>
      </c>
      <c r="O167">
        <v>840</v>
      </c>
      <c r="P167" s="19">
        <v>785.21100000000001</v>
      </c>
      <c r="Q167" s="19">
        <v>16.492000000000001</v>
      </c>
      <c r="R167" s="21">
        <v>8.0479999999999996E-2</v>
      </c>
      <c r="S167" s="21">
        <v>4.8759999999999998E-2</v>
      </c>
      <c r="T167" s="21">
        <v>4.3790000000000003E-2</v>
      </c>
      <c r="U167">
        <v>376</v>
      </c>
      <c r="V167">
        <v>270</v>
      </c>
      <c r="W167">
        <v>738</v>
      </c>
      <c r="X167">
        <v>837</v>
      </c>
      <c r="Y167" s="19">
        <v>790.51300000000003</v>
      </c>
      <c r="Z167" s="19">
        <v>13.528</v>
      </c>
      <c r="AA167" s="21">
        <v>6.2969999999999998E-2</v>
      </c>
      <c r="AB167" s="21">
        <v>4.3580000000000001E-2</v>
      </c>
      <c r="AC167" s="21">
        <v>3.7879999999999997E-2</v>
      </c>
      <c r="AD167" s="20">
        <v>59.885417995663126</v>
      </c>
    </row>
    <row r="168" spans="2:30" x14ac:dyDescent="0.25">
      <c r="B168" t="s">
        <v>42</v>
      </c>
      <c r="C168" s="15">
        <v>42654</v>
      </c>
      <c r="D168" s="23">
        <v>0.32195601851851852</v>
      </c>
      <c r="E168" s="24" t="s">
        <v>43</v>
      </c>
      <c r="F168">
        <v>109.8</v>
      </c>
      <c r="G168">
        <v>134.19999999999999</v>
      </c>
      <c r="H168" t="s">
        <v>45</v>
      </c>
      <c r="I168">
        <v>4000001</v>
      </c>
      <c r="J168">
        <v>345</v>
      </c>
      <c r="K168">
        <v>6.4290000000000003</v>
      </c>
      <c r="L168">
        <v>501</v>
      </c>
      <c r="M168">
        <v>360</v>
      </c>
      <c r="N168">
        <v>703</v>
      </c>
      <c r="O168">
        <v>841</v>
      </c>
      <c r="P168" s="19">
        <v>784.66200000000003</v>
      </c>
      <c r="Q168" s="19">
        <v>17.911000000000001</v>
      </c>
      <c r="R168" s="21">
        <v>8.9429999999999996E-2</v>
      </c>
      <c r="S168" s="21">
        <v>5.5480000000000002E-2</v>
      </c>
      <c r="T168" s="21">
        <v>4.9079999999999999E-2</v>
      </c>
      <c r="U168">
        <v>376</v>
      </c>
      <c r="V168">
        <v>270</v>
      </c>
      <c r="W168">
        <v>746</v>
      </c>
      <c r="X168">
        <v>841</v>
      </c>
      <c r="Y168" s="19">
        <v>791.9</v>
      </c>
      <c r="Z168" s="19">
        <v>13.898</v>
      </c>
      <c r="AA168" s="21">
        <v>6.0089999999999998E-2</v>
      </c>
      <c r="AB168" s="21">
        <v>4.7320000000000001E-2</v>
      </c>
      <c r="AC168" s="21">
        <v>4.2270000000000002E-2</v>
      </c>
      <c r="AD168" s="20">
        <v>61.082512632074859</v>
      </c>
    </row>
    <row r="169" spans="2:30" x14ac:dyDescent="0.25">
      <c r="B169" t="s">
        <v>42</v>
      </c>
      <c r="C169" s="15">
        <v>42655</v>
      </c>
      <c r="D169" s="23">
        <v>0.30789351851851848</v>
      </c>
      <c r="E169" s="24" t="s">
        <v>43</v>
      </c>
      <c r="F169">
        <v>109.8</v>
      </c>
      <c r="G169">
        <v>134.19999999999999</v>
      </c>
      <c r="H169" t="s">
        <v>45</v>
      </c>
      <c r="I169">
        <v>4000001</v>
      </c>
      <c r="J169">
        <v>345</v>
      </c>
      <c r="K169">
        <v>6.4290000000000003</v>
      </c>
      <c r="L169">
        <v>501</v>
      </c>
      <c r="M169">
        <v>360</v>
      </c>
      <c r="N169">
        <v>701</v>
      </c>
      <c r="O169">
        <v>844</v>
      </c>
      <c r="P169" s="19">
        <v>784.95899999999995</v>
      </c>
      <c r="Q169" s="19">
        <v>17.093</v>
      </c>
      <c r="R169" s="21">
        <v>9.2749999999999999E-2</v>
      </c>
      <c r="S169" s="21">
        <v>4.4929999999999998E-2</v>
      </c>
      <c r="T169" s="21">
        <v>4.9110000000000001E-2</v>
      </c>
      <c r="U169">
        <v>376</v>
      </c>
      <c r="V169">
        <v>270</v>
      </c>
      <c r="W169">
        <v>746</v>
      </c>
      <c r="X169">
        <v>837</v>
      </c>
      <c r="Y169" s="19">
        <v>791.08100000000002</v>
      </c>
      <c r="Z169" s="19">
        <v>14.023999999999999</v>
      </c>
      <c r="AA169" s="21">
        <v>5.7700000000000001E-2</v>
      </c>
      <c r="AB169" s="21">
        <v>3.7719999999999997E-2</v>
      </c>
      <c r="AC169" s="21">
        <v>3.6519999999999997E-2</v>
      </c>
      <c r="AD169" s="20">
        <v>61.238519168367155</v>
      </c>
    </row>
    <row r="170" spans="2:30" x14ac:dyDescent="0.25">
      <c r="B170" t="s">
        <v>42</v>
      </c>
      <c r="C170" s="15">
        <v>42656</v>
      </c>
      <c r="D170" s="23">
        <v>0.30790509259259258</v>
      </c>
      <c r="E170" s="24" t="s">
        <v>43</v>
      </c>
      <c r="F170">
        <v>109.8</v>
      </c>
      <c r="G170">
        <v>134.19999999999999</v>
      </c>
      <c r="H170" t="s">
        <v>45</v>
      </c>
      <c r="I170">
        <v>4000001</v>
      </c>
      <c r="J170">
        <v>346</v>
      </c>
      <c r="K170">
        <v>6.4290000000000003</v>
      </c>
      <c r="L170">
        <v>501</v>
      </c>
      <c r="M170">
        <v>360</v>
      </c>
      <c r="N170">
        <v>702</v>
      </c>
      <c r="O170">
        <v>842</v>
      </c>
      <c r="P170" s="19">
        <v>784.84900000000005</v>
      </c>
      <c r="Q170" s="19">
        <v>17.277999999999999</v>
      </c>
      <c r="R170" s="21">
        <v>9.0759999999999993E-2</v>
      </c>
      <c r="S170" s="21">
        <v>5.0299999999999997E-2</v>
      </c>
      <c r="T170" s="21">
        <v>5.5079999999999997E-2</v>
      </c>
      <c r="U170">
        <v>376</v>
      </c>
      <c r="V170">
        <v>270</v>
      </c>
      <c r="W170">
        <v>742</v>
      </c>
      <c r="X170">
        <v>838</v>
      </c>
      <c r="Y170" s="19">
        <v>791.50300000000004</v>
      </c>
      <c r="Z170" s="19">
        <v>13.95</v>
      </c>
      <c r="AA170" s="21">
        <v>6.0749999999999998E-2</v>
      </c>
      <c r="AB170" s="21">
        <v>4.233E-2</v>
      </c>
      <c r="AC170" s="21">
        <v>4.4519999999999997E-2</v>
      </c>
      <c r="AD170" s="20">
        <v>61.217482172635947</v>
      </c>
    </row>
    <row r="171" spans="2:30" x14ac:dyDescent="0.25">
      <c r="B171" t="s">
        <v>42</v>
      </c>
      <c r="C171" s="15">
        <v>42657</v>
      </c>
      <c r="D171" s="23">
        <v>0.33204861111111111</v>
      </c>
      <c r="E171" s="24" t="s">
        <v>43</v>
      </c>
      <c r="F171">
        <v>109.8</v>
      </c>
      <c r="G171">
        <v>134.19999999999999</v>
      </c>
      <c r="H171" t="s">
        <v>45</v>
      </c>
      <c r="I171">
        <v>4000001</v>
      </c>
      <c r="J171">
        <v>348</v>
      </c>
      <c r="K171">
        <v>6.4290000000000003</v>
      </c>
      <c r="L171">
        <v>501</v>
      </c>
      <c r="M171">
        <v>360</v>
      </c>
      <c r="N171">
        <v>722</v>
      </c>
      <c r="O171">
        <v>857</v>
      </c>
      <c r="P171" s="19">
        <v>784.15</v>
      </c>
      <c r="Q171" s="19">
        <v>17.065999999999999</v>
      </c>
      <c r="R171" s="21">
        <v>8.5339999999999999E-2</v>
      </c>
      <c r="S171" s="21">
        <v>5.2389999999999999E-2</v>
      </c>
      <c r="T171" s="21">
        <v>4.9829999999999999E-2</v>
      </c>
      <c r="U171">
        <v>376</v>
      </c>
      <c r="V171">
        <v>270</v>
      </c>
      <c r="W171">
        <v>743</v>
      </c>
      <c r="X171">
        <v>836</v>
      </c>
      <c r="Y171" s="19">
        <v>790.68100000000004</v>
      </c>
      <c r="Z171" s="19">
        <v>13.444000000000001</v>
      </c>
      <c r="AA171" s="21">
        <v>5.8889999999999998E-2</v>
      </c>
      <c r="AB171" s="21">
        <v>4.0739999999999998E-2</v>
      </c>
      <c r="AC171" s="21">
        <v>3.5790000000000002E-2</v>
      </c>
      <c r="AD171" s="20">
        <v>61.021110244505948</v>
      </c>
    </row>
    <row r="172" spans="2:30" x14ac:dyDescent="0.25">
      <c r="B172" t="s">
        <v>42</v>
      </c>
      <c r="C172" s="15">
        <v>42660</v>
      </c>
      <c r="D172" s="23">
        <v>0.30793981481481481</v>
      </c>
      <c r="E172" s="24" t="s">
        <v>43</v>
      </c>
      <c r="F172">
        <v>109.8</v>
      </c>
      <c r="G172">
        <v>134.19999999999999</v>
      </c>
      <c r="H172" t="s">
        <v>45</v>
      </c>
      <c r="I172">
        <v>4000001</v>
      </c>
      <c r="J172">
        <v>357</v>
      </c>
      <c r="K172">
        <v>6.4290000000000003</v>
      </c>
      <c r="L172">
        <v>501</v>
      </c>
      <c r="M172">
        <v>360</v>
      </c>
      <c r="N172">
        <v>715</v>
      </c>
      <c r="O172">
        <v>860</v>
      </c>
      <c r="P172" s="19">
        <v>784.76599999999996</v>
      </c>
      <c r="Q172" s="19">
        <v>17.045999999999999</v>
      </c>
      <c r="R172" s="21">
        <v>9.2149999999999996E-2</v>
      </c>
      <c r="S172" s="21">
        <v>5.0900000000000001E-2</v>
      </c>
      <c r="T172" s="21">
        <v>6.046E-2</v>
      </c>
      <c r="U172">
        <v>376</v>
      </c>
      <c r="V172">
        <v>270</v>
      </c>
      <c r="W172">
        <v>744</v>
      </c>
      <c r="X172">
        <v>838</v>
      </c>
      <c r="Y172" s="19">
        <v>790.66300000000001</v>
      </c>
      <c r="Z172" s="19">
        <v>13.105</v>
      </c>
      <c r="AA172" s="21">
        <v>5.9650000000000002E-2</v>
      </c>
      <c r="AB172" s="21">
        <v>4.249E-2</v>
      </c>
      <c r="AC172" s="21">
        <v>3.6519999999999997E-2</v>
      </c>
      <c r="AD172" s="20">
        <v>59.939690133741266</v>
      </c>
    </row>
    <row r="173" spans="2:30" x14ac:dyDescent="0.25">
      <c r="B173" t="s">
        <v>42</v>
      </c>
      <c r="C173" s="15">
        <v>42662</v>
      </c>
      <c r="D173" s="23">
        <v>0.71612268518518529</v>
      </c>
      <c r="E173" s="24" t="s">
        <v>43</v>
      </c>
      <c r="F173">
        <v>109.8</v>
      </c>
      <c r="G173">
        <v>134.19999999999999</v>
      </c>
      <c r="H173" t="s">
        <v>45</v>
      </c>
      <c r="I173">
        <v>4000001</v>
      </c>
      <c r="J173">
        <v>351</v>
      </c>
      <c r="K173">
        <v>6.4290000000000003</v>
      </c>
      <c r="L173">
        <v>501</v>
      </c>
      <c r="M173">
        <v>360</v>
      </c>
      <c r="N173">
        <v>709</v>
      </c>
      <c r="O173">
        <v>843</v>
      </c>
      <c r="P173" s="19">
        <v>784.73699999999997</v>
      </c>
      <c r="Q173" s="19">
        <v>16.622</v>
      </c>
      <c r="R173" s="21">
        <v>8.6080000000000004E-2</v>
      </c>
      <c r="S173" s="21">
        <v>5.9610000000000003E-2</v>
      </c>
      <c r="T173" s="21">
        <v>5.1929999999999997E-2</v>
      </c>
      <c r="U173">
        <v>376</v>
      </c>
      <c r="V173">
        <v>270</v>
      </c>
      <c r="W173">
        <v>747</v>
      </c>
      <c r="X173">
        <v>839</v>
      </c>
      <c r="Y173" s="19">
        <v>790.81399999999996</v>
      </c>
      <c r="Z173" s="19">
        <v>13.613</v>
      </c>
      <c r="AA173" s="21">
        <v>5.7579999999999999E-2</v>
      </c>
      <c r="AB173" s="21">
        <v>4.2160000000000003E-2</v>
      </c>
      <c r="AC173" s="21">
        <v>3.8589999999999999E-2</v>
      </c>
      <c r="AD173" s="20">
        <v>61.27610713230667</v>
      </c>
    </row>
    <row r="174" spans="2:30" x14ac:dyDescent="0.25">
      <c r="B174" t="s">
        <v>42</v>
      </c>
      <c r="C174" s="15">
        <v>42663</v>
      </c>
      <c r="D174" s="23">
        <v>0.32016203703703705</v>
      </c>
      <c r="E174" s="24" t="s">
        <v>43</v>
      </c>
      <c r="F174">
        <v>109.8</v>
      </c>
      <c r="G174">
        <v>134.19999999999999</v>
      </c>
      <c r="H174" t="s">
        <v>45</v>
      </c>
      <c r="I174">
        <v>4000001</v>
      </c>
      <c r="J174">
        <v>351</v>
      </c>
      <c r="K174">
        <v>6.4290000000000003</v>
      </c>
      <c r="L174">
        <v>501</v>
      </c>
      <c r="M174">
        <v>360</v>
      </c>
      <c r="N174">
        <v>706</v>
      </c>
      <c r="O174">
        <v>847</v>
      </c>
      <c r="P174" s="19">
        <v>784.63900000000001</v>
      </c>
      <c r="Q174" s="19">
        <v>17.664999999999999</v>
      </c>
      <c r="R174" s="21">
        <v>9.0899999999999995E-2</v>
      </c>
      <c r="S174" s="21">
        <v>5.0259999999999999E-2</v>
      </c>
      <c r="T174" s="21">
        <v>4.9840000000000002E-2</v>
      </c>
      <c r="U174">
        <v>376</v>
      </c>
      <c r="V174">
        <v>270</v>
      </c>
      <c r="W174">
        <v>738</v>
      </c>
      <c r="X174">
        <v>842</v>
      </c>
      <c r="Y174" s="19">
        <v>791.03700000000003</v>
      </c>
      <c r="Z174" s="19">
        <v>14.398</v>
      </c>
      <c r="AA174" s="21">
        <v>6.5699999999999995E-2</v>
      </c>
      <c r="AB174" s="21">
        <v>4.197E-2</v>
      </c>
      <c r="AC174" s="21">
        <v>3.9030000000000002E-2</v>
      </c>
      <c r="AD174" s="20">
        <v>61.432608114654393</v>
      </c>
    </row>
    <row r="175" spans="2:30" x14ac:dyDescent="0.25">
      <c r="B175" t="s">
        <v>42</v>
      </c>
      <c r="C175" s="15">
        <v>42664</v>
      </c>
      <c r="D175" s="23">
        <v>0.3222916666666667</v>
      </c>
      <c r="E175" s="24" t="s">
        <v>43</v>
      </c>
      <c r="F175">
        <v>109.8</v>
      </c>
      <c r="G175">
        <v>134.19999999999999</v>
      </c>
      <c r="H175" t="s">
        <v>45</v>
      </c>
      <c r="I175">
        <v>4000001</v>
      </c>
      <c r="J175">
        <v>353</v>
      </c>
      <c r="K175">
        <v>6.4290000000000003</v>
      </c>
      <c r="L175">
        <v>501</v>
      </c>
      <c r="M175">
        <v>360</v>
      </c>
      <c r="N175">
        <v>722</v>
      </c>
      <c r="O175">
        <v>834</v>
      </c>
      <c r="P175" s="19">
        <v>785.02</v>
      </c>
      <c r="Q175" s="19">
        <v>17.108000000000001</v>
      </c>
      <c r="R175" s="21">
        <v>7.1720000000000006E-2</v>
      </c>
      <c r="S175" s="21">
        <v>4.9059999999999999E-2</v>
      </c>
      <c r="T175" s="21">
        <v>4.0930000000000001E-2</v>
      </c>
      <c r="U175">
        <v>376</v>
      </c>
      <c r="V175">
        <v>270</v>
      </c>
      <c r="W175">
        <v>743</v>
      </c>
      <c r="X175">
        <v>834</v>
      </c>
      <c r="Y175" s="19">
        <v>791.48599999999999</v>
      </c>
      <c r="Z175" s="19">
        <v>13.398999999999999</v>
      </c>
      <c r="AA175" s="21">
        <v>5.713E-2</v>
      </c>
      <c r="AB175" s="21">
        <v>3.2870000000000003E-2</v>
      </c>
      <c r="AC175" s="21">
        <v>3.628E-2</v>
      </c>
      <c r="AD175" s="20">
        <v>61.240559746734434</v>
      </c>
    </row>
    <row r="176" spans="2:30" x14ac:dyDescent="0.25">
      <c r="B176" t="s">
        <v>42</v>
      </c>
      <c r="C176" s="15">
        <v>42667</v>
      </c>
      <c r="D176" s="23">
        <v>0.30700231481481483</v>
      </c>
      <c r="E176" s="24" t="s">
        <v>43</v>
      </c>
      <c r="F176">
        <v>109.8</v>
      </c>
      <c r="G176">
        <v>134.19999999999999</v>
      </c>
      <c r="H176" t="s">
        <v>45</v>
      </c>
      <c r="I176">
        <v>4000001</v>
      </c>
      <c r="J176">
        <v>363</v>
      </c>
      <c r="K176">
        <v>6.4290000000000003</v>
      </c>
      <c r="L176">
        <v>501</v>
      </c>
      <c r="M176">
        <v>360</v>
      </c>
      <c r="N176">
        <v>700</v>
      </c>
      <c r="O176">
        <v>845</v>
      </c>
      <c r="P176" s="19">
        <v>784.596</v>
      </c>
      <c r="Q176" s="19">
        <v>16.294</v>
      </c>
      <c r="R176" s="21">
        <v>9.4009999999999996E-2</v>
      </c>
      <c r="S176" s="21">
        <v>4.5229999999999999E-2</v>
      </c>
      <c r="T176" s="21">
        <v>5.3409999999999999E-2</v>
      </c>
      <c r="U176">
        <v>376</v>
      </c>
      <c r="V176">
        <v>270</v>
      </c>
      <c r="W176">
        <v>742</v>
      </c>
      <c r="X176">
        <v>833</v>
      </c>
      <c r="Y176" s="19">
        <v>790.05799999999999</v>
      </c>
      <c r="Z176" s="19">
        <v>13.343</v>
      </c>
      <c r="AA176" s="21">
        <v>5.7500000000000002E-2</v>
      </c>
      <c r="AB176" s="21">
        <v>3.4270000000000002E-2</v>
      </c>
      <c r="AC176" s="21">
        <v>4.2770000000000002E-2</v>
      </c>
      <c r="AD176" s="20">
        <v>60.010962509019009</v>
      </c>
    </row>
    <row r="177" spans="2:30" x14ac:dyDescent="0.25">
      <c r="B177" t="s">
        <v>42</v>
      </c>
      <c r="C177" s="15">
        <v>42668</v>
      </c>
      <c r="D177" s="23">
        <v>0.29928240740740741</v>
      </c>
      <c r="E177" s="24" t="s">
        <v>43</v>
      </c>
      <c r="F177">
        <v>109.8</v>
      </c>
      <c r="G177">
        <v>134.19999999999999</v>
      </c>
      <c r="H177" t="s">
        <v>45</v>
      </c>
      <c r="I177">
        <v>4000001</v>
      </c>
      <c r="J177">
        <v>356</v>
      </c>
      <c r="K177">
        <v>6.4290000000000003</v>
      </c>
      <c r="L177">
        <v>501</v>
      </c>
      <c r="M177">
        <v>360</v>
      </c>
      <c r="N177">
        <v>698</v>
      </c>
      <c r="O177">
        <v>834</v>
      </c>
      <c r="P177" s="19">
        <v>784.85199999999998</v>
      </c>
      <c r="Q177" s="19">
        <v>16.936</v>
      </c>
      <c r="R177" s="21">
        <v>8.8859999999999995E-2</v>
      </c>
      <c r="S177" s="21">
        <v>5.289E-2</v>
      </c>
      <c r="T177" s="21">
        <v>5.3949999999999998E-2</v>
      </c>
      <c r="U177">
        <v>376</v>
      </c>
      <c r="V177">
        <v>270</v>
      </c>
      <c r="W177">
        <v>749</v>
      </c>
      <c r="X177">
        <v>834</v>
      </c>
      <c r="Y177" s="19">
        <v>791.36199999999997</v>
      </c>
      <c r="Z177" s="19">
        <v>13.353999999999999</v>
      </c>
      <c r="AA177" s="21">
        <v>5.3780000000000001E-2</v>
      </c>
      <c r="AB177" s="21">
        <v>3.2939999999999997E-2</v>
      </c>
      <c r="AC177" s="21">
        <v>3.5249999999999997E-2</v>
      </c>
      <c r="AD177" s="20">
        <v>61.347236841937153</v>
      </c>
    </row>
    <row r="178" spans="2:30" x14ac:dyDescent="0.25">
      <c r="B178" t="s">
        <v>42</v>
      </c>
      <c r="C178" s="15">
        <v>42669</v>
      </c>
      <c r="D178" s="23">
        <v>0.30659722222222224</v>
      </c>
      <c r="E178" s="24" t="s">
        <v>43</v>
      </c>
      <c r="F178">
        <v>109.8</v>
      </c>
      <c r="G178">
        <v>134.19999999999999</v>
      </c>
      <c r="H178" t="s">
        <v>45</v>
      </c>
      <c r="I178">
        <v>4000001</v>
      </c>
      <c r="J178">
        <v>357</v>
      </c>
      <c r="K178">
        <v>6.4290000000000003</v>
      </c>
      <c r="L178">
        <v>501</v>
      </c>
      <c r="M178">
        <v>360</v>
      </c>
      <c r="N178">
        <v>704</v>
      </c>
      <c r="O178">
        <v>846</v>
      </c>
      <c r="P178" s="19">
        <v>784.83199999999999</v>
      </c>
      <c r="Q178" s="19">
        <v>16.437999999999999</v>
      </c>
      <c r="R178" s="21">
        <v>9.103E-2</v>
      </c>
      <c r="S178" s="21">
        <v>5.2659999999999998E-2</v>
      </c>
      <c r="T178" s="21">
        <v>6.9279999999999994E-2</v>
      </c>
      <c r="U178">
        <v>376</v>
      </c>
      <c r="V178">
        <v>270</v>
      </c>
      <c r="W178">
        <v>748</v>
      </c>
      <c r="X178">
        <v>836</v>
      </c>
      <c r="Y178" s="19">
        <v>791.41700000000003</v>
      </c>
      <c r="Z178" s="19">
        <v>12.523</v>
      </c>
      <c r="AA178" s="21">
        <v>5.5809999999999998E-2</v>
      </c>
      <c r="AB178" s="21">
        <v>4.095E-2</v>
      </c>
      <c r="AC178" s="21">
        <v>3.5619999999999999E-2</v>
      </c>
      <c r="AD178" s="20">
        <v>61.331639605126966</v>
      </c>
    </row>
    <row r="179" spans="2:30" x14ac:dyDescent="0.25">
      <c r="B179" t="s">
        <v>42</v>
      </c>
      <c r="C179" s="15">
        <v>42670</v>
      </c>
      <c r="D179" s="23">
        <v>0.31035879629629631</v>
      </c>
      <c r="E179" s="24" t="s">
        <v>43</v>
      </c>
      <c r="F179">
        <v>109.8</v>
      </c>
      <c r="G179">
        <v>134.19999999999999</v>
      </c>
      <c r="H179" t="s">
        <v>45</v>
      </c>
      <c r="I179">
        <v>4000001</v>
      </c>
      <c r="J179">
        <v>358</v>
      </c>
      <c r="K179">
        <v>6.4290000000000003</v>
      </c>
      <c r="L179">
        <v>501</v>
      </c>
      <c r="M179">
        <v>360</v>
      </c>
      <c r="N179">
        <v>711</v>
      </c>
      <c r="O179">
        <v>841</v>
      </c>
      <c r="P179" s="19">
        <v>784.91700000000003</v>
      </c>
      <c r="Q179" s="19">
        <v>18.091000000000001</v>
      </c>
      <c r="R179" s="21">
        <v>8.4070000000000006E-2</v>
      </c>
      <c r="S179" s="21">
        <v>5.0090000000000003E-2</v>
      </c>
      <c r="T179" s="21">
        <v>4.2270000000000002E-2</v>
      </c>
      <c r="U179">
        <v>376</v>
      </c>
      <c r="V179">
        <v>270</v>
      </c>
      <c r="W179">
        <v>742</v>
      </c>
      <c r="X179">
        <v>841</v>
      </c>
      <c r="Y179" s="19">
        <v>791.42100000000005</v>
      </c>
      <c r="Z179" s="19">
        <v>14.428000000000001</v>
      </c>
      <c r="AA179" s="21">
        <v>6.3009999999999997E-2</v>
      </c>
      <c r="AB179" s="21">
        <v>3.7760000000000002E-2</v>
      </c>
      <c r="AC179" s="21">
        <v>3.7269999999999998E-2</v>
      </c>
      <c r="AD179" s="20">
        <v>61.316527440221691</v>
      </c>
    </row>
    <row r="180" spans="2:30" x14ac:dyDescent="0.25">
      <c r="B180" t="s">
        <v>42</v>
      </c>
      <c r="C180" s="15">
        <v>42671</v>
      </c>
      <c r="D180" s="23">
        <v>0.32325231481481481</v>
      </c>
      <c r="E180" s="24" t="s">
        <v>43</v>
      </c>
      <c r="F180">
        <v>109.8</v>
      </c>
      <c r="G180">
        <v>134.19999999999999</v>
      </c>
      <c r="H180" t="s">
        <v>45</v>
      </c>
      <c r="I180">
        <v>4000001</v>
      </c>
      <c r="J180">
        <v>359</v>
      </c>
      <c r="K180">
        <v>6.4290000000000003</v>
      </c>
      <c r="L180">
        <v>501</v>
      </c>
      <c r="M180">
        <v>360</v>
      </c>
      <c r="N180">
        <v>695</v>
      </c>
      <c r="O180">
        <v>840</v>
      </c>
      <c r="P180" s="19">
        <v>784.74</v>
      </c>
      <c r="Q180" s="19">
        <v>17.233000000000001</v>
      </c>
      <c r="R180" s="21">
        <v>9.4549999999999995E-2</v>
      </c>
      <c r="S180" s="21">
        <v>4.7559999999999998E-2</v>
      </c>
      <c r="T180" s="21">
        <v>4.6269999999999999E-2</v>
      </c>
      <c r="U180">
        <v>376</v>
      </c>
      <c r="V180">
        <v>270</v>
      </c>
      <c r="W180">
        <v>738</v>
      </c>
      <c r="X180">
        <v>840</v>
      </c>
      <c r="Y180" s="19">
        <v>791.27499999999998</v>
      </c>
      <c r="Z180" s="19">
        <v>13.257</v>
      </c>
      <c r="AA180" s="21">
        <v>6.5070000000000003E-2</v>
      </c>
      <c r="AB180" s="21">
        <v>4.0759999999999998E-2</v>
      </c>
      <c r="AC180" s="21">
        <v>4.2290000000000001E-2</v>
      </c>
      <c r="AD180" s="20">
        <v>61.30189730720619</v>
      </c>
    </row>
    <row r="181" spans="2:30" x14ac:dyDescent="0.25">
      <c r="B181" t="s">
        <v>42</v>
      </c>
      <c r="C181" s="15">
        <v>42674</v>
      </c>
      <c r="D181" s="23">
        <v>0.35887731481481483</v>
      </c>
      <c r="E181" s="24" t="s">
        <v>43</v>
      </c>
      <c r="F181">
        <v>109.8</v>
      </c>
      <c r="G181">
        <v>134.19999999999999</v>
      </c>
      <c r="H181" t="s">
        <v>45</v>
      </c>
      <c r="I181">
        <v>4000001</v>
      </c>
      <c r="J181">
        <v>369</v>
      </c>
      <c r="K181">
        <v>6.4290000000000003</v>
      </c>
      <c r="L181">
        <v>501</v>
      </c>
      <c r="M181">
        <v>360</v>
      </c>
      <c r="N181">
        <v>695</v>
      </c>
      <c r="O181">
        <v>836</v>
      </c>
      <c r="P181" s="19">
        <v>784.73599999999999</v>
      </c>
      <c r="Q181" s="19">
        <v>16.305</v>
      </c>
      <c r="R181" s="21">
        <v>9.1899999999999996E-2</v>
      </c>
      <c r="S181" s="21">
        <v>4.6339999999999999E-2</v>
      </c>
      <c r="T181" s="21">
        <v>4.1980000000000003E-2</v>
      </c>
      <c r="U181">
        <v>376</v>
      </c>
      <c r="V181">
        <v>270</v>
      </c>
      <c r="W181">
        <v>747</v>
      </c>
      <c r="X181">
        <v>836</v>
      </c>
      <c r="Y181" s="19">
        <v>790.17600000000004</v>
      </c>
      <c r="Z181" s="19">
        <v>12.821</v>
      </c>
      <c r="AA181" s="21">
        <v>5.595E-2</v>
      </c>
      <c r="AB181" s="21">
        <v>3.8379999999999997E-2</v>
      </c>
      <c r="AC181" s="21">
        <v>3.6630000000000003E-2</v>
      </c>
      <c r="AD181" s="20">
        <v>60.098738930942915</v>
      </c>
    </row>
    <row r="182" spans="2:30" x14ac:dyDescent="0.25">
      <c r="B182" t="s">
        <v>42</v>
      </c>
      <c r="C182" s="15">
        <v>42675</v>
      </c>
      <c r="D182" s="23">
        <v>0.29834490740740743</v>
      </c>
      <c r="E182" s="24" t="s">
        <v>43</v>
      </c>
      <c r="F182">
        <v>109.8</v>
      </c>
      <c r="G182">
        <v>134.19999999999999</v>
      </c>
      <c r="H182" t="s">
        <v>45</v>
      </c>
      <c r="I182">
        <v>4000001</v>
      </c>
      <c r="J182">
        <v>363</v>
      </c>
      <c r="K182">
        <v>6.4290000000000003</v>
      </c>
      <c r="L182">
        <v>501</v>
      </c>
      <c r="M182">
        <v>360</v>
      </c>
      <c r="N182">
        <v>689</v>
      </c>
      <c r="O182">
        <v>835</v>
      </c>
      <c r="P182" s="19">
        <v>784.42700000000002</v>
      </c>
      <c r="Q182" s="19">
        <v>16.847000000000001</v>
      </c>
      <c r="R182" s="21">
        <v>9.5729999999999996E-2</v>
      </c>
      <c r="S182" s="21">
        <v>5.4480000000000001E-2</v>
      </c>
      <c r="T182" s="21">
        <v>5.0630000000000001E-2</v>
      </c>
      <c r="U182">
        <v>376</v>
      </c>
      <c r="V182">
        <v>270</v>
      </c>
      <c r="W182">
        <v>745</v>
      </c>
      <c r="X182">
        <v>835</v>
      </c>
      <c r="Y182" s="19">
        <v>791.04899999999998</v>
      </c>
      <c r="Z182" s="19">
        <v>13.348000000000001</v>
      </c>
      <c r="AA182" s="21">
        <v>5.7079999999999999E-2</v>
      </c>
      <c r="AB182" s="21">
        <v>3.8870000000000002E-2</v>
      </c>
      <c r="AC182" s="21">
        <v>4.854E-2</v>
      </c>
      <c r="AD182" s="20">
        <v>61.248137555934214</v>
      </c>
    </row>
    <row r="183" spans="2:30" x14ac:dyDescent="0.25">
      <c r="B183" t="s">
        <v>42</v>
      </c>
      <c r="C183" s="15">
        <v>42676</v>
      </c>
      <c r="D183" s="23">
        <v>0.31796296296296295</v>
      </c>
      <c r="E183" s="24" t="s">
        <v>43</v>
      </c>
      <c r="F183">
        <v>109.8</v>
      </c>
      <c r="G183">
        <v>134.19999999999999</v>
      </c>
      <c r="H183" t="s">
        <v>45</v>
      </c>
      <c r="I183">
        <v>4000001</v>
      </c>
      <c r="J183">
        <v>364</v>
      </c>
      <c r="K183">
        <v>6.4290000000000003</v>
      </c>
      <c r="L183">
        <v>501</v>
      </c>
      <c r="M183">
        <v>360</v>
      </c>
      <c r="N183">
        <v>692</v>
      </c>
      <c r="O183">
        <v>832</v>
      </c>
      <c r="P183" s="19">
        <v>784.976</v>
      </c>
      <c r="Q183" s="19">
        <v>16.988</v>
      </c>
      <c r="R183" s="21">
        <v>9.2020000000000005E-2</v>
      </c>
      <c r="S183" s="21">
        <v>4.3430000000000003E-2</v>
      </c>
      <c r="T183" s="21">
        <v>4.5179999999999998E-2</v>
      </c>
      <c r="U183">
        <v>376</v>
      </c>
      <c r="V183">
        <v>270</v>
      </c>
      <c r="W183">
        <v>744</v>
      </c>
      <c r="X183">
        <v>832</v>
      </c>
      <c r="Y183" s="19">
        <v>791.94799999999998</v>
      </c>
      <c r="Z183" s="19">
        <v>12.766999999999999</v>
      </c>
      <c r="AA183" s="21">
        <v>5.6059999999999999E-2</v>
      </c>
      <c r="AB183" s="21">
        <v>3.6760000000000001E-2</v>
      </c>
      <c r="AC183" s="21">
        <v>3.8899999999999997E-2</v>
      </c>
      <c r="AD183" s="20">
        <v>61.2358732374921</v>
      </c>
    </row>
    <row r="184" spans="2:30" x14ac:dyDescent="0.25">
      <c r="B184" t="s">
        <v>42</v>
      </c>
      <c r="C184" s="15">
        <v>42677</v>
      </c>
      <c r="D184" s="23">
        <v>0.31717592592592592</v>
      </c>
      <c r="E184" s="24" t="s">
        <v>43</v>
      </c>
      <c r="F184">
        <v>109.8</v>
      </c>
      <c r="G184">
        <v>134.19999999999999</v>
      </c>
      <c r="H184" t="s">
        <v>45</v>
      </c>
      <c r="I184">
        <v>4000001</v>
      </c>
      <c r="J184">
        <v>366</v>
      </c>
      <c r="K184">
        <v>6.4290000000000003</v>
      </c>
      <c r="L184">
        <v>501</v>
      </c>
      <c r="M184">
        <v>360</v>
      </c>
      <c r="N184">
        <v>709</v>
      </c>
      <c r="O184">
        <v>858</v>
      </c>
      <c r="P184" s="19">
        <v>785.39200000000005</v>
      </c>
      <c r="Q184" s="19">
        <v>16.919</v>
      </c>
      <c r="R184" s="21">
        <v>9.5399999999999999E-2</v>
      </c>
      <c r="S184" s="21">
        <v>4.9970000000000001E-2</v>
      </c>
      <c r="T184" s="21">
        <v>6.1809999999999997E-2</v>
      </c>
      <c r="U184">
        <v>376</v>
      </c>
      <c r="V184">
        <v>270</v>
      </c>
      <c r="W184">
        <v>746</v>
      </c>
      <c r="X184">
        <v>841</v>
      </c>
      <c r="Y184" s="19">
        <v>792.10599999999999</v>
      </c>
      <c r="Z184" s="19">
        <v>13.917</v>
      </c>
      <c r="AA184" s="21">
        <v>5.9339999999999997E-2</v>
      </c>
      <c r="AB184" s="21">
        <v>4.2430000000000002E-2</v>
      </c>
      <c r="AC184" s="21">
        <v>3.7519999999999998E-2</v>
      </c>
      <c r="AD184" s="20">
        <v>61.056794568056397</v>
      </c>
    </row>
    <row r="185" spans="2:30" x14ac:dyDescent="0.25">
      <c r="B185" t="s">
        <v>42</v>
      </c>
      <c r="C185" s="15">
        <v>42678</v>
      </c>
      <c r="D185" s="23">
        <v>0.34662037037037036</v>
      </c>
      <c r="E185" s="24" t="s">
        <v>43</v>
      </c>
      <c r="F185">
        <v>109.8</v>
      </c>
      <c r="G185">
        <v>134.19999999999999</v>
      </c>
      <c r="H185" t="s">
        <v>45</v>
      </c>
      <c r="I185">
        <v>4000001</v>
      </c>
      <c r="J185">
        <v>365</v>
      </c>
      <c r="K185">
        <v>6.4290000000000003</v>
      </c>
      <c r="L185">
        <v>501</v>
      </c>
      <c r="M185">
        <v>360</v>
      </c>
      <c r="N185">
        <v>710</v>
      </c>
      <c r="O185">
        <v>836</v>
      </c>
      <c r="P185" s="19">
        <v>784.303</v>
      </c>
      <c r="Q185" s="19">
        <v>17.151</v>
      </c>
      <c r="R185" s="21">
        <v>8.1180000000000002E-2</v>
      </c>
      <c r="S185" s="21">
        <v>5.3440000000000001E-2</v>
      </c>
      <c r="T185" s="21">
        <v>6.5930000000000002E-2</v>
      </c>
      <c r="U185">
        <v>376</v>
      </c>
      <c r="V185">
        <v>270</v>
      </c>
      <c r="W185">
        <v>746</v>
      </c>
      <c r="X185">
        <v>836</v>
      </c>
      <c r="Y185" s="19">
        <v>791.346</v>
      </c>
      <c r="Z185" s="19">
        <v>13.343</v>
      </c>
      <c r="AA185" s="21">
        <v>5.6649999999999999E-2</v>
      </c>
      <c r="AB185" s="21">
        <v>4.367E-2</v>
      </c>
      <c r="AC185" s="21">
        <v>3.6089999999999997E-2</v>
      </c>
      <c r="AD185" s="20">
        <v>61.380441544093152</v>
      </c>
    </row>
    <row r="186" spans="2:30" x14ac:dyDescent="0.25">
      <c r="B186" t="s">
        <v>42</v>
      </c>
      <c r="C186" s="15">
        <v>42681</v>
      </c>
      <c r="D186" s="23">
        <v>0.30575231481481485</v>
      </c>
      <c r="E186" s="24" t="s">
        <v>43</v>
      </c>
      <c r="F186">
        <v>109.8</v>
      </c>
      <c r="G186">
        <v>134.19999999999999</v>
      </c>
      <c r="H186" t="s">
        <v>45</v>
      </c>
      <c r="I186">
        <v>4000001</v>
      </c>
      <c r="J186">
        <v>372</v>
      </c>
      <c r="K186">
        <v>6.4290000000000003</v>
      </c>
      <c r="L186">
        <v>501</v>
      </c>
      <c r="M186">
        <v>360</v>
      </c>
      <c r="N186">
        <v>719</v>
      </c>
      <c r="O186">
        <v>841</v>
      </c>
      <c r="P186" s="19">
        <v>784.30200000000002</v>
      </c>
      <c r="Q186" s="19">
        <v>15.618</v>
      </c>
      <c r="R186" s="21">
        <v>7.7929999999999999E-2</v>
      </c>
      <c r="S186" s="21">
        <v>5.3260000000000002E-2</v>
      </c>
      <c r="T186" s="21">
        <v>5.2010000000000001E-2</v>
      </c>
      <c r="U186">
        <v>376</v>
      </c>
      <c r="V186">
        <v>270</v>
      </c>
      <c r="W186">
        <v>742</v>
      </c>
      <c r="X186">
        <v>835</v>
      </c>
      <c r="Y186" s="19">
        <v>789.00300000000004</v>
      </c>
      <c r="Z186" s="19">
        <v>13.583</v>
      </c>
      <c r="AA186" s="21">
        <v>5.8930000000000003E-2</v>
      </c>
      <c r="AB186" s="21">
        <v>4.2479999999999997E-2</v>
      </c>
      <c r="AC186" s="21">
        <v>3.7659999999999999E-2</v>
      </c>
      <c r="AD186" s="20">
        <v>60.688065393148392</v>
      </c>
    </row>
    <row r="187" spans="2:30" x14ac:dyDescent="0.25">
      <c r="B187" t="s">
        <v>42</v>
      </c>
      <c r="C187" s="15">
        <v>42682</v>
      </c>
      <c r="D187" s="23">
        <v>0.36254629629629626</v>
      </c>
      <c r="E187" s="24" t="s">
        <v>43</v>
      </c>
      <c r="F187">
        <v>109.8</v>
      </c>
      <c r="G187">
        <v>134.19999999999999</v>
      </c>
      <c r="H187" t="s">
        <v>45</v>
      </c>
      <c r="I187">
        <v>4000001</v>
      </c>
      <c r="J187">
        <v>369</v>
      </c>
      <c r="K187">
        <v>6.4290000000000003</v>
      </c>
      <c r="L187">
        <v>501</v>
      </c>
      <c r="M187">
        <v>360</v>
      </c>
      <c r="N187">
        <v>704</v>
      </c>
      <c r="O187">
        <v>834</v>
      </c>
      <c r="P187" s="19">
        <v>785.30200000000002</v>
      </c>
      <c r="Q187" s="19">
        <v>16.806000000000001</v>
      </c>
      <c r="R187" s="21">
        <v>8.3979999999999999E-2</v>
      </c>
      <c r="S187" s="21">
        <v>5.2170000000000001E-2</v>
      </c>
      <c r="T187" s="21">
        <v>4.4130000000000003E-2</v>
      </c>
      <c r="U187">
        <v>376</v>
      </c>
      <c r="V187">
        <v>270</v>
      </c>
      <c r="W187">
        <v>742</v>
      </c>
      <c r="X187">
        <v>833</v>
      </c>
      <c r="Y187" s="19">
        <v>791.29700000000003</v>
      </c>
      <c r="Z187" s="19">
        <v>13.686</v>
      </c>
      <c r="AA187" s="21">
        <v>5.772E-2</v>
      </c>
      <c r="AB187" s="21">
        <v>3.7069999999999999E-2</v>
      </c>
      <c r="AC187" s="21">
        <v>4.2380000000000001E-2</v>
      </c>
      <c r="AD187" s="20">
        <v>61.337723560547197</v>
      </c>
    </row>
    <row r="188" spans="2:30" x14ac:dyDescent="0.25">
      <c r="B188" t="s">
        <v>42</v>
      </c>
      <c r="C188" s="15">
        <v>42683</v>
      </c>
      <c r="D188" s="23">
        <v>0.3177314814814815</v>
      </c>
      <c r="E188" s="24" t="s">
        <v>43</v>
      </c>
      <c r="F188">
        <v>109.8</v>
      </c>
      <c r="G188">
        <v>134.19999999999999</v>
      </c>
      <c r="H188" t="s">
        <v>45</v>
      </c>
      <c r="I188">
        <v>4000001</v>
      </c>
      <c r="J188">
        <v>369</v>
      </c>
      <c r="K188">
        <v>6.4290000000000003</v>
      </c>
      <c r="L188">
        <v>501</v>
      </c>
      <c r="M188">
        <v>360</v>
      </c>
      <c r="N188">
        <v>693</v>
      </c>
      <c r="O188">
        <v>834</v>
      </c>
      <c r="P188" s="19">
        <v>784.51199999999994</v>
      </c>
      <c r="Q188" s="19">
        <v>16.388000000000002</v>
      </c>
      <c r="R188" s="21">
        <v>9.2329999999999995E-2</v>
      </c>
      <c r="S188" s="21">
        <v>5.706E-2</v>
      </c>
      <c r="T188" s="21">
        <v>5.8040000000000001E-2</v>
      </c>
      <c r="U188">
        <v>376</v>
      </c>
      <c r="V188">
        <v>270</v>
      </c>
      <c r="W188">
        <v>753</v>
      </c>
      <c r="X188">
        <v>834</v>
      </c>
      <c r="Y188" s="19">
        <v>790.33399999999995</v>
      </c>
      <c r="Z188" s="19">
        <v>13.227</v>
      </c>
      <c r="AA188" s="21">
        <v>5.1249999999999997E-2</v>
      </c>
      <c r="AB188" s="21">
        <v>3.4680000000000002E-2</v>
      </c>
      <c r="AC188" s="21">
        <v>4.0620000000000003E-2</v>
      </c>
      <c r="AD188" s="20">
        <v>61.494381913067407</v>
      </c>
    </row>
    <row r="189" spans="2:30" x14ac:dyDescent="0.25">
      <c r="B189" t="s">
        <v>42</v>
      </c>
      <c r="C189" s="15">
        <v>42684</v>
      </c>
      <c r="D189" s="23">
        <v>0.31289351851851849</v>
      </c>
      <c r="E189" s="24" t="s">
        <v>43</v>
      </c>
      <c r="F189">
        <v>109.8</v>
      </c>
      <c r="G189">
        <v>134.19999999999999</v>
      </c>
      <c r="H189" t="s">
        <v>45</v>
      </c>
      <c r="I189">
        <v>4000001</v>
      </c>
      <c r="J189">
        <v>371</v>
      </c>
      <c r="K189">
        <v>6.4290000000000003</v>
      </c>
      <c r="L189">
        <v>501</v>
      </c>
      <c r="M189">
        <v>360</v>
      </c>
      <c r="N189">
        <v>702</v>
      </c>
      <c r="O189">
        <v>851</v>
      </c>
      <c r="P189" s="19">
        <v>785.26700000000005</v>
      </c>
      <c r="Q189" s="19">
        <v>18.186</v>
      </c>
      <c r="R189" s="21">
        <v>9.6259999999999998E-2</v>
      </c>
      <c r="S189" s="21">
        <v>5.5579999999999997E-2</v>
      </c>
      <c r="T189" s="21">
        <v>6.9449999999999998E-2</v>
      </c>
      <c r="U189">
        <v>376</v>
      </c>
      <c r="V189">
        <v>270</v>
      </c>
      <c r="W189">
        <v>749</v>
      </c>
      <c r="X189">
        <v>843</v>
      </c>
      <c r="Y189" s="19">
        <v>792.51099999999997</v>
      </c>
      <c r="Z189" s="19">
        <v>14.387</v>
      </c>
      <c r="AA189" s="21">
        <v>5.8529999999999999E-2</v>
      </c>
      <c r="AB189" s="21">
        <v>4.3360000000000003E-2</v>
      </c>
      <c r="AC189" s="21">
        <v>4.156E-2</v>
      </c>
      <c r="AD189" s="20">
        <v>61.319087597328625</v>
      </c>
    </row>
    <row r="190" spans="2:30" x14ac:dyDescent="0.25">
      <c r="B190" t="s">
        <v>42</v>
      </c>
      <c r="C190" s="15">
        <v>42685</v>
      </c>
      <c r="D190" s="23">
        <v>0.33686342592592594</v>
      </c>
      <c r="E190" s="24" t="s">
        <v>43</v>
      </c>
      <c r="F190">
        <v>109.8</v>
      </c>
      <c r="G190">
        <v>134.19999999999999</v>
      </c>
      <c r="H190" t="s">
        <v>45</v>
      </c>
      <c r="I190">
        <v>4000001</v>
      </c>
      <c r="J190">
        <v>371</v>
      </c>
      <c r="K190">
        <v>6.4290000000000003</v>
      </c>
      <c r="L190">
        <v>501</v>
      </c>
      <c r="M190">
        <v>360</v>
      </c>
      <c r="N190">
        <v>720</v>
      </c>
      <c r="O190">
        <v>841</v>
      </c>
      <c r="P190" s="19">
        <v>784.17499999999995</v>
      </c>
      <c r="Q190" s="19">
        <v>16.303999999999998</v>
      </c>
      <c r="R190" s="21">
        <v>7.7700000000000005E-2</v>
      </c>
      <c r="S190" s="21">
        <v>4.573E-2</v>
      </c>
      <c r="T190" s="21">
        <v>4.4040000000000003E-2</v>
      </c>
      <c r="U190">
        <v>376</v>
      </c>
      <c r="V190">
        <v>270</v>
      </c>
      <c r="W190">
        <v>753</v>
      </c>
      <c r="X190">
        <v>837</v>
      </c>
      <c r="Y190" s="19">
        <v>790.85599999999999</v>
      </c>
      <c r="Z190" s="19">
        <v>12.814</v>
      </c>
      <c r="AA190" s="21">
        <v>5.3089999999999998E-2</v>
      </c>
      <c r="AB190" s="21">
        <v>3.3259999999999998E-2</v>
      </c>
      <c r="AC190" s="21">
        <v>3.5159999999999997E-2</v>
      </c>
      <c r="AD190" s="20">
        <v>61.4756983530499</v>
      </c>
    </row>
    <row r="191" spans="2:30" x14ac:dyDescent="0.25">
      <c r="B191" t="s">
        <v>42</v>
      </c>
      <c r="C191" s="15">
        <v>42688</v>
      </c>
      <c r="D191" s="23">
        <v>0.32475694444444442</v>
      </c>
      <c r="E191" s="24" t="s">
        <v>43</v>
      </c>
      <c r="F191">
        <v>109.8</v>
      </c>
      <c r="G191">
        <v>134.19999999999999</v>
      </c>
      <c r="H191" t="s">
        <v>45</v>
      </c>
      <c r="I191">
        <v>4000001</v>
      </c>
      <c r="J191">
        <v>381</v>
      </c>
      <c r="K191">
        <v>6.4290000000000003</v>
      </c>
      <c r="L191">
        <v>501</v>
      </c>
      <c r="M191">
        <v>360</v>
      </c>
      <c r="N191">
        <v>720</v>
      </c>
      <c r="O191">
        <v>841</v>
      </c>
      <c r="P191" s="19">
        <v>784.01099999999997</v>
      </c>
      <c r="Q191" s="19">
        <v>16.228000000000002</v>
      </c>
      <c r="R191" s="21">
        <v>7.7880000000000005E-2</v>
      </c>
      <c r="S191" s="21">
        <v>4.795E-2</v>
      </c>
      <c r="T191" s="21">
        <v>4.1500000000000002E-2</v>
      </c>
      <c r="U191">
        <v>376</v>
      </c>
      <c r="V191">
        <v>270</v>
      </c>
      <c r="W191">
        <v>749</v>
      </c>
      <c r="X191">
        <v>834</v>
      </c>
      <c r="Y191" s="19">
        <v>789.82799999999997</v>
      </c>
      <c r="Z191" s="19">
        <v>13.101000000000001</v>
      </c>
      <c r="AA191" s="21">
        <v>5.3269999999999998E-2</v>
      </c>
      <c r="AB191" s="21">
        <v>3.7920000000000002E-2</v>
      </c>
      <c r="AC191" s="21">
        <v>3.6540000000000003E-2</v>
      </c>
      <c r="AD191" s="20">
        <v>60.322004597002547</v>
      </c>
    </row>
    <row r="192" spans="2:30" x14ac:dyDescent="0.25">
      <c r="B192" t="s">
        <v>42</v>
      </c>
      <c r="C192" s="15">
        <v>42689</v>
      </c>
      <c r="D192" s="23">
        <v>0.32210648148148152</v>
      </c>
      <c r="E192" s="24" t="s">
        <v>43</v>
      </c>
      <c r="F192">
        <v>109.8</v>
      </c>
      <c r="G192">
        <v>134.19999999999999</v>
      </c>
      <c r="H192" t="s">
        <v>45</v>
      </c>
      <c r="I192">
        <v>4000001</v>
      </c>
      <c r="J192">
        <v>375</v>
      </c>
      <c r="K192">
        <v>6.4290000000000003</v>
      </c>
      <c r="L192">
        <v>501</v>
      </c>
      <c r="M192">
        <v>360</v>
      </c>
      <c r="N192">
        <v>714</v>
      </c>
      <c r="O192">
        <v>842</v>
      </c>
      <c r="P192" s="19">
        <v>784.34</v>
      </c>
      <c r="Q192" s="19">
        <v>16.780999999999999</v>
      </c>
      <c r="R192" s="21">
        <v>8.2669999999999993E-2</v>
      </c>
      <c r="S192" s="21">
        <v>4.684E-2</v>
      </c>
      <c r="T192" s="21">
        <v>4.5109999999999997E-2</v>
      </c>
      <c r="U192">
        <v>376</v>
      </c>
      <c r="V192">
        <v>270</v>
      </c>
      <c r="W192">
        <v>749</v>
      </c>
      <c r="X192">
        <v>842</v>
      </c>
      <c r="Y192" s="19">
        <v>790.346</v>
      </c>
      <c r="Z192" s="19">
        <v>13.115</v>
      </c>
      <c r="AA192" s="21">
        <v>5.8659999999999997E-2</v>
      </c>
      <c r="AB192" s="21">
        <v>4.684E-2</v>
      </c>
      <c r="AC192" s="21">
        <v>3.9190000000000003E-2</v>
      </c>
      <c r="AD192" s="20">
        <v>61.443685873748443</v>
      </c>
    </row>
    <row r="193" spans="2:30" x14ac:dyDescent="0.25">
      <c r="B193" t="s">
        <v>42</v>
      </c>
      <c r="C193" s="15">
        <v>42690</v>
      </c>
      <c r="D193" s="23">
        <v>0.32037037037037036</v>
      </c>
      <c r="E193" s="24" t="s">
        <v>43</v>
      </c>
      <c r="F193">
        <v>109.8</v>
      </c>
      <c r="G193">
        <v>134.19999999999999</v>
      </c>
      <c r="H193" t="s">
        <v>45</v>
      </c>
      <c r="I193">
        <v>4000001</v>
      </c>
      <c r="J193">
        <v>378</v>
      </c>
      <c r="K193">
        <v>6.4290000000000003</v>
      </c>
      <c r="L193">
        <v>501</v>
      </c>
      <c r="M193">
        <v>360</v>
      </c>
      <c r="N193">
        <v>713</v>
      </c>
      <c r="O193">
        <v>843</v>
      </c>
      <c r="P193" s="19">
        <v>786.80600000000004</v>
      </c>
      <c r="Q193" s="19">
        <v>16.978000000000002</v>
      </c>
      <c r="R193" s="21">
        <v>8.3589999999999998E-2</v>
      </c>
      <c r="S193" s="21">
        <v>4.5870000000000001E-2</v>
      </c>
      <c r="T193" s="21">
        <v>5.0659999999999997E-2</v>
      </c>
      <c r="U193">
        <v>376</v>
      </c>
      <c r="V193">
        <v>270</v>
      </c>
      <c r="W193">
        <v>741</v>
      </c>
      <c r="X193">
        <v>840</v>
      </c>
      <c r="Y193" s="19">
        <v>793.27700000000004</v>
      </c>
      <c r="Z193" s="19">
        <v>13.596</v>
      </c>
      <c r="AA193" s="21">
        <v>6.232E-2</v>
      </c>
      <c r="AB193" s="21">
        <v>4.4220000000000002E-2</v>
      </c>
      <c r="AC193" s="21">
        <v>3.9989999999999998E-2</v>
      </c>
      <c r="AD193" s="20">
        <v>61.111721088429981</v>
      </c>
    </row>
    <row r="194" spans="2:30" x14ac:dyDescent="0.25">
      <c r="B194" t="s">
        <v>42</v>
      </c>
      <c r="C194" s="15">
        <v>42691</v>
      </c>
      <c r="D194" s="23">
        <v>0.31359953703703702</v>
      </c>
      <c r="E194" s="24" t="s">
        <v>43</v>
      </c>
      <c r="F194">
        <v>109.8</v>
      </c>
      <c r="G194">
        <v>134.19999999999999</v>
      </c>
      <c r="H194" t="s">
        <v>45</v>
      </c>
      <c r="I194">
        <v>4000001</v>
      </c>
      <c r="J194">
        <v>377</v>
      </c>
      <c r="K194">
        <v>6.4290000000000003</v>
      </c>
      <c r="L194">
        <v>501</v>
      </c>
      <c r="M194">
        <v>360</v>
      </c>
      <c r="N194">
        <v>721</v>
      </c>
      <c r="O194">
        <v>841</v>
      </c>
      <c r="P194" s="19">
        <v>784.47699999999998</v>
      </c>
      <c r="Q194" s="19">
        <v>15.717000000000001</v>
      </c>
      <c r="R194" s="21">
        <v>7.6700000000000004E-2</v>
      </c>
      <c r="S194" s="21">
        <v>4.6010000000000002E-2</v>
      </c>
      <c r="T194" s="21">
        <v>4.7969999999999999E-2</v>
      </c>
      <c r="U194">
        <v>376</v>
      </c>
      <c r="V194">
        <v>270</v>
      </c>
      <c r="W194">
        <v>747</v>
      </c>
      <c r="X194">
        <v>841</v>
      </c>
      <c r="Y194" s="19">
        <v>790.39300000000003</v>
      </c>
      <c r="Z194" s="19">
        <v>13.057</v>
      </c>
      <c r="AA194" s="21">
        <v>5.926E-2</v>
      </c>
      <c r="AB194" s="21">
        <v>3.6470000000000002E-2</v>
      </c>
      <c r="AC194" s="21">
        <v>3.5560000000000001E-2</v>
      </c>
      <c r="AD194" s="20">
        <v>61.430316288234657</v>
      </c>
    </row>
    <row r="195" spans="2:30" x14ac:dyDescent="0.25">
      <c r="B195" t="s">
        <v>42</v>
      </c>
      <c r="C195" s="15">
        <v>42692</v>
      </c>
      <c r="D195" s="23">
        <v>0.32061342592592595</v>
      </c>
      <c r="E195" s="24" t="s">
        <v>43</v>
      </c>
      <c r="F195">
        <v>109.8</v>
      </c>
      <c r="G195">
        <v>134.19999999999999</v>
      </c>
      <c r="H195" t="s">
        <v>45</v>
      </c>
      <c r="I195">
        <v>4000001</v>
      </c>
      <c r="J195">
        <v>378</v>
      </c>
      <c r="K195">
        <v>6.4290000000000003</v>
      </c>
      <c r="L195">
        <v>501</v>
      </c>
      <c r="M195">
        <v>360</v>
      </c>
      <c r="N195">
        <v>703</v>
      </c>
      <c r="O195">
        <v>845</v>
      </c>
      <c r="P195" s="19">
        <v>784.75699999999995</v>
      </c>
      <c r="Q195" s="19">
        <v>16.966999999999999</v>
      </c>
      <c r="R195" s="21">
        <v>9.1520000000000004E-2</v>
      </c>
      <c r="S195" s="21">
        <v>5.2900000000000003E-2</v>
      </c>
      <c r="T195" s="21">
        <v>4.8759999999999998E-2</v>
      </c>
      <c r="U195">
        <v>376</v>
      </c>
      <c r="V195">
        <v>270</v>
      </c>
      <c r="W195">
        <v>752</v>
      </c>
      <c r="X195">
        <v>845</v>
      </c>
      <c r="Y195" s="19">
        <v>791.60599999999999</v>
      </c>
      <c r="Z195" s="19">
        <v>12.744999999999999</v>
      </c>
      <c r="AA195" s="21">
        <v>5.7660000000000003E-2</v>
      </c>
      <c r="AB195" s="21">
        <v>3.6540000000000003E-2</v>
      </c>
      <c r="AC195" s="21">
        <v>3.4020000000000002E-2</v>
      </c>
      <c r="AD195" s="20">
        <v>61.424281995347329</v>
      </c>
    </row>
    <row r="196" spans="2:30" x14ac:dyDescent="0.25">
      <c r="B196" t="s">
        <v>42</v>
      </c>
      <c r="C196" s="15">
        <v>42695</v>
      </c>
      <c r="D196" s="23">
        <v>0.31059027777777776</v>
      </c>
      <c r="E196" s="24" t="s">
        <v>43</v>
      </c>
      <c r="F196">
        <v>109.8</v>
      </c>
      <c r="G196">
        <v>134.19999999999999</v>
      </c>
      <c r="H196" t="s">
        <v>45</v>
      </c>
      <c r="I196">
        <v>4000001</v>
      </c>
      <c r="J196">
        <v>389</v>
      </c>
      <c r="K196">
        <v>6.4290000000000003</v>
      </c>
      <c r="L196">
        <v>501</v>
      </c>
      <c r="M196">
        <v>360</v>
      </c>
      <c r="N196">
        <v>707</v>
      </c>
      <c r="O196">
        <v>850</v>
      </c>
      <c r="P196" s="19">
        <v>784.18600000000004</v>
      </c>
      <c r="Q196" s="19">
        <v>16.686</v>
      </c>
      <c r="R196" s="21">
        <v>9.2050000000000007E-2</v>
      </c>
      <c r="S196" s="21">
        <v>5.561E-2</v>
      </c>
      <c r="T196" s="21">
        <v>4.8149999999999998E-2</v>
      </c>
      <c r="U196">
        <v>376</v>
      </c>
      <c r="V196">
        <v>270</v>
      </c>
      <c r="W196">
        <v>743</v>
      </c>
      <c r="X196">
        <v>842</v>
      </c>
      <c r="Y196" s="19">
        <v>789.56500000000005</v>
      </c>
      <c r="Z196" s="19">
        <v>13.69</v>
      </c>
      <c r="AA196" s="21">
        <v>6.2289999999999998E-2</v>
      </c>
      <c r="AB196" s="21">
        <v>3.9629999999999999E-2</v>
      </c>
      <c r="AC196" s="21">
        <v>4.8149999999999998E-2</v>
      </c>
      <c r="AD196" s="20">
        <v>60.145847337903938</v>
      </c>
    </row>
    <row r="197" spans="2:30" x14ac:dyDescent="0.25">
      <c r="B197" t="s">
        <v>42</v>
      </c>
      <c r="C197" s="15">
        <v>42696</v>
      </c>
      <c r="D197" s="23">
        <v>0.3052199074074074</v>
      </c>
      <c r="E197" s="24" t="s">
        <v>43</v>
      </c>
      <c r="F197">
        <v>109.8</v>
      </c>
      <c r="G197">
        <v>134.19999999999999</v>
      </c>
      <c r="H197" t="s">
        <v>45</v>
      </c>
      <c r="I197">
        <v>4000001</v>
      </c>
      <c r="J197">
        <v>382</v>
      </c>
      <c r="K197">
        <v>6.4290000000000003</v>
      </c>
      <c r="L197">
        <v>501</v>
      </c>
      <c r="M197">
        <v>360</v>
      </c>
      <c r="N197">
        <v>699</v>
      </c>
      <c r="O197">
        <v>845</v>
      </c>
      <c r="P197" s="19">
        <v>784.07399999999996</v>
      </c>
      <c r="Q197" s="19">
        <v>16.933</v>
      </c>
      <c r="R197" s="21">
        <v>9.4649999999999998E-2</v>
      </c>
      <c r="S197" s="21">
        <v>5.108E-2</v>
      </c>
      <c r="T197" s="21">
        <v>5.6579999999999998E-2</v>
      </c>
      <c r="U197">
        <v>376</v>
      </c>
      <c r="V197">
        <v>270</v>
      </c>
      <c r="W197">
        <v>744</v>
      </c>
      <c r="X197">
        <v>845</v>
      </c>
      <c r="Y197" s="19">
        <v>790.91</v>
      </c>
      <c r="Z197" s="19">
        <v>13.420999999999999</v>
      </c>
      <c r="AA197" s="21">
        <v>6.3740000000000005E-2</v>
      </c>
      <c r="AB197" s="21">
        <v>3.909E-2</v>
      </c>
      <c r="AC197" s="21">
        <v>3.7510000000000002E-2</v>
      </c>
      <c r="AD197" s="20">
        <v>61.404425559531965</v>
      </c>
    </row>
    <row r="198" spans="2:30" x14ac:dyDescent="0.25">
      <c r="B198" t="s">
        <v>42</v>
      </c>
      <c r="C198" s="15">
        <v>42697</v>
      </c>
      <c r="D198" s="23">
        <v>0.31746527777777778</v>
      </c>
      <c r="E198" s="24" t="s">
        <v>43</v>
      </c>
      <c r="F198">
        <v>109.8</v>
      </c>
      <c r="G198">
        <v>134.19999999999999</v>
      </c>
      <c r="H198" t="s">
        <v>45</v>
      </c>
      <c r="I198">
        <v>4000001</v>
      </c>
      <c r="J198">
        <v>383</v>
      </c>
      <c r="K198">
        <v>6.4290000000000003</v>
      </c>
      <c r="L198">
        <v>501</v>
      </c>
      <c r="M198">
        <v>360</v>
      </c>
      <c r="N198">
        <v>717</v>
      </c>
      <c r="O198">
        <v>833</v>
      </c>
      <c r="P198" s="19">
        <v>784.67</v>
      </c>
      <c r="Q198" s="19">
        <v>16.141999999999999</v>
      </c>
      <c r="R198" s="21">
        <v>7.5090000000000004E-2</v>
      </c>
      <c r="S198" s="21">
        <v>5.629E-2</v>
      </c>
      <c r="T198" s="21">
        <v>4.6429999999999999E-2</v>
      </c>
      <c r="U198">
        <v>376</v>
      </c>
      <c r="V198">
        <v>270</v>
      </c>
      <c r="W198">
        <v>750</v>
      </c>
      <c r="X198">
        <v>833</v>
      </c>
      <c r="Y198" s="19">
        <v>791.26199999999994</v>
      </c>
      <c r="Z198" s="19">
        <v>12.472</v>
      </c>
      <c r="AA198" s="21">
        <v>5.2670000000000002E-2</v>
      </c>
      <c r="AB198" s="21">
        <v>3.6200000000000003E-2</v>
      </c>
      <c r="AC198" s="21">
        <v>3.884E-2</v>
      </c>
      <c r="AD198" s="20">
        <v>61.400519925567231</v>
      </c>
    </row>
    <row r="199" spans="2:30" x14ac:dyDescent="0.25">
      <c r="B199" t="s">
        <v>42</v>
      </c>
      <c r="C199" s="15">
        <v>42699</v>
      </c>
      <c r="D199" s="23">
        <v>0.31907407407407407</v>
      </c>
      <c r="E199" s="24" t="s">
        <v>43</v>
      </c>
      <c r="F199">
        <v>109.8</v>
      </c>
      <c r="G199">
        <v>134.19999999999999</v>
      </c>
      <c r="H199" t="s">
        <v>44</v>
      </c>
      <c r="I199">
        <v>4000001</v>
      </c>
      <c r="J199">
        <v>393</v>
      </c>
      <c r="K199">
        <v>6.4290000000000003</v>
      </c>
      <c r="L199">
        <v>501</v>
      </c>
      <c r="M199">
        <v>360</v>
      </c>
      <c r="N199">
        <v>710</v>
      </c>
      <c r="O199">
        <v>841</v>
      </c>
      <c r="P199" s="19">
        <v>784.72500000000002</v>
      </c>
      <c r="Q199" s="19">
        <v>16.074999999999999</v>
      </c>
      <c r="R199" s="21">
        <v>8.4889999999999993E-2</v>
      </c>
      <c r="S199" s="21">
        <v>5.4100000000000002E-2</v>
      </c>
      <c r="T199" s="21">
        <v>4.0320000000000002E-2</v>
      </c>
      <c r="U199">
        <v>376</v>
      </c>
      <c r="V199">
        <v>270</v>
      </c>
      <c r="W199">
        <v>741</v>
      </c>
      <c r="X199">
        <v>841</v>
      </c>
      <c r="Y199" s="19">
        <v>791.23</v>
      </c>
      <c r="Z199" s="19">
        <v>13.952</v>
      </c>
      <c r="AA199" s="21">
        <v>6.3420000000000004E-2</v>
      </c>
      <c r="AB199" s="21">
        <v>3.526E-2</v>
      </c>
      <c r="AC199" s="21">
        <v>3.4959999999999998E-2</v>
      </c>
      <c r="AD199" s="20">
        <v>60.144212932624335</v>
      </c>
    </row>
    <row r="200" spans="2:30" x14ac:dyDescent="0.25">
      <c r="B200" t="s">
        <v>42</v>
      </c>
      <c r="C200" s="15">
        <v>42702</v>
      </c>
      <c r="D200" s="23">
        <v>0.31836805555555553</v>
      </c>
      <c r="E200" s="24" t="s">
        <v>43</v>
      </c>
      <c r="F200">
        <v>109.8</v>
      </c>
      <c r="G200">
        <v>134.19999999999999</v>
      </c>
      <c r="H200" t="s">
        <v>45</v>
      </c>
      <c r="I200">
        <v>4000001</v>
      </c>
      <c r="J200">
        <v>396</v>
      </c>
      <c r="K200">
        <v>6.4290000000000003</v>
      </c>
      <c r="L200">
        <v>501</v>
      </c>
      <c r="M200">
        <v>360</v>
      </c>
      <c r="N200">
        <v>685</v>
      </c>
      <c r="O200">
        <v>845</v>
      </c>
      <c r="P200" s="19">
        <v>783.97900000000004</v>
      </c>
      <c r="Q200" s="19">
        <v>18.108000000000001</v>
      </c>
      <c r="R200" s="21">
        <v>0.10485999999999999</v>
      </c>
      <c r="S200" s="21">
        <v>4.6330000000000003E-2</v>
      </c>
      <c r="T200" s="21">
        <v>5.5059999999999998E-2</v>
      </c>
      <c r="U200">
        <v>376</v>
      </c>
      <c r="V200">
        <v>270</v>
      </c>
      <c r="W200">
        <v>729</v>
      </c>
      <c r="X200">
        <v>845</v>
      </c>
      <c r="Y200" s="19">
        <v>789.98</v>
      </c>
      <c r="Z200" s="19">
        <v>15.073</v>
      </c>
      <c r="AA200" s="21">
        <v>7.3529999999999998E-2</v>
      </c>
      <c r="AB200" s="21">
        <v>4.4650000000000002E-2</v>
      </c>
      <c r="AC200" s="21">
        <v>4.0009999999999997E-2</v>
      </c>
      <c r="AD200" s="20">
        <v>60.147083143138154</v>
      </c>
    </row>
    <row r="201" spans="2:30" x14ac:dyDescent="0.25">
      <c r="B201" t="s">
        <v>42</v>
      </c>
      <c r="C201" s="15">
        <v>42703</v>
      </c>
      <c r="D201" s="23">
        <v>0.32672453703703702</v>
      </c>
      <c r="E201" s="24" t="s">
        <v>43</v>
      </c>
      <c r="F201">
        <v>109.8</v>
      </c>
      <c r="G201">
        <v>134.19999999999999</v>
      </c>
      <c r="H201" t="s">
        <v>45</v>
      </c>
      <c r="I201">
        <v>4000001</v>
      </c>
      <c r="J201">
        <v>388</v>
      </c>
      <c r="K201">
        <v>6.4290000000000003</v>
      </c>
      <c r="L201">
        <v>501</v>
      </c>
      <c r="M201">
        <v>360</v>
      </c>
      <c r="N201">
        <v>709</v>
      </c>
      <c r="O201">
        <v>833</v>
      </c>
      <c r="P201" s="19">
        <v>784.89400000000001</v>
      </c>
      <c r="Q201" s="19">
        <v>16.526</v>
      </c>
      <c r="R201" s="21">
        <v>8.0810000000000007E-2</v>
      </c>
      <c r="S201" s="21">
        <v>5.2839999999999998E-2</v>
      </c>
      <c r="T201" s="21">
        <v>4.4319999999999998E-2</v>
      </c>
      <c r="U201">
        <v>376</v>
      </c>
      <c r="V201">
        <v>270</v>
      </c>
      <c r="W201">
        <v>751</v>
      </c>
      <c r="X201">
        <v>833</v>
      </c>
      <c r="Y201" s="19">
        <v>791.577</v>
      </c>
      <c r="Z201" s="19">
        <v>12.792999999999999</v>
      </c>
      <c r="AA201" s="21">
        <v>5.2069999999999998E-2</v>
      </c>
      <c r="AB201" s="21">
        <v>3.4720000000000001E-2</v>
      </c>
      <c r="AC201" s="21">
        <v>3.4020000000000002E-2</v>
      </c>
      <c r="AD201" s="20">
        <v>61.544013978675636</v>
      </c>
    </row>
    <row r="202" spans="2:30" x14ac:dyDescent="0.25">
      <c r="B202" t="s">
        <v>42</v>
      </c>
      <c r="C202" s="15">
        <v>42704</v>
      </c>
      <c r="D202" s="23">
        <v>0.30881944444444448</v>
      </c>
      <c r="E202" s="24" t="s">
        <v>43</v>
      </c>
      <c r="F202">
        <v>109.8</v>
      </c>
      <c r="G202">
        <v>134.19999999999999</v>
      </c>
      <c r="H202" t="s">
        <v>45</v>
      </c>
      <c r="I202">
        <v>4000001</v>
      </c>
      <c r="J202">
        <v>389</v>
      </c>
      <c r="K202">
        <v>6.4290000000000003</v>
      </c>
      <c r="L202">
        <v>501</v>
      </c>
      <c r="M202">
        <v>360</v>
      </c>
      <c r="N202">
        <v>720</v>
      </c>
      <c r="O202">
        <v>846</v>
      </c>
      <c r="P202" s="19">
        <v>784.99</v>
      </c>
      <c r="Q202" s="19">
        <v>16.219000000000001</v>
      </c>
      <c r="R202" s="21">
        <v>8.0420000000000005E-2</v>
      </c>
      <c r="S202" s="21">
        <v>5.0880000000000002E-2</v>
      </c>
      <c r="T202" s="21">
        <v>4.8259999999999997E-2</v>
      </c>
      <c r="U202">
        <v>376</v>
      </c>
      <c r="V202">
        <v>270</v>
      </c>
      <c r="W202">
        <v>753</v>
      </c>
      <c r="X202">
        <v>837</v>
      </c>
      <c r="Y202" s="19">
        <v>791.447</v>
      </c>
      <c r="Z202" s="19">
        <v>13.362</v>
      </c>
      <c r="AA202" s="21">
        <v>5.2909999999999999E-2</v>
      </c>
      <c r="AB202" s="21">
        <v>3.6760000000000001E-2</v>
      </c>
      <c r="AC202" s="21">
        <v>3.5389999999999998E-2</v>
      </c>
      <c r="AD202" s="20">
        <v>61.542584295022635</v>
      </c>
    </row>
    <row r="203" spans="2:30" x14ac:dyDescent="0.25">
      <c r="B203" t="s">
        <v>42</v>
      </c>
      <c r="C203" s="15">
        <v>42705</v>
      </c>
      <c r="D203" s="23">
        <v>0.30649305555555556</v>
      </c>
      <c r="E203" s="24" t="s">
        <v>43</v>
      </c>
      <c r="F203">
        <v>109.8</v>
      </c>
      <c r="G203">
        <v>134.19999999999999</v>
      </c>
      <c r="H203" t="s">
        <v>44</v>
      </c>
      <c r="I203">
        <v>4000001</v>
      </c>
      <c r="J203">
        <v>400</v>
      </c>
      <c r="K203">
        <v>6.4290000000000003</v>
      </c>
      <c r="L203">
        <v>501</v>
      </c>
      <c r="M203">
        <v>360</v>
      </c>
      <c r="N203">
        <v>727</v>
      </c>
      <c r="O203">
        <v>850</v>
      </c>
      <c r="P203" s="19">
        <v>786.53200000000004</v>
      </c>
      <c r="Q203" s="19">
        <v>15.026999999999999</v>
      </c>
      <c r="R203" s="21">
        <v>7.8320000000000001E-2</v>
      </c>
      <c r="S203" s="21">
        <v>4.4069999999999998E-2</v>
      </c>
      <c r="T203" s="21">
        <v>4.6449999999999998E-2</v>
      </c>
      <c r="U203">
        <v>376</v>
      </c>
      <c r="V203">
        <v>270</v>
      </c>
      <c r="W203">
        <v>750</v>
      </c>
      <c r="X203">
        <v>850</v>
      </c>
      <c r="Y203" s="19">
        <v>791.85299999999995</v>
      </c>
      <c r="Z203" s="19">
        <v>13.358000000000001</v>
      </c>
      <c r="AA203" s="21">
        <v>6.2740000000000004E-2</v>
      </c>
      <c r="AB203" s="21">
        <v>4.0489999999999998E-2</v>
      </c>
      <c r="AC203" s="21">
        <v>3.9399999999999998E-2</v>
      </c>
      <c r="AD203" s="20">
        <v>60.003022306525317</v>
      </c>
    </row>
    <row r="204" spans="2:30" x14ac:dyDescent="0.25">
      <c r="B204" t="s">
        <v>42</v>
      </c>
      <c r="C204" s="15">
        <v>42706</v>
      </c>
      <c r="D204" s="23">
        <v>0.32740740740740742</v>
      </c>
      <c r="E204" s="24" t="s">
        <v>43</v>
      </c>
      <c r="F204">
        <v>109.8</v>
      </c>
      <c r="G204">
        <v>134.19999999999999</v>
      </c>
      <c r="H204" t="s">
        <v>45</v>
      </c>
      <c r="I204">
        <v>4000001</v>
      </c>
      <c r="J204">
        <v>390</v>
      </c>
      <c r="K204">
        <v>6.4290000000000003</v>
      </c>
      <c r="L204">
        <v>501</v>
      </c>
      <c r="M204">
        <v>360</v>
      </c>
      <c r="N204">
        <v>714</v>
      </c>
      <c r="O204">
        <v>846</v>
      </c>
      <c r="P204" s="19">
        <v>784.55600000000004</v>
      </c>
      <c r="Q204" s="19">
        <v>16.045999999999999</v>
      </c>
      <c r="R204" s="21">
        <v>8.4559999999999996E-2</v>
      </c>
      <c r="S204" s="21">
        <v>4.5289999999999997E-2</v>
      </c>
      <c r="T204" s="21">
        <v>4.0930000000000001E-2</v>
      </c>
      <c r="U204">
        <v>376</v>
      </c>
      <c r="V204">
        <v>270</v>
      </c>
      <c r="W204">
        <v>745</v>
      </c>
      <c r="X204">
        <v>837</v>
      </c>
      <c r="Y204" s="19">
        <v>790.43799999999999</v>
      </c>
      <c r="Z204" s="19">
        <v>13.563000000000001</v>
      </c>
      <c r="AA204" s="21">
        <v>5.8220000000000001E-2</v>
      </c>
      <c r="AB204" s="21">
        <v>3.6310000000000002E-2</v>
      </c>
      <c r="AC204" s="21">
        <v>4.0660000000000002E-2</v>
      </c>
      <c r="AD204" s="20">
        <v>61.698740300238498</v>
      </c>
    </row>
    <row r="205" spans="2:30" x14ac:dyDescent="0.25">
      <c r="B205" t="s">
        <v>42</v>
      </c>
      <c r="C205" s="15">
        <v>42709</v>
      </c>
      <c r="D205" s="23">
        <v>0.30854166666666666</v>
      </c>
      <c r="E205" s="24" t="s">
        <v>43</v>
      </c>
      <c r="F205">
        <v>109.8</v>
      </c>
      <c r="G205">
        <v>134.19999999999999</v>
      </c>
      <c r="H205" t="s">
        <v>45</v>
      </c>
      <c r="I205">
        <v>4000001</v>
      </c>
      <c r="J205">
        <v>403</v>
      </c>
      <c r="K205">
        <v>6.4290000000000003</v>
      </c>
      <c r="L205">
        <v>501</v>
      </c>
      <c r="M205">
        <v>360</v>
      </c>
      <c r="N205">
        <v>726</v>
      </c>
      <c r="O205">
        <v>853</v>
      </c>
      <c r="P205" s="19">
        <v>784.47500000000002</v>
      </c>
      <c r="Q205" s="19">
        <v>15.616</v>
      </c>
      <c r="R205" s="21">
        <v>8.0649999999999999E-2</v>
      </c>
      <c r="S205" s="21">
        <v>5.595E-2</v>
      </c>
      <c r="T205" s="21">
        <v>5.0250000000000003E-2</v>
      </c>
      <c r="U205">
        <v>376</v>
      </c>
      <c r="V205">
        <v>270</v>
      </c>
      <c r="W205">
        <v>744</v>
      </c>
      <c r="X205">
        <v>829</v>
      </c>
      <c r="Y205" s="19">
        <v>789.59699999999998</v>
      </c>
      <c r="Z205" s="19">
        <v>13.32</v>
      </c>
      <c r="AA205" s="21">
        <v>5.4039999999999998E-2</v>
      </c>
      <c r="AB205" s="21">
        <v>3.4180000000000002E-2</v>
      </c>
      <c r="AC205" s="21">
        <v>4.2340000000000003E-2</v>
      </c>
      <c r="AD205" s="20">
        <v>60.167119280140675</v>
      </c>
    </row>
    <row r="206" spans="2:30" x14ac:dyDescent="0.25">
      <c r="B206" t="s">
        <v>42</v>
      </c>
      <c r="C206" s="15">
        <v>42710</v>
      </c>
      <c r="D206" s="23">
        <v>0.32604166666666667</v>
      </c>
      <c r="E206" s="24" t="s">
        <v>43</v>
      </c>
      <c r="F206">
        <v>109.8</v>
      </c>
      <c r="G206">
        <v>134.19999999999999</v>
      </c>
      <c r="H206" t="s">
        <v>45</v>
      </c>
      <c r="I206">
        <v>4000001</v>
      </c>
      <c r="J206">
        <v>395</v>
      </c>
      <c r="K206">
        <v>6.4290000000000003</v>
      </c>
      <c r="L206">
        <v>501</v>
      </c>
      <c r="M206">
        <v>360</v>
      </c>
      <c r="N206">
        <v>697</v>
      </c>
      <c r="O206">
        <v>841</v>
      </c>
      <c r="P206" s="19">
        <v>783.83</v>
      </c>
      <c r="Q206" s="19">
        <v>17.071999999999999</v>
      </c>
      <c r="R206" s="21">
        <v>9.3390000000000001E-2</v>
      </c>
      <c r="S206" s="21">
        <v>5.1040000000000002E-2</v>
      </c>
      <c r="T206" s="21">
        <v>6.3710000000000003E-2</v>
      </c>
      <c r="U206">
        <v>376</v>
      </c>
      <c r="V206">
        <v>270</v>
      </c>
      <c r="W206">
        <v>744</v>
      </c>
      <c r="X206">
        <v>832</v>
      </c>
      <c r="Y206" s="19">
        <v>790.11</v>
      </c>
      <c r="Z206" s="19">
        <v>13.787000000000001</v>
      </c>
      <c r="AA206" s="21">
        <v>5.5300000000000002E-2</v>
      </c>
      <c r="AB206" s="21">
        <v>4.7910000000000001E-2</v>
      </c>
      <c r="AC206" s="21">
        <v>3.5459999999999998E-2</v>
      </c>
      <c r="AD206" s="20">
        <v>61.542474717886513</v>
      </c>
    </row>
    <row r="207" spans="2:30" x14ac:dyDescent="0.25">
      <c r="B207" t="s">
        <v>42</v>
      </c>
      <c r="C207" s="15">
        <v>42711</v>
      </c>
      <c r="D207" s="23">
        <v>0.31489583333333332</v>
      </c>
      <c r="E207" s="24" t="s">
        <v>43</v>
      </c>
      <c r="F207">
        <v>109.8</v>
      </c>
      <c r="G207">
        <v>134.19999999999999</v>
      </c>
      <c r="H207" t="s">
        <v>45</v>
      </c>
      <c r="I207">
        <v>4000001</v>
      </c>
      <c r="J207">
        <v>396</v>
      </c>
      <c r="K207">
        <v>6.4290000000000003</v>
      </c>
      <c r="L207">
        <v>501</v>
      </c>
      <c r="M207">
        <v>360</v>
      </c>
      <c r="N207">
        <v>710</v>
      </c>
      <c r="O207">
        <v>846</v>
      </c>
      <c r="P207" s="19">
        <v>783.84199999999998</v>
      </c>
      <c r="Q207" s="19">
        <v>16.52</v>
      </c>
      <c r="R207" s="21">
        <v>8.7050000000000002E-2</v>
      </c>
      <c r="S207" s="21">
        <v>4.8480000000000002E-2</v>
      </c>
      <c r="T207" s="21">
        <v>5.0979999999999998E-2</v>
      </c>
      <c r="U207">
        <v>376</v>
      </c>
      <c r="V207">
        <v>270</v>
      </c>
      <c r="W207">
        <v>744</v>
      </c>
      <c r="X207">
        <v>839</v>
      </c>
      <c r="Y207" s="19">
        <v>789.95399999999995</v>
      </c>
      <c r="Z207" s="19">
        <v>13.590999999999999</v>
      </c>
      <c r="AA207" s="21">
        <v>5.9659999999999998E-2</v>
      </c>
      <c r="AB207" s="21">
        <v>4.0969999999999999E-2</v>
      </c>
      <c r="AC207" s="21">
        <v>4.2189999999999998E-2</v>
      </c>
      <c r="AD207" s="20">
        <v>61.543848798744271</v>
      </c>
    </row>
    <row r="208" spans="2:30" x14ac:dyDescent="0.25">
      <c r="B208" t="s">
        <v>42</v>
      </c>
      <c r="C208" s="15">
        <v>42712</v>
      </c>
      <c r="D208" s="23">
        <v>0.30207175925925928</v>
      </c>
      <c r="E208" s="24" t="s">
        <v>43</v>
      </c>
      <c r="F208">
        <v>109.8</v>
      </c>
      <c r="G208">
        <v>134.19999999999999</v>
      </c>
      <c r="H208" t="s">
        <v>45</v>
      </c>
      <c r="I208">
        <v>4000001</v>
      </c>
      <c r="J208">
        <v>396</v>
      </c>
      <c r="K208">
        <v>6.4290000000000003</v>
      </c>
      <c r="L208">
        <v>501</v>
      </c>
      <c r="M208">
        <v>360</v>
      </c>
      <c r="N208">
        <v>706</v>
      </c>
      <c r="O208">
        <v>856</v>
      </c>
      <c r="P208" s="19">
        <v>784.38400000000001</v>
      </c>
      <c r="Q208" s="19">
        <v>16.538</v>
      </c>
      <c r="R208" s="21">
        <v>9.6280000000000004E-2</v>
      </c>
      <c r="S208" s="21">
        <v>5.101E-2</v>
      </c>
      <c r="T208" s="21">
        <v>6.1499999999999999E-2</v>
      </c>
      <c r="U208">
        <v>376</v>
      </c>
      <c r="V208">
        <v>270</v>
      </c>
      <c r="W208">
        <v>745</v>
      </c>
      <c r="X208">
        <v>846</v>
      </c>
      <c r="Y208" s="19">
        <v>790.44299999999998</v>
      </c>
      <c r="Z208" s="19">
        <v>13.601000000000001</v>
      </c>
      <c r="AA208" s="21">
        <v>6.3789999999999999E-2</v>
      </c>
      <c r="AB208" s="21">
        <v>4.3110000000000002E-2</v>
      </c>
      <c r="AC208" s="21">
        <v>3.9649999999999998E-2</v>
      </c>
      <c r="AD208" s="20">
        <v>61.701033601193728</v>
      </c>
    </row>
    <row r="209" spans="2:30" x14ac:dyDescent="0.25">
      <c r="B209" t="s">
        <v>42</v>
      </c>
      <c r="C209" s="15">
        <v>42713</v>
      </c>
      <c r="D209" s="23">
        <v>0.31241898148148145</v>
      </c>
      <c r="E209" s="24" t="s">
        <v>43</v>
      </c>
      <c r="F209">
        <v>109.8</v>
      </c>
      <c r="G209">
        <v>134.19999999999999</v>
      </c>
      <c r="H209" t="s">
        <v>45</v>
      </c>
      <c r="I209">
        <v>4000001</v>
      </c>
      <c r="J209">
        <v>397</v>
      </c>
      <c r="K209">
        <v>6.4290000000000003</v>
      </c>
      <c r="L209">
        <v>501</v>
      </c>
      <c r="M209">
        <v>360</v>
      </c>
      <c r="N209">
        <v>702</v>
      </c>
      <c r="O209">
        <v>842</v>
      </c>
      <c r="P209" s="19">
        <v>784.53300000000002</v>
      </c>
      <c r="Q209" s="19">
        <v>16.231000000000002</v>
      </c>
      <c r="R209" s="21">
        <v>9.0609999999999996E-2</v>
      </c>
      <c r="S209" s="21">
        <v>4.9020000000000001E-2</v>
      </c>
      <c r="T209" s="21">
        <v>5.5719999999999999E-2</v>
      </c>
      <c r="U209">
        <v>376</v>
      </c>
      <c r="V209">
        <v>270</v>
      </c>
      <c r="W209">
        <v>741</v>
      </c>
      <c r="X209">
        <v>842</v>
      </c>
      <c r="Y209" s="19">
        <v>791.04600000000005</v>
      </c>
      <c r="Z209" s="19">
        <v>12.891</v>
      </c>
      <c r="AA209" s="21">
        <v>6.3409999999999994E-2</v>
      </c>
      <c r="AB209" s="21">
        <v>3.9600000000000003E-2</v>
      </c>
      <c r="AC209" s="21">
        <v>4.5190000000000001E-2</v>
      </c>
      <c r="AD209" s="20">
        <v>61.702804694887199</v>
      </c>
    </row>
    <row r="210" spans="2:30" x14ac:dyDescent="0.25">
      <c r="B210" t="s">
        <v>42</v>
      </c>
      <c r="C210" s="15">
        <v>42716</v>
      </c>
      <c r="D210" s="23">
        <v>0.30583333333333335</v>
      </c>
      <c r="E210" s="24" t="s">
        <v>43</v>
      </c>
      <c r="F210">
        <v>109.8</v>
      </c>
      <c r="G210">
        <v>134.19999999999999</v>
      </c>
      <c r="H210" t="s">
        <v>45</v>
      </c>
      <c r="I210">
        <v>4000001</v>
      </c>
      <c r="J210">
        <v>410</v>
      </c>
      <c r="K210">
        <v>6.4290000000000003</v>
      </c>
      <c r="L210">
        <v>501</v>
      </c>
      <c r="M210">
        <v>360</v>
      </c>
      <c r="N210">
        <v>709</v>
      </c>
      <c r="O210">
        <v>858</v>
      </c>
      <c r="P210" s="19">
        <v>783.95600000000002</v>
      </c>
      <c r="Q210" s="19">
        <v>16.445</v>
      </c>
      <c r="R210" s="21">
        <v>9.5380000000000006E-2</v>
      </c>
      <c r="S210" s="21">
        <v>5.3969999999999997E-2</v>
      </c>
      <c r="T210" s="21">
        <v>5.3629999999999997E-2</v>
      </c>
      <c r="U210">
        <v>376</v>
      </c>
      <c r="V210">
        <v>270</v>
      </c>
      <c r="W210">
        <v>742</v>
      </c>
      <c r="X210">
        <v>858</v>
      </c>
      <c r="Y210" s="19">
        <v>789.49900000000002</v>
      </c>
      <c r="Z210" s="19">
        <v>13.397</v>
      </c>
      <c r="AA210" s="21">
        <v>7.2340000000000002E-2</v>
      </c>
      <c r="AB210" s="21">
        <v>3.8010000000000002E-2</v>
      </c>
      <c r="AC210" s="21">
        <v>5.3629999999999997E-2</v>
      </c>
      <c r="AD210" s="20">
        <v>60.205326485146522</v>
      </c>
    </row>
    <row r="211" spans="2:30" x14ac:dyDescent="0.25">
      <c r="B211" t="s">
        <v>42</v>
      </c>
      <c r="C211" s="15">
        <v>42717</v>
      </c>
      <c r="D211" s="23">
        <v>0.28966435185185185</v>
      </c>
      <c r="E211" s="24" t="s">
        <v>43</v>
      </c>
      <c r="F211">
        <v>109.8</v>
      </c>
      <c r="G211">
        <v>134.19999999999999</v>
      </c>
      <c r="H211" t="s">
        <v>45</v>
      </c>
      <c r="I211">
        <v>4000001</v>
      </c>
      <c r="J211">
        <v>401</v>
      </c>
      <c r="K211">
        <v>6.4290000000000003</v>
      </c>
      <c r="L211">
        <v>501</v>
      </c>
      <c r="M211">
        <v>360</v>
      </c>
      <c r="N211">
        <v>719</v>
      </c>
      <c r="O211">
        <v>837</v>
      </c>
      <c r="P211" s="19">
        <v>784.72</v>
      </c>
      <c r="Q211" s="19">
        <v>15.669</v>
      </c>
      <c r="R211" s="21">
        <v>7.5800000000000006E-2</v>
      </c>
      <c r="S211" s="21">
        <v>4.8550000000000003E-2</v>
      </c>
      <c r="T211" s="21">
        <v>5.1389999999999998E-2</v>
      </c>
      <c r="U211">
        <v>376</v>
      </c>
      <c r="V211">
        <v>270</v>
      </c>
      <c r="W211">
        <v>743</v>
      </c>
      <c r="X211">
        <v>830</v>
      </c>
      <c r="Y211" s="19">
        <v>790.66099999999994</v>
      </c>
      <c r="Z211" s="19">
        <v>12.669</v>
      </c>
      <c r="AA211" s="21">
        <v>5.5629999999999999E-2</v>
      </c>
      <c r="AB211" s="21">
        <v>4.0469999999999999E-2</v>
      </c>
      <c r="AC211" s="21">
        <v>3.866E-2</v>
      </c>
      <c r="AD211" s="20">
        <v>61.71378551495151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H25"/>
  <sheetViews>
    <sheetView showGridLines="0" zoomScale="130" zoomScaleNormal="130" workbookViewId="0">
      <selection activeCell="B11" sqref="B11"/>
    </sheetView>
  </sheetViews>
  <sheetFormatPr defaultRowHeight="15" x14ac:dyDescent="0.25"/>
  <cols>
    <col min="2" max="2" width="1.85546875" customWidth="1"/>
    <col min="3" max="3" width="17.28515625" customWidth="1"/>
    <col min="4" max="4" width="17.42578125" customWidth="1"/>
    <col min="7" max="7" width="11.140625" bestFit="1" customWidth="1"/>
  </cols>
  <sheetData>
    <row r="1" spans="2:7" ht="12.75" customHeight="1" thickBot="1" x14ac:dyDescent="0.3"/>
    <row r="2" spans="2:7" ht="8.25" customHeight="1" x14ac:dyDescent="0.25">
      <c r="B2" s="2"/>
      <c r="C2" s="3"/>
      <c r="D2" s="4"/>
    </row>
    <row r="3" spans="2:7" x14ac:dyDescent="0.25">
      <c r="B3" s="5"/>
      <c r="C3" s="6" t="s">
        <v>41</v>
      </c>
      <c r="D3" s="39" t="s">
        <v>54</v>
      </c>
    </row>
    <row r="4" spans="2:7" x14ac:dyDescent="0.25">
      <c r="B4" s="5"/>
      <c r="C4" s="6" t="s">
        <v>39</v>
      </c>
      <c r="D4" s="39" t="s">
        <v>40</v>
      </c>
    </row>
    <row r="5" spans="2:7" x14ac:dyDescent="0.25">
      <c r="B5" s="5"/>
      <c r="C5" s="6" t="s">
        <v>46</v>
      </c>
      <c r="D5" s="39">
        <v>271.74</v>
      </c>
    </row>
    <row r="6" spans="2:7" x14ac:dyDescent="0.25">
      <c r="B6" s="5"/>
      <c r="C6" s="6" t="s">
        <v>47</v>
      </c>
      <c r="D6" s="39">
        <v>408</v>
      </c>
    </row>
    <row r="7" spans="2:7" x14ac:dyDescent="0.25">
      <c r="B7" s="5"/>
      <c r="C7" s="6" t="s">
        <v>38</v>
      </c>
      <c r="D7" s="40">
        <v>42354</v>
      </c>
    </row>
    <row r="8" spans="2:7" ht="6" customHeight="1" thickBot="1" x14ac:dyDescent="0.3">
      <c r="B8" s="8"/>
      <c r="C8" s="9"/>
      <c r="D8" s="10"/>
    </row>
    <row r="10" spans="2:7" x14ac:dyDescent="0.25">
      <c r="B10" s="37" t="s">
        <v>55</v>
      </c>
      <c r="C10" s="37"/>
      <c r="D10" s="37"/>
      <c r="E10" s="37"/>
      <c r="F10" s="37"/>
      <c r="G10" s="37"/>
    </row>
    <row r="11" spans="2:7" x14ac:dyDescent="0.25">
      <c r="B11" s="38" t="s">
        <v>59</v>
      </c>
    </row>
    <row r="13" spans="2:7" x14ac:dyDescent="0.25">
      <c r="B13" s="37" t="s">
        <v>56</v>
      </c>
      <c r="C13" s="37"/>
      <c r="D13" s="37"/>
      <c r="E13" s="37"/>
      <c r="F13" s="37"/>
      <c r="G13" s="37"/>
    </row>
    <row r="14" spans="2:7" x14ac:dyDescent="0.25">
      <c r="B14" s="38" t="s">
        <v>42</v>
      </c>
    </row>
    <row r="16" spans="2:7" x14ac:dyDescent="0.25">
      <c r="B16" s="37" t="s">
        <v>57</v>
      </c>
      <c r="C16" s="37"/>
      <c r="D16" s="37"/>
      <c r="E16" s="37"/>
      <c r="F16" s="37"/>
      <c r="G16" s="37"/>
    </row>
    <row r="18" spans="2:8" x14ac:dyDescent="0.25">
      <c r="B18" t="s">
        <v>16</v>
      </c>
      <c r="D18" s="38">
        <v>0.13</v>
      </c>
      <c r="G18" s="15">
        <f>'Detektor 1'!C6</f>
        <v>42383</v>
      </c>
      <c r="H18">
        <f>D18</f>
        <v>0.13</v>
      </c>
    </row>
    <row r="19" spans="2:8" x14ac:dyDescent="0.25">
      <c r="B19" t="s">
        <v>25</v>
      </c>
      <c r="D19" s="38">
        <v>0.08</v>
      </c>
      <c r="G19" s="15">
        <f ca="1">TODAY()</f>
        <v>42717</v>
      </c>
      <c r="H19">
        <f>D18</f>
        <v>0.13</v>
      </c>
    </row>
    <row r="20" spans="2:8" x14ac:dyDescent="0.25">
      <c r="B20" t="s">
        <v>37</v>
      </c>
      <c r="D20" s="38">
        <v>55</v>
      </c>
    </row>
    <row r="21" spans="2:8" x14ac:dyDescent="0.25">
      <c r="G21" s="15">
        <f>'Detektor 1'!C6</f>
        <v>42383</v>
      </c>
      <c r="H21">
        <f>D19</f>
        <v>0.08</v>
      </c>
    </row>
    <row r="22" spans="2:8" x14ac:dyDescent="0.25">
      <c r="G22" s="15">
        <f ca="1">TODAY()</f>
        <v>42717</v>
      </c>
      <c r="H22">
        <f>D19</f>
        <v>0.08</v>
      </c>
    </row>
    <row r="24" spans="2:8" x14ac:dyDescent="0.25">
      <c r="G24" s="15">
        <f>'Detektor 1'!C6</f>
        <v>42383</v>
      </c>
      <c r="H24">
        <f>D20</f>
        <v>55</v>
      </c>
    </row>
    <row r="25" spans="2:8" x14ac:dyDescent="0.25">
      <c r="G25" s="15">
        <f ca="1">TODAY()</f>
        <v>42717</v>
      </c>
      <c r="H25">
        <f>D20</f>
        <v>55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4</vt:i4>
      </vt:variant>
    </vt:vector>
  </HeadingPairs>
  <TitlesOfParts>
    <vt:vector size="4" baseType="lpstr">
      <vt:lpstr>Senaste kontroll</vt:lpstr>
      <vt:lpstr>Detektor 1</vt:lpstr>
      <vt:lpstr>Detektor 2</vt:lpstr>
      <vt:lpstr>Övrigt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Medicinsk Fysik</cp:lastModifiedBy>
  <dcterms:created xsi:type="dcterms:W3CDTF">2006-09-16T00:00:00Z</dcterms:created>
  <dcterms:modified xsi:type="dcterms:W3CDTF">2016-12-13T06:41:19Z</dcterms:modified>
</cp:coreProperties>
</file>