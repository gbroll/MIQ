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180" windowWidth="25320" windowHeight="15870" activeTab="2"/>
  </bookViews>
  <sheets>
    <sheet name="Sammanfattning" sheetId="1" r:id="rId1"/>
    <sheet name="Data" sheetId="2" r:id="rId2"/>
    <sheet name="Övrigt" sheetId="4" r:id="rId3"/>
  </sheets>
  <calcPr calcId="145621"/>
</workbook>
</file>

<file path=xl/calcChain.xml><?xml version="1.0" encoding="utf-8"?>
<calcChain xmlns="http://schemas.openxmlformats.org/spreadsheetml/2006/main">
  <c r="I107" i="2" l="1"/>
  <c r="HL107" i="2"/>
  <c r="HM107" i="2"/>
  <c r="HN107" i="2"/>
  <c r="HO107" i="2"/>
  <c r="I106" i="2" l="1"/>
  <c r="HL106" i="2"/>
  <c r="HM106" i="2"/>
  <c r="HN106" i="2"/>
  <c r="HO106" i="2"/>
  <c r="I105" i="2" l="1"/>
  <c r="HL105" i="2"/>
  <c r="HM105" i="2"/>
  <c r="HN105" i="2"/>
  <c r="HO105" i="2"/>
  <c r="I104" i="2" l="1"/>
  <c r="HL104" i="2"/>
  <c r="HM104" i="2"/>
  <c r="HN104" i="2"/>
  <c r="HO104" i="2"/>
  <c r="I103" i="2" l="1"/>
  <c r="HL103" i="2"/>
  <c r="HM103" i="2"/>
  <c r="HN103" i="2"/>
  <c r="HO103" i="2"/>
  <c r="I102" i="2" l="1"/>
  <c r="HL102" i="2"/>
  <c r="HM102" i="2"/>
  <c r="HN102" i="2"/>
  <c r="HO102" i="2"/>
  <c r="I101" i="2" l="1"/>
  <c r="HL101" i="2"/>
  <c r="HM101" i="2"/>
  <c r="HN101" i="2"/>
  <c r="HO101" i="2"/>
  <c r="I100" i="2" l="1"/>
  <c r="HL100" i="2"/>
  <c r="HM100" i="2"/>
  <c r="HN100" i="2"/>
  <c r="HO100" i="2"/>
  <c r="I99" i="2" l="1"/>
  <c r="HL99" i="2"/>
  <c r="HM99" i="2"/>
  <c r="HN99" i="2"/>
  <c r="HO99" i="2"/>
  <c r="I98" i="2" l="1"/>
  <c r="HL98" i="2"/>
  <c r="HM98" i="2"/>
  <c r="HN98" i="2"/>
  <c r="HO98" i="2"/>
  <c r="I97" i="2" l="1"/>
  <c r="HL97" i="2"/>
  <c r="HM97" i="2"/>
  <c r="HN97" i="2"/>
  <c r="HO97" i="2"/>
  <c r="I96" i="2" l="1"/>
  <c r="HL96" i="2"/>
  <c r="HM96" i="2"/>
  <c r="HN96" i="2"/>
  <c r="HO96" i="2"/>
  <c r="I95" i="2" l="1"/>
  <c r="HL95" i="2"/>
  <c r="HM95" i="2"/>
  <c r="HN95" i="2"/>
  <c r="HO95" i="2"/>
  <c r="I94" i="2" l="1"/>
  <c r="HL94" i="2"/>
  <c r="HM94" i="2"/>
  <c r="HN94" i="2"/>
  <c r="HO94" i="2"/>
  <c r="I93" i="2" l="1"/>
  <c r="HL93" i="2"/>
  <c r="HM93" i="2"/>
  <c r="HN93" i="2"/>
  <c r="HO93" i="2"/>
  <c r="I92" i="2" l="1"/>
  <c r="HL92" i="2"/>
  <c r="HM92" i="2"/>
  <c r="HN92" i="2"/>
  <c r="HO92" i="2"/>
  <c r="I91" i="2" l="1"/>
  <c r="HL91" i="2"/>
  <c r="HM91" i="2"/>
  <c r="HN91" i="2"/>
  <c r="HO91" i="2"/>
  <c r="I89" i="2"/>
  <c r="HL89" i="2"/>
  <c r="HM89" i="2"/>
  <c r="HN89" i="2"/>
  <c r="HO89" i="2"/>
  <c r="I90" i="2"/>
  <c r="HL90" i="2"/>
  <c r="HM90" i="2"/>
  <c r="HN90" i="2"/>
  <c r="HO90" i="2"/>
  <c r="D25" i="4" l="1"/>
  <c r="G26" i="4" s="1"/>
  <c r="G29" i="4" l="1"/>
  <c r="G23" i="4"/>
  <c r="G20" i="4"/>
  <c r="I88" i="2" l="1"/>
  <c r="HL88" i="2"/>
  <c r="HM88" i="2"/>
  <c r="HN88" i="2"/>
  <c r="HO88" i="2"/>
  <c r="I87" i="2" l="1"/>
  <c r="HL87" i="2"/>
  <c r="HM87" i="2"/>
  <c r="HN87" i="2"/>
  <c r="HO87" i="2"/>
  <c r="I86" i="2" l="1"/>
  <c r="HL86" i="2"/>
  <c r="HM86" i="2"/>
  <c r="HN86" i="2"/>
  <c r="HO86" i="2"/>
  <c r="I85" i="2" l="1"/>
  <c r="HL85" i="2"/>
  <c r="HM85" i="2"/>
  <c r="HN85" i="2"/>
  <c r="HO85" i="2"/>
  <c r="I84" i="2" l="1"/>
  <c r="HL84" i="2"/>
  <c r="HM84" i="2"/>
  <c r="HN84" i="2"/>
  <c r="HO84" i="2"/>
  <c r="I83" i="2" l="1"/>
  <c r="HL83" i="2"/>
  <c r="HM83" i="2"/>
  <c r="HN83" i="2"/>
  <c r="HO83" i="2"/>
  <c r="I82" i="2" l="1"/>
  <c r="HL82" i="2"/>
  <c r="HM82" i="2"/>
  <c r="HN82" i="2"/>
  <c r="HO82" i="2"/>
  <c r="I78" i="2" l="1"/>
  <c r="HL78" i="2"/>
  <c r="HM78" i="2"/>
  <c r="HN78" i="2"/>
  <c r="HO78" i="2"/>
  <c r="I81" i="2" l="1"/>
  <c r="HL81" i="2"/>
  <c r="HM81" i="2"/>
  <c r="HN81" i="2"/>
  <c r="HO81" i="2"/>
  <c r="I79" i="2" l="1"/>
  <c r="HL79" i="2"/>
  <c r="HM79" i="2"/>
  <c r="HN79" i="2"/>
  <c r="HO79" i="2"/>
  <c r="I80" i="2" l="1"/>
  <c r="HL80" i="2"/>
  <c r="HM80" i="2"/>
  <c r="HN80" i="2"/>
  <c r="HO80" i="2"/>
  <c r="I77" i="2" l="1"/>
  <c r="HL77" i="2"/>
  <c r="HM77" i="2"/>
  <c r="HN77" i="2"/>
  <c r="HO77" i="2"/>
  <c r="I76" i="2" l="1"/>
  <c r="HL76" i="2"/>
  <c r="HM76" i="2"/>
  <c r="HN76" i="2"/>
  <c r="HO76" i="2"/>
  <c r="I75" i="2" l="1"/>
  <c r="HL75" i="2"/>
  <c r="HM75" i="2"/>
  <c r="HN75" i="2"/>
  <c r="HO75" i="2"/>
  <c r="I74" i="2" l="1"/>
  <c r="HL74" i="2"/>
  <c r="HM74" i="2"/>
  <c r="HN74" i="2"/>
  <c r="HO74" i="2"/>
  <c r="I73" i="2" l="1"/>
  <c r="HL73" i="2"/>
  <c r="HM73" i="2"/>
  <c r="HN73" i="2"/>
  <c r="HO73" i="2"/>
  <c r="I72" i="2" l="1"/>
  <c r="HL72" i="2"/>
  <c r="HM72" i="2"/>
  <c r="HN72" i="2"/>
  <c r="HO72" i="2"/>
  <c r="I71" i="2" l="1"/>
  <c r="HL71" i="2"/>
  <c r="HM71" i="2"/>
  <c r="HN71" i="2"/>
  <c r="HO71" i="2"/>
  <c r="I70" i="2" l="1"/>
  <c r="HL70" i="2"/>
  <c r="HM70" i="2"/>
  <c r="HN70" i="2"/>
  <c r="HO70" i="2"/>
  <c r="I69" i="2" l="1"/>
  <c r="HL69" i="2"/>
  <c r="HM69" i="2"/>
  <c r="HN69" i="2"/>
  <c r="HO69" i="2"/>
  <c r="I68" i="2" l="1"/>
  <c r="HL68" i="2"/>
  <c r="HM68" i="2"/>
  <c r="HN68" i="2"/>
  <c r="HO68" i="2"/>
  <c r="I67" i="2" l="1"/>
  <c r="HL67" i="2"/>
  <c r="HM67" i="2"/>
  <c r="HN67" i="2"/>
  <c r="HO67" i="2"/>
  <c r="I66" i="2" l="1"/>
  <c r="HL66" i="2"/>
  <c r="HM66" i="2"/>
  <c r="HN66" i="2"/>
  <c r="HO66" i="2"/>
  <c r="I65" i="2" l="1"/>
  <c r="HL65" i="2"/>
  <c r="HM65" i="2"/>
  <c r="HN65" i="2"/>
  <c r="HO65" i="2"/>
  <c r="I64" i="2" l="1"/>
  <c r="HL64" i="2"/>
  <c r="HM64" i="2"/>
  <c r="HN64" i="2"/>
  <c r="HO64" i="2"/>
  <c r="I63" i="2" l="1"/>
  <c r="HL63" i="2"/>
  <c r="HM63" i="2"/>
  <c r="HN63" i="2"/>
  <c r="HO63" i="2"/>
  <c r="I5" i="2" l="1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GD107" i="2" l="1"/>
  <c r="DE107" i="2"/>
  <c r="EW107" i="2"/>
  <c r="GO107" i="2"/>
  <c r="DP107" i="2"/>
  <c r="FH107" i="2"/>
  <c r="GZ107" i="2"/>
  <c r="EL107" i="2"/>
  <c r="BB107" i="2"/>
  <c r="CI107" i="2"/>
  <c r="BM107" i="2"/>
  <c r="AQ107" i="2"/>
  <c r="FS107" i="2"/>
  <c r="BX107" i="2"/>
  <c r="CT107" i="2"/>
  <c r="EA107" i="2"/>
  <c r="AF107" i="2"/>
  <c r="HK107" i="2"/>
  <c r="U107" i="2"/>
  <c r="DE106" i="2"/>
  <c r="EL106" i="2"/>
  <c r="FS106" i="2"/>
  <c r="GZ106" i="2"/>
  <c r="AF106" i="2"/>
  <c r="BM106" i="2"/>
  <c r="GD106" i="2"/>
  <c r="HK106" i="2"/>
  <c r="AQ106" i="2"/>
  <c r="BX106" i="2"/>
  <c r="CT106" i="2"/>
  <c r="EA106" i="2"/>
  <c r="FH106" i="2"/>
  <c r="GO106" i="2"/>
  <c r="U106" i="2"/>
  <c r="BB106" i="2"/>
  <c r="CI106" i="2"/>
  <c r="DP106" i="2"/>
  <c r="EW106" i="2"/>
  <c r="DE105" i="2"/>
  <c r="BM105" i="2"/>
  <c r="GZ105" i="2"/>
  <c r="EW105" i="2"/>
  <c r="GO105" i="2"/>
  <c r="U105" i="2"/>
  <c r="BB105" i="2"/>
  <c r="BX105" i="2"/>
  <c r="EL105" i="2"/>
  <c r="FS105" i="2"/>
  <c r="FH105" i="2"/>
  <c r="GD105" i="2"/>
  <c r="HK105" i="2"/>
  <c r="AQ105" i="2"/>
  <c r="AF105" i="2"/>
  <c r="CT105" i="2"/>
  <c r="EA105" i="2"/>
  <c r="DP105" i="2"/>
  <c r="CI105" i="2"/>
  <c r="EL104" i="2"/>
  <c r="DE104" i="2"/>
  <c r="EW104" i="2"/>
  <c r="GO104" i="2"/>
  <c r="BX104" i="2"/>
  <c r="DP104" i="2"/>
  <c r="FH104" i="2"/>
  <c r="GZ104" i="2"/>
  <c r="GD104" i="2"/>
  <c r="FS104" i="2"/>
  <c r="AF104" i="2"/>
  <c r="EA104" i="2"/>
  <c r="BM104" i="2"/>
  <c r="BB104" i="2"/>
  <c r="CI104" i="2"/>
  <c r="U104" i="2"/>
  <c r="HK104" i="2"/>
  <c r="AQ104" i="2"/>
  <c r="CT104" i="2"/>
  <c r="AF103" i="2"/>
  <c r="GZ103" i="2"/>
  <c r="DP103" i="2"/>
  <c r="BX103" i="2"/>
  <c r="FH103" i="2"/>
  <c r="AQ103" i="2"/>
  <c r="CT103" i="2"/>
  <c r="EA103" i="2"/>
  <c r="EW103" i="2"/>
  <c r="U103" i="2"/>
  <c r="BB103" i="2"/>
  <c r="CI103" i="2"/>
  <c r="DE103" i="2"/>
  <c r="GD103" i="2"/>
  <c r="HK103" i="2"/>
  <c r="BM103" i="2"/>
  <c r="EL103" i="2"/>
  <c r="FS103" i="2"/>
  <c r="GO103" i="2"/>
  <c r="CT102" i="2"/>
  <c r="U102" i="2"/>
  <c r="EW102" i="2"/>
  <c r="AF102" i="2"/>
  <c r="BX102" i="2"/>
  <c r="FH102" i="2"/>
  <c r="BB102" i="2"/>
  <c r="EL102" i="2"/>
  <c r="GD102" i="2"/>
  <c r="BM102" i="2"/>
  <c r="DE102" i="2"/>
  <c r="GO102" i="2"/>
  <c r="DP102" i="2"/>
  <c r="GZ102" i="2"/>
  <c r="EA102" i="2"/>
  <c r="AQ102" i="2"/>
  <c r="CI102" i="2"/>
  <c r="HK102" i="2"/>
  <c r="FS102" i="2"/>
  <c r="EW101" i="2"/>
  <c r="BM101" i="2"/>
  <c r="GD101" i="2"/>
  <c r="HK101" i="2"/>
  <c r="AQ101" i="2"/>
  <c r="BX101" i="2"/>
  <c r="DE101" i="2"/>
  <c r="EL101" i="2"/>
  <c r="FS101" i="2"/>
  <c r="AF101" i="2"/>
  <c r="CT101" i="2"/>
  <c r="EA101" i="2"/>
  <c r="FH101" i="2"/>
  <c r="GO101" i="2"/>
  <c r="U101" i="2"/>
  <c r="BB101" i="2"/>
  <c r="CI101" i="2"/>
  <c r="DP101" i="2"/>
  <c r="GZ101" i="2"/>
  <c r="U100" i="2"/>
  <c r="BB100" i="2"/>
  <c r="CI100" i="2"/>
  <c r="DP100" i="2"/>
  <c r="EW100" i="2"/>
  <c r="GD100" i="2"/>
  <c r="HK100" i="2"/>
  <c r="AQ100" i="2"/>
  <c r="BX100" i="2"/>
  <c r="DE100" i="2"/>
  <c r="AF100" i="2"/>
  <c r="CT100" i="2"/>
  <c r="EA100" i="2"/>
  <c r="FH100" i="2"/>
  <c r="GO100" i="2"/>
  <c r="EL100" i="2"/>
  <c r="FS100" i="2"/>
  <c r="GZ100" i="2"/>
  <c r="BM100" i="2"/>
  <c r="GD99" i="2"/>
  <c r="HK99" i="2"/>
  <c r="AQ99" i="2"/>
  <c r="BX99" i="2"/>
  <c r="DE99" i="2"/>
  <c r="EL99" i="2"/>
  <c r="FS99" i="2"/>
  <c r="GZ99" i="2"/>
  <c r="AF99" i="2"/>
  <c r="BM99" i="2"/>
  <c r="CT99" i="2"/>
  <c r="EA99" i="2"/>
  <c r="FH99" i="2"/>
  <c r="GO99" i="2"/>
  <c r="U99" i="2"/>
  <c r="BB99" i="2"/>
  <c r="CI99" i="2"/>
  <c r="DP99" i="2"/>
  <c r="EW99" i="2"/>
  <c r="GZ98" i="2"/>
  <c r="FH98" i="2"/>
  <c r="U98" i="2"/>
  <c r="HK98" i="2"/>
  <c r="GO98" i="2"/>
  <c r="GD98" i="2"/>
  <c r="AQ98" i="2"/>
  <c r="EL98" i="2"/>
  <c r="FS98" i="2"/>
  <c r="DP98" i="2"/>
  <c r="EW98" i="2"/>
  <c r="CT98" i="2"/>
  <c r="EA98" i="2"/>
  <c r="BX98" i="2"/>
  <c r="DE98" i="2"/>
  <c r="BB98" i="2"/>
  <c r="CI98" i="2"/>
  <c r="AF98" i="2"/>
  <c r="BM98" i="2"/>
  <c r="EL97" i="2"/>
  <c r="GO97" i="2"/>
  <c r="DP97" i="2"/>
  <c r="FH97" i="2"/>
  <c r="GZ97" i="2"/>
  <c r="GD97" i="2"/>
  <c r="EA97" i="2"/>
  <c r="AF97" i="2"/>
  <c r="U97" i="2"/>
  <c r="BB97" i="2"/>
  <c r="CI97" i="2"/>
  <c r="EW97" i="2"/>
  <c r="CT97" i="2"/>
  <c r="HK97" i="2"/>
  <c r="AQ97" i="2"/>
  <c r="DE97" i="2"/>
  <c r="FS97" i="2"/>
  <c r="BX97" i="2"/>
  <c r="BM97" i="2"/>
  <c r="EL96" i="2"/>
  <c r="EW96" i="2"/>
  <c r="DP96" i="2"/>
  <c r="FH96" i="2"/>
  <c r="GZ96" i="2"/>
  <c r="GD96" i="2"/>
  <c r="GO96" i="2"/>
  <c r="BB96" i="2"/>
  <c r="CI96" i="2"/>
  <c r="DE96" i="2"/>
  <c r="HK96" i="2"/>
  <c r="AQ96" i="2"/>
  <c r="BM96" i="2"/>
  <c r="EA96" i="2"/>
  <c r="AF96" i="2"/>
  <c r="CT96" i="2"/>
  <c r="FS96" i="2"/>
  <c r="BX96" i="2"/>
  <c r="U96" i="2"/>
  <c r="GD95" i="2"/>
  <c r="HK95" i="2"/>
  <c r="AQ95" i="2"/>
  <c r="BX95" i="2"/>
  <c r="DE95" i="2"/>
  <c r="EL95" i="2"/>
  <c r="FS95" i="2"/>
  <c r="GZ95" i="2"/>
  <c r="AF95" i="2"/>
  <c r="BM95" i="2"/>
  <c r="CT95" i="2"/>
  <c r="EA95" i="2"/>
  <c r="FH95" i="2"/>
  <c r="GO95" i="2"/>
  <c r="U95" i="2"/>
  <c r="BB95" i="2"/>
  <c r="CI95" i="2"/>
  <c r="DP95" i="2"/>
  <c r="EW95" i="2"/>
  <c r="BB94" i="2"/>
  <c r="CT94" i="2"/>
  <c r="EL94" i="2"/>
  <c r="GD94" i="2"/>
  <c r="AQ94" i="2"/>
  <c r="CI94" i="2"/>
  <c r="EA94" i="2"/>
  <c r="FS94" i="2"/>
  <c r="HK94" i="2"/>
  <c r="GO94" i="2"/>
  <c r="FH94" i="2"/>
  <c r="DP94" i="2"/>
  <c r="EW94" i="2"/>
  <c r="U94" i="2"/>
  <c r="BX94" i="2"/>
  <c r="DE94" i="2"/>
  <c r="GZ94" i="2"/>
  <c r="AF94" i="2"/>
  <c r="BM94" i="2"/>
  <c r="EL93" i="2"/>
  <c r="DE93" i="2"/>
  <c r="EW93" i="2"/>
  <c r="GO93" i="2"/>
  <c r="BX93" i="2"/>
  <c r="DP93" i="2"/>
  <c r="FH93" i="2"/>
  <c r="GZ93" i="2"/>
  <c r="GD93" i="2"/>
  <c r="HK93" i="2"/>
  <c r="AQ93" i="2"/>
  <c r="CT93" i="2"/>
  <c r="EA93" i="2"/>
  <c r="BM93" i="2"/>
  <c r="BB93" i="2"/>
  <c r="CI93" i="2"/>
  <c r="U93" i="2"/>
  <c r="FS93" i="2"/>
  <c r="AF93" i="2"/>
  <c r="U92" i="2"/>
  <c r="GD92" i="2"/>
  <c r="HK92" i="2"/>
  <c r="AQ92" i="2"/>
  <c r="BX92" i="2"/>
  <c r="DE92" i="2"/>
  <c r="EL92" i="2"/>
  <c r="FS92" i="2"/>
  <c r="GZ92" i="2"/>
  <c r="AF92" i="2"/>
  <c r="BM92" i="2"/>
  <c r="CT92" i="2"/>
  <c r="EA92" i="2"/>
  <c r="FH92" i="2"/>
  <c r="GO92" i="2"/>
  <c r="BB92" i="2"/>
  <c r="CI92" i="2"/>
  <c r="DP92" i="2"/>
  <c r="EW92" i="2"/>
  <c r="BB91" i="2"/>
  <c r="CT91" i="2"/>
  <c r="EL91" i="2"/>
  <c r="GD91" i="2"/>
  <c r="EA91" i="2"/>
  <c r="AQ91" i="2"/>
  <c r="CI91" i="2"/>
  <c r="FS91" i="2"/>
  <c r="HK91" i="2"/>
  <c r="DE91" i="2"/>
  <c r="GZ91" i="2"/>
  <c r="AF91" i="2"/>
  <c r="BM91" i="2"/>
  <c r="FH91" i="2"/>
  <c r="GO91" i="2"/>
  <c r="DP91" i="2"/>
  <c r="EW91" i="2"/>
  <c r="U91" i="2"/>
  <c r="BX91" i="2"/>
  <c r="BB89" i="2"/>
  <c r="CT89" i="2"/>
  <c r="EL89" i="2"/>
  <c r="GD89" i="2"/>
  <c r="DE89" i="2"/>
  <c r="EW89" i="2"/>
  <c r="GO89" i="2"/>
  <c r="DP89" i="2"/>
  <c r="FH89" i="2"/>
  <c r="GZ89" i="2"/>
  <c r="CI89" i="2"/>
  <c r="EA89" i="2"/>
  <c r="FS89" i="2"/>
  <c r="HK89" i="2"/>
  <c r="BX89" i="2"/>
  <c r="U89" i="2"/>
  <c r="BM89" i="2"/>
  <c r="AQ89" i="2"/>
  <c r="AF89" i="2"/>
  <c r="EL90" i="2"/>
  <c r="FS90" i="2"/>
  <c r="GZ90" i="2"/>
  <c r="AF90" i="2"/>
  <c r="BM90" i="2"/>
  <c r="EA90" i="2"/>
  <c r="GO90" i="2"/>
  <c r="U90" i="2"/>
  <c r="BB90" i="2"/>
  <c r="CI90" i="2"/>
  <c r="DP90" i="2"/>
  <c r="EW90" i="2"/>
  <c r="GD90" i="2"/>
  <c r="HK90" i="2"/>
  <c r="AQ90" i="2"/>
  <c r="BX90" i="2"/>
  <c r="DE90" i="2"/>
  <c r="CT90" i="2"/>
  <c r="FH90" i="2"/>
  <c r="HK88" i="2"/>
  <c r="GD88" i="2"/>
  <c r="EL88" i="2"/>
  <c r="GZ88" i="2"/>
  <c r="BM88" i="2"/>
  <c r="CT88" i="2"/>
  <c r="EA88" i="2"/>
  <c r="FH88" i="2"/>
  <c r="GO88" i="2"/>
  <c r="U88" i="2"/>
  <c r="BB88" i="2"/>
  <c r="CI88" i="2"/>
  <c r="DP88" i="2"/>
  <c r="EW88" i="2"/>
  <c r="AQ88" i="2"/>
  <c r="BX88" i="2"/>
  <c r="DE88" i="2"/>
  <c r="FS88" i="2"/>
  <c r="AF88" i="2"/>
  <c r="GD87" i="2"/>
  <c r="HK87" i="2"/>
  <c r="AQ87" i="2"/>
  <c r="DP87" i="2"/>
  <c r="DE87" i="2"/>
  <c r="EL87" i="2"/>
  <c r="FS87" i="2"/>
  <c r="BX87" i="2"/>
  <c r="AF87" i="2"/>
  <c r="BM87" i="2"/>
  <c r="FH87" i="2"/>
  <c r="CT87" i="2"/>
  <c r="EA87" i="2"/>
  <c r="GZ87" i="2"/>
  <c r="GO87" i="2"/>
  <c r="U87" i="2"/>
  <c r="BB87" i="2"/>
  <c r="CI87" i="2"/>
  <c r="EW87" i="2"/>
  <c r="BB86" i="2"/>
  <c r="GD86" i="2"/>
  <c r="U86" i="2"/>
  <c r="BM86" i="2"/>
  <c r="DE86" i="2"/>
  <c r="EW86" i="2"/>
  <c r="GO86" i="2"/>
  <c r="AF86" i="2"/>
  <c r="BX86" i="2"/>
  <c r="DP86" i="2"/>
  <c r="FH86" i="2"/>
  <c r="GZ86" i="2"/>
  <c r="CT86" i="2"/>
  <c r="EL86" i="2"/>
  <c r="HK86" i="2"/>
  <c r="FS86" i="2"/>
  <c r="EA86" i="2"/>
  <c r="AQ86" i="2"/>
  <c r="CI86" i="2"/>
  <c r="CT85" i="2"/>
  <c r="GD85" i="2"/>
  <c r="U85" i="2"/>
  <c r="BM85" i="2"/>
  <c r="DE85" i="2"/>
  <c r="EW85" i="2"/>
  <c r="GO85" i="2"/>
  <c r="AF85" i="2"/>
  <c r="BX85" i="2"/>
  <c r="DP85" i="2"/>
  <c r="FH85" i="2"/>
  <c r="GZ85" i="2"/>
  <c r="BB85" i="2"/>
  <c r="EL85" i="2"/>
  <c r="HK85" i="2"/>
  <c r="EA85" i="2"/>
  <c r="AQ85" i="2"/>
  <c r="CI85" i="2"/>
  <c r="FS85" i="2"/>
  <c r="CT84" i="2"/>
  <c r="U84" i="2"/>
  <c r="BM84" i="2"/>
  <c r="EW84" i="2"/>
  <c r="AF84" i="2"/>
  <c r="BX84" i="2"/>
  <c r="DP84" i="2"/>
  <c r="FH84" i="2"/>
  <c r="GZ84" i="2"/>
  <c r="BB84" i="2"/>
  <c r="EL84" i="2"/>
  <c r="GD84" i="2"/>
  <c r="DE84" i="2"/>
  <c r="GO84" i="2"/>
  <c r="EA84" i="2"/>
  <c r="AQ84" i="2"/>
  <c r="CI84" i="2"/>
  <c r="HK84" i="2"/>
  <c r="FS84" i="2"/>
  <c r="BX83" i="2"/>
  <c r="AF83" i="2"/>
  <c r="HK83" i="2"/>
  <c r="EL83" i="2"/>
  <c r="FS83" i="2"/>
  <c r="BM83" i="2"/>
  <c r="CT83" i="2"/>
  <c r="EA83" i="2"/>
  <c r="FH83" i="2"/>
  <c r="GO83" i="2"/>
  <c r="U83" i="2"/>
  <c r="BB83" i="2"/>
  <c r="CI83" i="2"/>
  <c r="DP83" i="2"/>
  <c r="EW83" i="2"/>
  <c r="GD83" i="2"/>
  <c r="AQ83" i="2"/>
  <c r="DE83" i="2"/>
  <c r="GZ83" i="2"/>
  <c r="U82" i="2"/>
  <c r="DE82" i="2"/>
  <c r="GO82" i="2"/>
  <c r="FH82" i="2"/>
  <c r="GZ82" i="2"/>
  <c r="GD82" i="2"/>
  <c r="BM82" i="2"/>
  <c r="EW82" i="2"/>
  <c r="EL82" i="2"/>
  <c r="CT82" i="2"/>
  <c r="FS82" i="2"/>
  <c r="DP82" i="2"/>
  <c r="EA82" i="2"/>
  <c r="BX82" i="2"/>
  <c r="BB82" i="2"/>
  <c r="CI82" i="2"/>
  <c r="AF82" i="2"/>
  <c r="HK82" i="2"/>
  <c r="AQ82" i="2"/>
  <c r="BB78" i="2"/>
  <c r="GD78" i="2"/>
  <c r="AF78" i="2"/>
  <c r="BX78" i="2"/>
  <c r="DP78" i="2"/>
  <c r="U78" i="2"/>
  <c r="BM78" i="2"/>
  <c r="DE78" i="2"/>
  <c r="EW78" i="2"/>
  <c r="GO78" i="2"/>
  <c r="GZ78" i="2"/>
  <c r="CT78" i="2"/>
  <c r="EL78" i="2"/>
  <c r="FH78" i="2"/>
  <c r="EA78" i="2"/>
  <c r="AQ78" i="2"/>
  <c r="CI78" i="2"/>
  <c r="HK78" i="2"/>
  <c r="FS78" i="2"/>
  <c r="EL81" i="2"/>
  <c r="U81" i="2"/>
  <c r="BM81" i="2"/>
  <c r="DE81" i="2"/>
  <c r="EW81" i="2"/>
  <c r="GO81" i="2"/>
  <c r="AF81" i="2"/>
  <c r="BX81" i="2"/>
  <c r="DP81" i="2"/>
  <c r="FH81" i="2"/>
  <c r="GZ81" i="2"/>
  <c r="BB81" i="2"/>
  <c r="CT81" i="2"/>
  <c r="GD81" i="2"/>
  <c r="AQ81" i="2"/>
  <c r="CI81" i="2"/>
  <c r="HK81" i="2"/>
  <c r="EA81" i="2"/>
  <c r="FS81" i="2"/>
  <c r="HK79" i="2"/>
  <c r="GD79" i="2"/>
  <c r="DE79" i="2"/>
  <c r="FS79" i="2"/>
  <c r="AF79" i="2"/>
  <c r="CT79" i="2"/>
  <c r="EA79" i="2"/>
  <c r="FH79" i="2"/>
  <c r="GO79" i="2"/>
  <c r="U79" i="2"/>
  <c r="BB79" i="2"/>
  <c r="CI79" i="2"/>
  <c r="DP79" i="2"/>
  <c r="EW79" i="2"/>
  <c r="AQ79" i="2"/>
  <c r="BX79" i="2"/>
  <c r="EL79" i="2"/>
  <c r="GZ79" i="2"/>
  <c r="BM79" i="2"/>
  <c r="BB80" i="2"/>
  <c r="GD80" i="2"/>
  <c r="AF80" i="2"/>
  <c r="BX80" i="2"/>
  <c r="DP80" i="2"/>
  <c r="FH80" i="2"/>
  <c r="GZ80" i="2"/>
  <c r="CT80" i="2"/>
  <c r="EL80" i="2"/>
  <c r="HK80" i="2"/>
  <c r="GO80" i="2"/>
  <c r="FS80" i="2"/>
  <c r="EA80" i="2"/>
  <c r="EW80" i="2"/>
  <c r="U80" i="2"/>
  <c r="CI80" i="2"/>
  <c r="DE80" i="2"/>
  <c r="AQ80" i="2"/>
  <c r="BM80" i="2"/>
  <c r="GD77" i="2"/>
  <c r="GO77" i="2"/>
  <c r="FH77" i="2"/>
  <c r="GZ77" i="2"/>
  <c r="DP77" i="2"/>
  <c r="DE77" i="2"/>
  <c r="HK77" i="2"/>
  <c r="BM77" i="2"/>
  <c r="FS77" i="2"/>
  <c r="BX77" i="2"/>
  <c r="EA77" i="2"/>
  <c r="AF77" i="2"/>
  <c r="U77" i="2"/>
  <c r="BB77" i="2"/>
  <c r="CI77" i="2"/>
  <c r="EW77" i="2"/>
  <c r="EL77" i="2"/>
  <c r="AQ77" i="2"/>
  <c r="CT77" i="2"/>
  <c r="U76" i="2"/>
  <c r="FS76" i="2"/>
  <c r="GZ76" i="2"/>
  <c r="AF76" i="2"/>
  <c r="EW76" i="2"/>
  <c r="EL76" i="2"/>
  <c r="EA76" i="2"/>
  <c r="FH76" i="2"/>
  <c r="GD76" i="2"/>
  <c r="DE76" i="2"/>
  <c r="BX76" i="2"/>
  <c r="CT76" i="2"/>
  <c r="CI76" i="2"/>
  <c r="DP76" i="2"/>
  <c r="BB76" i="2"/>
  <c r="BM76" i="2"/>
  <c r="HK76" i="2"/>
  <c r="AQ76" i="2"/>
  <c r="GO76" i="2"/>
  <c r="CI75" i="2"/>
  <c r="BX75" i="2"/>
  <c r="GZ75" i="2"/>
  <c r="GD75" i="2"/>
  <c r="AQ75" i="2"/>
  <c r="EL75" i="2"/>
  <c r="FS75" i="2"/>
  <c r="BM75" i="2"/>
  <c r="CT75" i="2"/>
  <c r="EA75" i="2"/>
  <c r="FH75" i="2"/>
  <c r="GO75" i="2"/>
  <c r="U75" i="2"/>
  <c r="BB75" i="2"/>
  <c r="DP75" i="2"/>
  <c r="EW75" i="2"/>
  <c r="HK75" i="2"/>
  <c r="DE75" i="2"/>
  <c r="AF75" i="2"/>
  <c r="AQ74" i="2"/>
  <c r="AF74" i="2"/>
  <c r="BX74" i="2"/>
  <c r="EL74" i="2"/>
  <c r="GZ74" i="2"/>
  <c r="CT74" i="2"/>
  <c r="EA74" i="2"/>
  <c r="FH74" i="2"/>
  <c r="GO74" i="2"/>
  <c r="U74" i="2"/>
  <c r="BB74" i="2"/>
  <c r="CI74" i="2"/>
  <c r="DP74" i="2"/>
  <c r="EW74" i="2"/>
  <c r="GD74" i="2"/>
  <c r="HK74" i="2"/>
  <c r="DE74" i="2"/>
  <c r="FS74" i="2"/>
  <c r="BM74" i="2"/>
  <c r="BB73" i="2"/>
  <c r="CT73" i="2"/>
  <c r="EL73" i="2"/>
  <c r="GD73" i="2"/>
  <c r="U73" i="2"/>
  <c r="BM73" i="2"/>
  <c r="DE73" i="2"/>
  <c r="GO73" i="2"/>
  <c r="AQ73" i="2"/>
  <c r="CI73" i="2"/>
  <c r="EA73" i="2"/>
  <c r="FS73" i="2"/>
  <c r="HK73" i="2"/>
  <c r="EW73" i="2"/>
  <c r="DP73" i="2"/>
  <c r="AF73" i="2"/>
  <c r="BX73" i="2"/>
  <c r="GZ73" i="2"/>
  <c r="FH73" i="2"/>
  <c r="HK72" i="2"/>
  <c r="AF72" i="2"/>
  <c r="BX72" i="2"/>
  <c r="BM72" i="2"/>
  <c r="EL72" i="2"/>
  <c r="CT72" i="2"/>
  <c r="EA72" i="2"/>
  <c r="FH72" i="2"/>
  <c r="GO72" i="2"/>
  <c r="U72" i="2"/>
  <c r="BB72" i="2"/>
  <c r="CI72" i="2"/>
  <c r="DP72" i="2"/>
  <c r="EW72" i="2"/>
  <c r="GD72" i="2"/>
  <c r="AQ72" i="2"/>
  <c r="DE72" i="2"/>
  <c r="FS72" i="2"/>
  <c r="GZ72" i="2"/>
  <c r="U71" i="2"/>
  <c r="BB71" i="2"/>
  <c r="CI71" i="2"/>
  <c r="DP71" i="2"/>
  <c r="EW71" i="2"/>
  <c r="GD71" i="2"/>
  <c r="HK71" i="2"/>
  <c r="AQ71" i="2"/>
  <c r="BX71" i="2"/>
  <c r="DE71" i="2"/>
  <c r="EL71" i="2"/>
  <c r="FS71" i="2"/>
  <c r="GZ71" i="2"/>
  <c r="BM71" i="2"/>
  <c r="AF71" i="2"/>
  <c r="CT71" i="2"/>
  <c r="EA71" i="2"/>
  <c r="FH71" i="2"/>
  <c r="GO71" i="2"/>
  <c r="GD70" i="2"/>
  <c r="BX70" i="2"/>
  <c r="HK70" i="2"/>
  <c r="GZ70" i="2"/>
  <c r="BM70" i="2"/>
  <c r="FS70" i="2"/>
  <c r="AF70" i="2"/>
  <c r="EA70" i="2"/>
  <c r="FH70" i="2"/>
  <c r="GO70" i="2"/>
  <c r="U70" i="2"/>
  <c r="BB70" i="2"/>
  <c r="CI70" i="2"/>
  <c r="DP70" i="2"/>
  <c r="EW70" i="2"/>
  <c r="EL70" i="2"/>
  <c r="AQ70" i="2"/>
  <c r="DE70" i="2"/>
  <c r="CT70" i="2"/>
  <c r="BB69" i="2"/>
  <c r="EL69" i="2"/>
  <c r="GD69" i="2"/>
  <c r="CT69" i="2"/>
  <c r="U69" i="2"/>
  <c r="CI69" i="2"/>
  <c r="DP69" i="2"/>
  <c r="EW69" i="2"/>
  <c r="HK69" i="2"/>
  <c r="AQ69" i="2"/>
  <c r="BX69" i="2"/>
  <c r="DE69" i="2"/>
  <c r="FS69" i="2"/>
  <c r="GZ69" i="2"/>
  <c r="AF69" i="2"/>
  <c r="BM69" i="2"/>
  <c r="EA69" i="2"/>
  <c r="FH69" i="2"/>
  <c r="GO69" i="2"/>
  <c r="U68" i="2"/>
  <c r="BB68" i="2"/>
  <c r="CI68" i="2"/>
  <c r="DP68" i="2"/>
  <c r="EW68" i="2"/>
  <c r="BM68" i="2"/>
  <c r="GD68" i="2"/>
  <c r="HK68" i="2"/>
  <c r="AQ68" i="2"/>
  <c r="BX68" i="2"/>
  <c r="DE68" i="2"/>
  <c r="EL68" i="2"/>
  <c r="FS68" i="2"/>
  <c r="GZ68" i="2"/>
  <c r="AF68" i="2"/>
  <c r="CT68" i="2"/>
  <c r="EA68" i="2"/>
  <c r="FH68" i="2"/>
  <c r="GO68" i="2"/>
  <c r="EL67" i="2"/>
  <c r="GD67" i="2"/>
  <c r="U67" i="2"/>
  <c r="BM67" i="2"/>
  <c r="DE67" i="2"/>
  <c r="GO67" i="2"/>
  <c r="BX67" i="2"/>
  <c r="DP67" i="2"/>
  <c r="FH67" i="2"/>
  <c r="GZ67" i="2"/>
  <c r="CT67" i="2"/>
  <c r="EW67" i="2"/>
  <c r="BB67" i="2"/>
  <c r="HK67" i="2"/>
  <c r="FS67" i="2"/>
  <c r="AF67" i="2"/>
  <c r="EA67" i="2"/>
  <c r="CI67" i="2"/>
  <c r="AQ67" i="2"/>
  <c r="DP66" i="2"/>
  <c r="BX66" i="2"/>
  <c r="GZ66" i="2"/>
  <c r="AF66" i="2"/>
  <c r="FH66" i="2"/>
  <c r="BB66" i="2"/>
  <c r="GD66" i="2"/>
  <c r="EL66" i="2"/>
  <c r="FS66" i="2"/>
  <c r="GO66" i="2"/>
  <c r="CT66" i="2"/>
  <c r="EA66" i="2"/>
  <c r="EW66" i="2"/>
  <c r="U66" i="2"/>
  <c r="CI66" i="2"/>
  <c r="DE66" i="2"/>
  <c r="HK66" i="2"/>
  <c r="AQ66" i="2"/>
  <c r="BM66" i="2"/>
  <c r="U65" i="2"/>
  <c r="FS65" i="2"/>
  <c r="EL65" i="2"/>
  <c r="DP65" i="2"/>
  <c r="EW65" i="2"/>
  <c r="DE65" i="2"/>
  <c r="CI65" i="2"/>
  <c r="GZ65" i="2"/>
  <c r="AF65" i="2"/>
  <c r="BM65" i="2"/>
  <c r="BB65" i="2"/>
  <c r="CT65" i="2"/>
  <c r="HK65" i="2"/>
  <c r="AQ65" i="2"/>
  <c r="FH65" i="2"/>
  <c r="GO65" i="2"/>
  <c r="GD65" i="2"/>
  <c r="EA65" i="2"/>
  <c r="BX65" i="2"/>
  <c r="FS63" i="2"/>
  <c r="BB64" i="2"/>
  <c r="EW64" i="2"/>
  <c r="GO64" i="2"/>
  <c r="FH64" i="2"/>
  <c r="GZ64" i="2"/>
  <c r="CT64" i="2"/>
  <c r="EL64" i="2"/>
  <c r="GD64" i="2"/>
  <c r="U64" i="2"/>
  <c r="CI64" i="2"/>
  <c r="AF64" i="2"/>
  <c r="FS64" i="2"/>
  <c r="DP64" i="2"/>
  <c r="BM64" i="2"/>
  <c r="EA64" i="2"/>
  <c r="BX64" i="2"/>
  <c r="HK64" i="2"/>
  <c r="AQ64" i="2"/>
  <c r="DE64" i="2"/>
  <c r="BX63" i="2"/>
  <c r="CT63" i="2"/>
  <c r="DP63" i="2"/>
  <c r="CI63" i="2"/>
  <c r="BB63" i="2"/>
  <c r="EL63" i="2"/>
  <c r="DE63" i="2"/>
  <c r="FH63" i="2"/>
  <c r="EA63" i="2"/>
  <c r="GD63" i="2"/>
  <c r="AF63" i="2"/>
  <c r="GZ63" i="2"/>
  <c r="EW63" i="2"/>
  <c r="GO63" i="2"/>
  <c r="U63" i="2"/>
  <c r="AQ63" i="2"/>
  <c r="HK63" i="2"/>
  <c r="BM63" i="2"/>
  <c r="GZ60" i="2"/>
  <c r="GD60" i="2"/>
  <c r="HK60" i="2"/>
  <c r="GO60" i="2"/>
  <c r="FS60" i="2"/>
  <c r="EW60" i="2"/>
  <c r="EL60" i="2"/>
  <c r="FH60" i="2"/>
  <c r="EA60" i="2"/>
  <c r="DE60" i="2"/>
  <c r="DP60" i="2"/>
  <c r="CI60" i="2"/>
  <c r="AQ60" i="2"/>
  <c r="AF60" i="2"/>
  <c r="CT60" i="2"/>
  <c r="BX60" i="2"/>
  <c r="U60" i="2"/>
  <c r="BM60" i="2"/>
  <c r="BB60" i="2"/>
  <c r="GZ56" i="2"/>
  <c r="GD56" i="2"/>
  <c r="HK56" i="2"/>
  <c r="GO56" i="2"/>
  <c r="FS56" i="2"/>
  <c r="EW56" i="2"/>
  <c r="EL56" i="2"/>
  <c r="FH56" i="2"/>
  <c r="EA56" i="2"/>
  <c r="DE56" i="2"/>
  <c r="DP56" i="2"/>
  <c r="BM56" i="2"/>
  <c r="AF56" i="2"/>
  <c r="CI56" i="2"/>
  <c r="AQ56" i="2"/>
  <c r="BX56" i="2"/>
  <c r="U56" i="2"/>
  <c r="CT56" i="2"/>
  <c r="BB56" i="2"/>
  <c r="GZ52" i="2"/>
  <c r="GD52" i="2"/>
  <c r="HK52" i="2"/>
  <c r="GO52" i="2"/>
  <c r="FS52" i="2"/>
  <c r="EW52" i="2"/>
  <c r="EL52" i="2"/>
  <c r="FH52" i="2"/>
  <c r="EA52" i="2"/>
  <c r="DE52" i="2"/>
  <c r="CI52" i="2"/>
  <c r="AQ52" i="2"/>
  <c r="BM52" i="2"/>
  <c r="BB52" i="2"/>
  <c r="DP52" i="2"/>
  <c r="BX52" i="2"/>
  <c r="U52" i="2"/>
  <c r="AF52" i="2"/>
  <c r="CT52" i="2"/>
  <c r="GZ48" i="2"/>
  <c r="GD48" i="2"/>
  <c r="HK48" i="2"/>
  <c r="GO48" i="2"/>
  <c r="FS48" i="2"/>
  <c r="EW48" i="2"/>
  <c r="EL48" i="2"/>
  <c r="FH48" i="2"/>
  <c r="EA48" i="2"/>
  <c r="DE48" i="2"/>
  <c r="DP48" i="2"/>
  <c r="BM48" i="2"/>
  <c r="AF48" i="2"/>
  <c r="CT48" i="2"/>
  <c r="BB48" i="2"/>
  <c r="CI48" i="2"/>
  <c r="AQ48" i="2"/>
  <c r="BX48" i="2"/>
  <c r="U48" i="2"/>
  <c r="GZ44" i="2"/>
  <c r="GD44" i="2"/>
  <c r="HK44" i="2"/>
  <c r="GO44" i="2"/>
  <c r="FS44" i="2"/>
  <c r="EW44" i="2"/>
  <c r="EL44" i="2"/>
  <c r="FH44" i="2"/>
  <c r="EA44" i="2"/>
  <c r="DP44" i="2"/>
  <c r="DE44" i="2"/>
  <c r="CI44" i="2"/>
  <c r="AQ44" i="2"/>
  <c r="AF44" i="2"/>
  <c r="CT44" i="2"/>
  <c r="BX44" i="2"/>
  <c r="U44" i="2"/>
  <c r="BM44" i="2"/>
  <c r="BB44" i="2"/>
  <c r="GZ40" i="2"/>
  <c r="GD40" i="2"/>
  <c r="HK40" i="2"/>
  <c r="GO40" i="2"/>
  <c r="FS40" i="2"/>
  <c r="EW40" i="2"/>
  <c r="EL40" i="2"/>
  <c r="FH40" i="2"/>
  <c r="EA40" i="2"/>
  <c r="DE40" i="2"/>
  <c r="BM40" i="2"/>
  <c r="AF40" i="2"/>
  <c r="CI40" i="2"/>
  <c r="AQ40" i="2"/>
  <c r="BX40" i="2"/>
  <c r="U40" i="2"/>
  <c r="CT40" i="2"/>
  <c r="BB40" i="2"/>
  <c r="DP40" i="2"/>
  <c r="GZ36" i="2"/>
  <c r="GD36" i="2"/>
  <c r="HK36" i="2"/>
  <c r="GO36" i="2"/>
  <c r="FS36" i="2"/>
  <c r="EW36" i="2"/>
  <c r="EL36" i="2"/>
  <c r="FH36" i="2"/>
  <c r="EA36" i="2"/>
  <c r="DE36" i="2"/>
  <c r="DP36" i="2"/>
  <c r="CI36" i="2"/>
  <c r="AQ36" i="2"/>
  <c r="BM36" i="2"/>
  <c r="CT36" i="2"/>
  <c r="BB36" i="2"/>
  <c r="BX36" i="2"/>
  <c r="U36" i="2"/>
  <c r="AF36" i="2"/>
  <c r="GZ28" i="2"/>
  <c r="GD28" i="2"/>
  <c r="HK28" i="2"/>
  <c r="GO28" i="2"/>
  <c r="FS28" i="2"/>
  <c r="EL28" i="2"/>
  <c r="FH28" i="2"/>
  <c r="EA28" i="2"/>
  <c r="DP28" i="2"/>
  <c r="DE28" i="2"/>
  <c r="CT28" i="2"/>
  <c r="EW28" i="2"/>
  <c r="CI28" i="2"/>
  <c r="AQ28" i="2"/>
  <c r="AF28" i="2"/>
  <c r="BX28" i="2"/>
  <c r="U28" i="2"/>
  <c r="BM28" i="2"/>
  <c r="BB28" i="2"/>
  <c r="GZ24" i="2"/>
  <c r="GD24" i="2"/>
  <c r="HK24" i="2"/>
  <c r="GO24" i="2"/>
  <c r="FS24" i="2"/>
  <c r="EL24" i="2"/>
  <c r="EW24" i="2"/>
  <c r="FH24" i="2"/>
  <c r="EA24" i="2"/>
  <c r="DE24" i="2"/>
  <c r="BM24" i="2"/>
  <c r="AF24" i="2"/>
  <c r="CI24" i="2"/>
  <c r="AQ24" i="2"/>
  <c r="U24" i="2"/>
  <c r="BB24" i="2"/>
  <c r="CT24" i="2"/>
  <c r="DP24" i="2"/>
  <c r="BX24" i="2"/>
  <c r="GZ20" i="2"/>
  <c r="GD20" i="2"/>
  <c r="HK20" i="2"/>
  <c r="GO20" i="2"/>
  <c r="FS20" i="2"/>
  <c r="EL20" i="2"/>
  <c r="FH20" i="2"/>
  <c r="EA20" i="2"/>
  <c r="EW20" i="2"/>
  <c r="DE20" i="2"/>
  <c r="DP20" i="2"/>
  <c r="CT20" i="2"/>
  <c r="CI20" i="2"/>
  <c r="AQ20" i="2"/>
  <c r="BM20" i="2"/>
  <c r="BB20" i="2"/>
  <c r="BX20" i="2"/>
  <c r="U20" i="2"/>
  <c r="AF20" i="2"/>
  <c r="GZ16" i="2"/>
  <c r="GD16" i="2"/>
  <c r="HK16" i="2"/>
  <c r="GO16" i="2"/>
  <c r="FS16" i="2"/>
  <c r="EW16" i="2"/>
  <c r="EL16" i="2"/>
  <c r="FH16" i="2"/>
  <c r="EA16" i="2"/>
  <c r="DP16" i="2"/>
  <c r="DE16" i="2"/>
  <c r="BM16" i="2"/>
  <c r="AF16" i="2"/>
  <c r="BX16" i="2"/>
  <c r="BB16" i="2"/>
  <c r="CI16" i="2"/>
  <c r="AQ16" i="2"/>
  <c r="CT16" i="2"/>
  <c r="U16" i="2"/>
  <c r="GZ12" i="2"/>
  <c r="GD12" i="2"/>
  <c r="HK12" i="2"/>
  <c r="GO12" i="2"/>
  <c r="FS12" i="2"/>
  <c r="EL12" i="2"/>
  <c r="FH12" i="2"/>
  <c r="EA12" i="2"/>
  <c r="EW12" i="2"/>
  <c r="DP12" i="2"/>
  <c r="DE12" i="2"/>
  <c r="CT12" i="2"/>
  <c r="CI12" i="2"/>
  <c r="AQ12" i="2"/>
  <c r="BX12" i="2"/>
  <c r="U12" i="2"/>
  <c r="BM12" i="2"/>
  <c r="AF12" i="2"/>
  <c r="BB12" i="2"/>
  <c r="GZ8" i="2"/>
  <c r="GD8" i="2"/>
  <c r="HK8" i="2"/>
  <c r="GO8" i="2"/>
  <c r="FS8" i="2"/>
  <c r="EL8" i="2"/>
  <c r="EW8" i="2"/>
  <c r="FH8" i="2"/>
  <c r="EA8" i="2"/>
  <c r="DE8" i="2"/>
  <c r="DP8" i="2"/>
  <c r="CT8" i="2"/>
  <c r="BM8" i="2"/>
  <c r="U10" i="2"/>
  <c r="U18" i="2"/>
  <c r="U26" i="2"/>
  <c r="U34" i="2"/>
  <c r="U42" i="2"/>
  <c r="U50" i="2"/>
  <c r="U58" i="2"/>
  <c r="AF8" i="2"/>
  <c r="CT42" i="2"/>
  <c r="CI8" i="2"/>
  <c r="BX14" i="2"/>
  <c r="BX30" i="2"/>
  <c r="BX46" i="2"/>
  <c r="BX62" i="2"/>
  <c r="BB10" i="2"/>
  <c r="BB26" i="2"/>
  <c r="BB42" i="2"/>
  <c r="BB58" i="2"/>
  <c r="U14" i="2"/>
  <c r="U30" i="2"/>
  <c r="U46" i="2"/>
  <c r="U62" i="2"/>
  <c r="GD37" i="2"/>
  <c r="EW35" i="2"/>
  <c r="FH41" i="2"/>
  <c r="EL47" i="2"/>
  <c r="EA39" i="2"/>
  <c r="EA61" i="2"/>
  <c r="DP57" i="2"/>
  <c r="DE21" i="2"/>
  <c r="DE42" i="2"/>
  <c r="CT5" i="2"/>
  <c r="CI18" i="2"/>
  <c r="CI34" i="2"/>
  <c r="CI50" i="2"/>
  <c r="BX8" i="2"/>
  <c r="BM14" i="2"/>
  <c r="BM30" i="2"/>
  <c r="BM46" i="2"/>
  <c r="BM62" i="2"/>
  <c r="AQ10" i="2"/>
  <c r="AQ26" i="2"/>
  <c r="AQ42" i="2"/>
  <c r="AQ58" i="2"/>
  <c r="AF14" i="2"/>
  <c r="AF30" i="2"/>
  <c r="BB8" i="2"/>
  <c r="HK51" i="2"/>
  <c r="GD5" i="2"/>
  <c r="FS41" i="2"/>
  <c r="EW25" i="2"/>
  <c r="EW59" i="2"/>
  <c r="FH33" i="2"/>
  <c r="EL7" i="2"/>
  <c r="EL39" i="2"/>
  <c r="EA13" i="2"/>
  <c r="EA34" i="2"/>
  <c r="EA55" i="2"/>
  <c r="DP19" i="2"/>
  <c r="DP55" i="2"/>
  <c r="DE7" i="2"/>
  <c r="DE18" i="2"/>
  <c r="DE29" i="2"/>
  <c r="DE39" i="2"/>
  <c r="DE50" i="2"/>
  <c r="DE61" i="2"/>
  <c r="CT13" i="2"/>
  <c r="CT34" i="2"/>
  <c r="CT50" i="2"/>
  <c r="CT58" i="2"/>
  <c r="BX6" i="2"/>
  <c r="BX22" i="2"/>
  <c r="BX38" i="2"/>
  <c r="BX54" i="2"/>
  <c r="BB18" i="2"/>
  <c r="BB34" i="2"/>
  <c r="BB50" i="2"/>
  <c r="AQ8" i="2"/>
  <c r="U6" i="2"/>
  <c r="U22" i="2"/>
  <c r="U38" i="2"/>
  <c r="U54" i="2"/>
  <c r="GZ25" i="2"/>
  <c r="FS51" i="2"/>
  <c r="FH9" i="2"/>
  <c r="EL15" i="2"/>
  <c r="EA18" i="2"/>
  <c r="DP45" i="2"/>
  <c r="DE10" i="2"/>
  <c r="DE31" i="2"/>
  <c r="DE53" i="2"/>
  <c r="CT27" i="2"/>
  <c r="CI10" i="2"/>
  <c r="CI26" i="2"/>
  <c r="CI42" i="2"/>
  <c r="CI58" i="2"/>
  <c r="BM6" i="2"/>
  <c r="BM22" i="2"/>
  <c r="BM38" i="2"/>
  <c r="BM54" i="2"/>
  <c r="AQ18" i="2"/>
  <c r="AQ34" i="2"/>
  <c r="AQ50" i="2"/>
  <c r="U8" i="2"/>
  <c r="AF6" i="2"/>
  <c r="AF22" i="2"/>
  <c r="AF62" i="2"/>
  <c r="AF54" i="2"/>
  <c r="AF46" i="2"/>
  <c r="AF38" i="2"/>
  <c r="GZ32" i="2"/>
  <c r="GD32" i="2"/>
  <c r="HK32" i="2"/>
  <c r="GO32" i="2"/>
  <c r="FS32" i="2"/>
  <c r="EW32" i="2"/>
  <c r="EL32" i="2"/>
  <c r="FH32" i="2"/>
  <c r="EA32" i="2"/>
  <c r="DP32" i="2"/>
  <c r="DE32" i="2"/>
  <c r="BM32" i="2"/>
  <c r="AF32" i="2"/>
  <c r="CT32" i="2"/>
  <c r="BB32" i="2"/>
  <c r="CI32" i="2"/>
  <c r="AQ32" i="2"/>
  <c r="BX32" i="2"/>
  <c r="U32" i="2"/>
  <c r="HK62" i="2"/>
  <c r="GO62" i="2"/>
  <c r="GZ62" i="2"/>
  <c r="GD62" i="2"/>
  <c r="FH62" i="2"/>
  <c r="EW62" i="2"/>
  <c r="EL62" i="2"/>
  <c r="DP62" i="2"/>
  <c r="EA62" i="2"/>
  <c r="DE62" i="2"/>
  <c r="HK58" i="2"/>
  <c r="GO58" i="2"/>
  <c r="GZ58" i="2"/>
  <c r="GD58" i="2"/>
  <c r="FS58" i="2"/>
  <c r="FH58" i="2"/>
  <c r="EW58" i="2"/>
  <c r="EL58" i="2"/>
  <c r="EA58" i="2"/>
  <c r="DP58" i="2"/>
  <c r="HK54" i="2"/>
  <c r="GO54" i="2"/>
  <c r="GZ54" i="2"/>
  <c r="GD54" i="2"/>
  <c r="FH54" i="2"/>
  <c r="EW54" i="2"/>
  <c r="EL54" i="2"/>
  <c r="EA54" i="2"/>
  <c r="DP54" i="2"/>
  <c r="FS54" i="2"/>
  <c r="DE54" i="2"/>
  <c r="HK50" i="2"/>
  <c r="GO50" i="2"/>
  <c r="GZ50" i="2"/>
  <c r="GD50" i="2"/>
  <c r="FH50" i="2"/>
  <c r="FS50" i="2"/>
  <c r="EW50" i="2"/>
  <c r="EL50" i="2"/>
  <c r="DP50" i="2"/>
  <c r="HK46" i="2"/>
  <c r="GO46" i="2"/>
  <c r="GZ46" i="2"/>
  <c r="GD46" i="2"/>
  <c r="FH46" i="2"/>
  <c r="EW46" i="2"/>
  <c r="EL46" i="2"/>
  <c r="DP46" i="2"/>
  <c r="FS46" i="2"/>
  <c r="EA46" i="2"/>
  <c r="DE46" i="2"/>
  <c r="HK42" i="2"/>
  <c r="GO42" i="2"/>
  <c r="GZ42" i="2"/>
  <c r="GD42" i="2"/>
  <c r="FS42" i="2"/>
  <c r="FH42" i="2"/>
  <c r="EW42" i="2"/>
  <c r="EL42" i="2"/>
  <c r="DP42" i="2"/>
  <c r="EA42" i="2"/>
  <c r="HK38" i="2"/>
  <c r="GO38" i="2"/>
  <c r="GZ38" i="2"/>
  <c r="GD38" i="2"/>
  <c r="FH38" i="2"/>
  <c r="EW38" i="2"/>
  <c r="EL38" i="2"/>
  <c r="DP38" i="2"/>
  <c r="FS38" i="2"/>
  <c r="EA38" i="2"/>
  <c r="DE38" i="2"/>
  <c r="HK34" i="2"/>
  <c r="GO34" i="2"/>
  <c r="FS34" i="2"/>
  <c r="GZ34" i="2"/>
  <c r="GD34" i="2"/>
  <c r="FH34" i="2"/>
  <c r="EW34" i="2"/>
  <c r="EL34" i="2"/>
  <c r="DP34" i="2"/>
  <c r="HK30" i="2"/>
  <c r="GO30" i="2"/>
  <c r="FS30" i="2"/>
  <c r="GZ30" i="2"/>
  <c r="GD30" i="2"/>
  <c r="EW30" i="2"/>
  <c r="FH30" i="2"/>
  <c r="EL30" i="2"/>
  <c r="DP30" i="2"/>
  <c r="CT30" i="2"/>
  <c r="EA30" i="2"/>
  <c r="DE30" i="2"/>
  <c r="HK26" i="2"/>
  <c r="GO26" i="2"/>
  <c r="FS26" i="2"/>
  <c r="GZ26" i="2"/>
  <c r="GD26" i="2"/>
  <c r="EW26" i="2"/>
  <c r="FH26" i="2"/>
  <c r="EL26" i="2"/>
  <c r="DP26" i="2"/>
  <c r="EA26" i="2"/>
  <c r="CT26" i="2"/>
  <c r="HK22" i="2"/>
  <c r="GO22" i="2"/>
  <c r="FS22" i="2"/>
  <c r="GZ22" i="2"/>
  <c r="GD22" i="2"/>
  <c r="EW22" i="2"/>
  <c r="FH22" i="2"/>
  <c r="EL22" i="2"/>
  <c r="DP22" i="2"/>
  <c r="EA22" i="2"/>
  <c r="CT22" i="2"/>
  <c r="DE22" i="2"/>
  <c r="HK18" i="2"/>
  <c r="GO18" i="2"/>
  <c r="FS18" i="2"/>
  <c r="GZ18" i="2"/>
  <c r="GD18" i="2"/>
  <c r="EW18" i="2"/>
  <c r="FH18" i="2"/>
  <c r="EL18" i="2"/>
  <c r="DP18" i="2"/>
  <c r="CT18" i="2"/>
  <c r="HK14" i="2"/>
  <c r="GO14" i="2"/>
  <c r="FS14" i="2"/>
  <c r="GZ14" i="2"/>
  <c r="GD14" i="2"/>
  <c r="EW14" i="2"/>
  <c r="FH14" i="2"/>
  <c r="EL14" i="2"/>
  <c r="DP14" i="2"/>
  <c r="CT14" i="2"/>
  <c r="EA14" i="2"/>
  <c r="DE14" i="2"/>
  <c r="HK10" i="2"/>
  <c r="GO10" i="2"/>
  <c r="FS10" i="2"/>
  <c r="GZ10" i="2"/>
  <c r="GD10" i="2"/>
  <c r="EW10" i="2"/>
  <c r="FH10" i="2"/>
  <c r="EA10" i="2"/>
  <c r="EL10" i="2"/>
  <c r="DP10" i="2"/>
  <c r="CT10" i="2"/>
  <c r="HK6" i="2"/>
  <c r="GO6" i="2"/>
  <c r="FS6" i="2"/>
  <c r="GZ6" i="2"/>
  <c r="GD6" i="2"/>
  <c r="EW6" i="2"/>
  <c r="FH6" i="2"/>
  <c r="EA6" i="2"/>
  <c r="EL6" i="2"/>
  <c r="DP6" i="2"/>
  <c r="CT6" i="2"/>
  <c r="DE6" i="2"/>
  <c r="HK35" i="2"/>
  <c r="GZ9" i="2"/>
  <c r="GZ41" i="2"/>
  <c r="GO15" i="2"/>
  <c r="GO47" i="2"/>
  <c r="GD21" i="2"/>
  <c r="GD53" i="2"/>
  <c r="AF58" i="2"/>
  <c r="AF50" i="2"/>
  <c r="AF42" i="2"/>
  <c r="AF34" i="2"/>
  <c r="AF26" i="2"/>
  <c r="AF18" i="2"/>
  <c r="AF10" i="2"/>
  <c r="AQ62" i="2"/>
  <c r="AQ54" i="2"/>
  <c r="AQ46" i="2"/>
  <c r="AQ38" i="2"/>
  <c r="AQ30" i="2"/>
  <c r="AQ22" i="2"/>
  <c r="AQ14" i="2"/>
  <c r="AQ6" i="2"/>
  <c r="BM58" i="2"/>
  <c r="BM50" i="2"/>
  <c r="BM42" i="2"/>
  <c r="BM34" i="2"/>
  <c r="BM26" i="2"/>
  <c r="BM18" i="2"/>
  <c r="BM10" i="2"/>
  <c r="CI62" i="2"/>
  <c r="CI54" i="2"/>
  <c r="CI46" i="2"/>
  <c r="CI38" i="2"/>
  <c r="CI30" i="2"/>
  <c r="CI22" i="2"/>
  <c r="CI14" i="2"/>
  <c r="CI6" i="2"/>
  <c r="CT21" i="2"/>
  <c r="CT11" i="2"/>
  <c r="DE58" i="2"/>
  <c r="DE47" i="2"/>
  <c r="DE37" i="2"/>
  <c r="DE26" i="2"/>
  <c r="DE15" i="2"/>
  <c r="DE5" i="2"/>
  <c r="DP35" i="2"/>
  <c r="DP13" i="2"/>
  <c r="EA50" i="2"/>
  <c r="EA29" i="2"/>
  <c r="EA5" i="2"/>
  <c r="EL31" i="2"/>
  <c r="FH57" i="2"/>
  <c r="FH25" i="2"/>
  <c r="EW51" i="2"/>
  <c r="EW15" i="2"/>
  <c r="FS27" i="2"/>
  <c r="GO31" i="2"/>
  <c r="HK19" i="2"/>
  <c r="GZ61" i="2"/>
  <c r="EL57" i="2"/>
  <c r="CI53" i="2"/>
  <c r="CI49" i="2"/>
  <c r="EW45" i="2"/>
  <c r="GD41" i="2"/>
  <c r="CI37" i="2"/>
  <c r="CI33" i="2"/>
  <c r="GZ29" i="2"/>
  <c r="EL25" i="2"/>
  <c r="CI21" i="2"/>
  <c r="CI17" i="2"/>
  <c r="CI13" i="2"/>
  <c r="GD9" i="2"/>
  <c r="BB62" i="2"/>
  <c r="BB54" i="2"/>
  <c r="BB46" i="2"/>
  <c r="BB38" i="2"/>
  <c r="BB30" i="2"/>
  <c r="BB22" i="2"/>
  <c r="BB14" i="2"/>
  <c r="BB6" i="2"/>
  <c r="BX58" i="2"/>
  <c r="BX50" i="2"/>
  <c r="BX42" i="2"/>
  <c r="BX34" i="2"/>
  <c r="BX26" i="2"/>
  <c r="BX18" i="2"/>
  <c r="BX10" i="2"/>
  <c r="CT62" i="2"/>
  <c r="CT54" i="2"/>
  <c r="CT46" i="2"/>
  <c r="CT38" i="2"/>
  <c r="CT29" i="2"/>
  <c r="CT19" i="2"/>
  <c r="DE55" i="2"/>
  <c r="DE45" i="2"/>
  <c r="DE34" i="2"/>
  <c r="DE23" i="2"/>
  <c r="DE13" i="2"/>
  <c r="DP29" i="2"/>
  <c r="EA45" i="2"/>
  <c r="EA23" i="2"/>
  <c r="EL55" i="2"/>
  <c r="EL23" i="2"/>
  <c r="FH49" i="2"/>
  <c r="FH17" i="2"/>
  <c r="EW43" i="2"/>
  <c r="FS62" i="2"/>
  <c r="FS11" i="2"/>
  <c r="GZ57" i="2"/>
  <c r="GZ59" i="2"/>
  <c r="GD59" i="2"/>
  <c r="HK59" i="2"/>
  <c r="EL59" i="2"/>
  <c r="GO59" i="2"/>
  <c r="FS59" i="2"/>
  <c r="EA59" i="2"/>
  <c r="GD55" i="2"/>
  <c r="GZ55" i="2"/>
  <c r="FS55" i="2"/>
  <c r="GO55" i="2"/>
  <c r="EW55" i="2"/>
  <c r="FH55" i="2"/>
  <c r="GZ51" i="2"/>
  <c r="GD51" i="2"/>
  <c r="EL51" i="2"/>
  <c r="GD47" i="2"/>
  <c r="FS47" i="2"/>
  <c r="GZ47" i="2"/>
  <c r="EW47" i="2"/>
  <c r="EA47" i="2"/>
  <c r="HK47" i="2"/>
  <c r="FH47" i="2"/>
  <c r="GZ43" i="2"/>
  <c r="GD43" i="2"/>
  <c r="HK43" i="2"/>
  <c r="EL43" i="2"/>
  <c r="DP43" i="2"/>
  <c r="GO43" i="2"/>
  <c r="EA43" i="2"/>
  <c r="GD39" i="2"/>
  <c r="GZ39" i="2"/>
  <c r="FS39" i="2"/>
  <c r="GO39" i="2"/>
  <c r="EW39" i="2"/>
  <c r="FH39" i="2"/>
  <c r="DP39" i="2"/>
  <c r="GZ35" i="2"/>
  <c r="GD35" i="2"/>
  <c r="FS35" i="2"/>
  <c r="EL35" i="2"/>
  <c r="GD31" i="2"/>
  <c r="GZ31" i="2"/>
  <c r="EW31" i="2"/>
  <c r="EA31" i="2"/>
  <c r="HK31" i="2"/>
  <c r="FH31" i="2"/>
  <c r="GZ27" i="2"/>
  <c r="EW27" i="2"/>
  <c r="GD27" i="2"/>
  <c r="HK27" i="2"/>
  <c r="EL27" i="2"/>
  <c r="DP27" i="2"/>
  <c r="GO27" i="2"/>
  <c r="EA27" i="2"/>
  <c r="GD23" i="2"/>
  <c r="GZ23" i="2"/>
  <c r="GO23" i="2"/>
  <c r="FS23" i="2"/>
  <c r="EW23" i="2"/>
  <c r="FH23" i="2"/>
  <c r="DP23" i="2"/>
  <c r="GZ19" i="2"/>
  <c r="GD19" i="2"/>
  <c r="EW19" i="2"/>
  <c r="FS19" i="2"/>
  <c r="EL19" i="2"/>
  <c r="GD15" i="2"/>
  <c r="GZ15" i="2"/>
  <c r="EA15" i="2"/>
  <c r="HK15" i="2"/>
  <c r="FH15" i="2"/>
  <c r="GZ11" i="2"/>
  <c r="EW11" i="2"/>
  <c r="GD11" i="2"/>
  <c r="HK11" i="2"/>
  <c r="EL11" i="2"/>
  <c r="DP11" i="2"/>
  <c r="GO11" i="2"/>
  <c r="EA11" i="2"/>
  <c r="GD7" i="2"/>
  <c r="GZ7" i="2"/>
  <c r="GO7" i="2"/>
  <c r="FS7" i="2"/>
  <c r="FH7" i="2"/>
  <c r="DP7" i="2"/>
  <c r="AF61" i="2"/>
  <c r="AF57" i="2"/>
  <c r="AF53" i="2"/>
  <c r="AF49" i="2"/>
  <c r="AF45" i="2"/>
  <c r="AF41" i="2"/>
  <c r="AF37" i="2"/>
  <c r="AF33" i="2"/>
  <c r="AF29" i="2"/>
  <c r="AF25" i="2"/>
  <c r="AF21" i="2"/>
  <c r="AF17" i="2"/>
  <c r="AF13" i="2"/>
  <c r="AF9" i="2"/>
  <c r="AF5" i="2"/>
  <c r="U59" i="2"/>
  <c r="U55" i="2"/>
  <c r="U51" i="2"/>
  <c r="U47" i="2"/>
  <c r="U43" i="2"/>
  <c r="U39" i="2"/>
  <c r="U35" i="2"/>
  <c r="U31" i="2"/>
  <c r="U27" i="2"/>
  <c r="U23" i="2"/>
  <c r="U19" i="2"/>
  <c r="U15" i="2"/>
  <c r="U11" i="2"/>
  <c r="U7" i="2"/>
  <c r="AQ61" i="2"/>
  <c r="AQ57" i="2"/>
  <c r="AQ53" i="2"/>
  <c r="AQ49" i="2"/>
  <c r="AQ45" i="2"/>
  <c r="AQ41" i="2"/>
  <c r="AQ37" i="2"/>
  <c r="AQ33" i="2"/>
  <c r="AQ29" i="2"/>
  <c r="AQ25" i="2"/>
  <c r="AQ21" i="2"/>
  <c r="AQ17" i="2"/>
  <c r="AQ13" i="2"/>
  <c r="AQ9" i="2"/>
  <c r="AQ5" i="2"/>
  <c r="BB59" i="2"/>
  <c r="BB55" i="2"/>
  <c r="BB51" i="2"/>
  <c r="BB47" i="2"/>
  <c r="BB43" i="2"/>
  <c r="BB39" i="2"/>
  <c r="BB35" i="2"/>
  <c r="BB31" i="2"/>
  <c r="BB27" i="2"/>
  <c r="BB23" i="2"/>
  <c r="BB19" i="2"/>
  <c r="BB15" i="2"/>
  <c r="BB11" i="2"/>
  <c r="BB7" i="2"/>
  <c r="BM61" i="2"/>
  <c r="BM57" i="2"/>
  <c r="BM53" i="2"/>
  <c r="BM49" i="2"/>
  <c r="BM45" i="2"/>
  <c r="BM41" i="2"/>
  <c r="BM37" i="2"/>
  <c r="BM33" i="2"/>
  <c r="BM29" i="2"/>
  <c r="BM25" i="2"/>
  <c r="BM21" i="2"/>
  <c r="BM17" i="2"/>
  <c r="BM13" i="2"/>
  <c r="BM9" i="2"/>
  <c r="BM5" i="2"/>
  <c r="BX59" i="2"/>
  <c r="BX55" i="2"/>
  <c r="BX51" i="2"/>
  <c r="BX47" i="2"/>
  <c r="BX43" i="2"/>
  <c r="BX39" i="2"/>
  <c r="BX35" i="2"/>
  <c r="BX31" i="2"/>
  <c r="BX27" i="2"/>
  <c r="BX23" i="2"/>
  <c r="BX19" i="2"/>
  <c r="BX15" i="2"/>
  <c r="BX11" i="2"/>
  <c r="BX7" i="2"/>
  <c r="CI61" i="2"/>
  <c r="CI57" i="2"/>
  <c r="CI45" i="2"/>
  <c r="CI41" i="2"/>
  <c r="CI29" i="2"/>
  <c r="CI25" i="2"/>
  <c r="CI9" i="2"/>
  <c r="CI5" i="2"/>
  <c r="CT59" i="2"/>
  <c r="CT55" i="2"/>
  <c r="CT51" i="2"/>
  <c r="CT47" i="2"/>
  <c r="CT43" i="2"/>
  <c r="CT39" i="2"/>
  <c r="CT35" i="2"/>
  <c r="CT31" i="2"/>
  <c r="CT25" i="2"/>
  <c r="CT15" i="2"/>
  <c r="CT9" i="2"/>
  <c r="DE57" i="2"/>
  <c r="DE51" i="2"/>
  <c r="DE41" i="2"/>
  <c r="DE35" i="2"/>
  <c r="DE25" i="2"/>
  <c r="DE19" i="2"/>
  <c r="DE9" i="2"/>
  <c r="DP61" i="2"/>
  <c r="DP51" i="2"/>
  <c r="DP41" i="2"/>
  <c r="DP31" i="2"/>
  <c r="DP9" i="2"/>
  <c r="EA57" i="2"/>
  <c r="EA35" i="2"/>
  <c r="EA25" i="2"/>
  <c r="EL41" i="2"/>
  <c r="EL9" i="2"/>
  <c r="FH51" i="2"/>
  <c r="FH35" i="2"/>
  <c r="FH19" i="2"/>
  <c r="EW61" i="2"/>
  <c r="EW7" i="2"/>
  <c r="FS43" i="2"/>
  <c r="FS15" i="2"/>
  <c r="GO35" i="2"/>
  <c r="HK55" i="2"/>
  <c r="HK23" i="2"/>
  <c r="HK61" i="2"/>
  <c r="GO61" i="2"/>
  <c r="FS61" i="2"/>
  <c r="GD61" i="2"/>
  <c r="FH61" i="2"/>
  <c r="EL61" i="2"/>
  <c r="GO57" i="2"/>
  <c r="HK57" i="2"/>
  <c r="FS57" i="2"/>
  <c r="EW57" i="2"/>
  <c r="HK53" i="2"/>
  <c r="FS53" i="2"/>
  <c r="GO53" i="2"/>
  <c r="FH53" i="2"/>
  <c r="EA53" i="2"/>
  <c r="GZ53" i="2"/>
  <c r="EL53" i="2"/>
  <c r="GO49" i="2"/>
  <c r="HK49" i="2"/>
  <c r="GZ49" i="2"/>
  <c r="GD49" i="2"/>
  <c r="FS49" i="2"/>
  <c r="EW49" i="2"/>
  <c r="EA49" i="2"/>
  <c r="DP49" i="2"/>
  <c r="HK45" i="2"/>
  <c r="GO45" i="2"/>
  <c r="FS45" i="2"/>
  <c r="GD45" i="2"/>
  <c r="FH45" i="2"/>
  <c r="EL45" i="2"/>
  <c r="GO41" i="2"/>
  <c r="HK41" i="2"/>
  <c r="EW41" i="2"/>
  <c r="HK37" i="2"/>
  <c r="FS37" i="2"/>
  <c r="GO37" i="2"/>
  <c r="FH37" i="2"/>
  <c r="EA37" i="2"/>
  <c r="DP37" i="2"/>
  <c r="GZ37" i="2"/>
  <c r="EL37" i="2"/>
  <c r="GO33" i="2"/>
  <c r="HK33" i="2"/>
  <c r="FS33" i="2"/>
  <c r="GZ33" i="2"/>
  <c r="GD33" i="2"/>
  <c r="EW33" i="2"/>
  <c r="EA33" i="2"/>
  <c r="DP33" i="2"/>
  <c r="HK29" i="2"/>
  <c r="FS29" i="2"/>
  <c r="GO29" i="2"/>
  <c r="EW29" i="2"/>
  <c r="GD29" i="2"/>
  <c r="FH29" i="2"/>
  <c r="EL29" i="2"/>
  <c r="GO25" i="2"/>
  <c r="HK25" i="2"/>
  <c r="FS25" i="2"/>
  <c r="HK21" i="2"/>
  <c r="FS21" i="2"/>
  <c r="EW21" i="2"/>
  <c r="GO21" i="2"/>
  <c r="FH21" i="2"/>
  <c r="EA21" i="2"/>
  <c r="DP21" i="2"/>
  <c r="GZ21" i="2"/>
  <c r="EL21" i="2"/>
  <c r="GO17" i="2"/>
  <c r="HK17" i="2"/>
  <c r="FS17" i="2"/>
  <c r="GZ17" i="2"/>
  <c r="GD17" i="2"/>
  <c r="EA17" i="2"/>
  <c r="DP17" i="2"/>
  <c r="HK13" i="2"/>
  <c r="FS13" i="2"/>
  <c r="GO13" i="2"/>
  <c r="EW13" i="2"/>
  <c r="GD13" i="2"/>
  <c r="FH13" i="2"/>
  <c r="EL13" i="2"/>
  <c r="GO9" i="2"/>
  <c r="HK9" i="2"/>
  <c r="FS9" i="2"/>
  <c r="EW9" i="2"/>
  <c r="EA9" i="2"/>
  <c r="HK5" i="2"/>
  <c r="FS5" i="2"/>
  <c r="EW5" i="2"/>
  <c r="GO5" i="2"/>
  <c r="FH5" i="2"/>
  <c r="DP5" i="2"/>
  <c r="GZ5" i="2"/>
  <c r="EL5" i="2"/>
  <c r="AF59" i="2"/>
  <c r="AF55" i="2"/>
  <c r="AF51" i="2"/>
  <c r="AF47" i="2"/>
  <c r="AF43" i="2"/>
  <c r="AF39" i="2"/>
  <c r="AF35" i="2"/>
  <c r="AF31" i="2"/>
  <c r="AF27" i="2"/>
  <c r="AF23" i="2"/>
  <c r="AF19" i="2"/>
  <c r="AF15" i="2"/>
  <c r="AF11" i="2"/>
  <c r="AF7" i="2"/>
  <c r="U61" i="2"/>
  <c r="U57" i="2"/>
  <c r="U53" i="2"/>
  <c r="U49" i="2"/>
  <c r="U45" i="2"/>
  <c r="U41" i="2"/>
  <c r="U37" i="2"/>
  <c r="U33" i="2"/>
  <c r="U29" i="2"/>
  <c r="U25" i="2"/>
  <c r="U21" i="2"/>
  <c r="U17" i="2"/>
  <c r="U13" i="2"/>
  <c r="U9" i="2"/>
  <c r="U5" i="2"/>
  <c r="AQ59" i="2"/>
  <c r="AQ55" i="2"/>
  <c r="AQ51" i="2"/>
  <c r="AQ47" i="2"/>
  <c r="AQ43" i="2"/>
  <c r="AQ39" i="2"/>
  <c r="AQ35" i="2"/>
  <c r="AQ31" i="2"/>
  <c r="AQ27" i="2"/>
  <c r="AQ23" i="2"/>
  <c r="AQ19" i="2"/>
  <c r="AQ15" i="2"/>
  <c r="AQ11" i="2"/>
  <c r="AQ7" i="2"/>
  <c r="BB61" i="2"/>
  <c r="BB57" i="2"/>
  <c r="BB53" i="2"/>
  <c r="BB49" i="2"/>
  <c r="BB45" i="2"/>
  <c r="BB41" i="2"/>
  <c r="BB37" i="2"/>
  <c r="BB33" i="2"/>
  <c r="BB29" i="2"/>
  <c r="BB25" i="2"/>
  <c r="BB21" i="2"/>
  <c r="BB17" i="2"/>
  <c r="BB13" i="2"/>
  <c r="BB9" i="2"/>
  <c r="BB5" i="2"/>
  <c r="BM59" i="2"/>
  <c r="BM55" i="2"/>
  <c r="BM51" i="2"/>
  <c r="BM47" i="2"/>
  <c r="BM43" i="2"/>
  <c r="BM39" i="2"/>
  <c r="BM35" i="2"/>
  <c r="BM31" i="2"/>
  <c r="BM27" i="2"/>
  <c r="BM23" i="2"/>
  <c r="BM19" i="2"/>
  <c r="BM15" i="2"/>
  <c r="BM11" i="2"/>
  <c r="BM7" i="2"/>
  <c r="BX61" i="2"/>
  <c r="BX57" i="2"/>
  <c r="BX53" i="2"/>
  <c r="BX49" i="2"/>
  <c r="BX45" i="2"/>
  <c r="BX41" i="2"/>
  <c r="BX37" i="2"/>
  <c r="BX33" i="2"/>
  <c r="BX29" i="2"/>
  <c r="BX25" i="2"/>
  <c r="BX21" i="2"/>
  <c r="BX17" i="2"/>
  <c r="BX13" i="2"/>
  <c r="BX9" i="2"/>
  <c r="BX5" i="2"/>
  <c r="CI59" i="2"/>
  <c r="CI55" i="2"/>
  <c r="CI51" i="2"/>
  <c r="CI47" i="2"/>
  <c r="CI43" i="2"/>
  <c r="CI39" i="2"/>
  <c r="CI35" i="2"/>
  <c r="CI31" i="2"/>
  <c r="CI27" i="2"/>
  <c r="CI23" i="2"/>
  <c r="CI19" i="2"/>
  <c r="CI15" i="2"/>
  <c r="CI11" i="2"/>
  <c r="CI7" i="2"/>
  <c r="CT61" i="2"/>
  <c r="CT57" i="2"/>
  <c r="CT53" i="2"/>
  <c r="CT49" i="2"/>
  <c r="CT45" i="2"/>
  <c r="CT41" i="2"/>
  <c r="CT37" i="2"/>
  <c r="CT33" i="2"/>
  <c r="CT23" i="2"/>
  <c r="CT17" i="2"/>
  <c r="CT7" i="2"/>
  <c r="DE59" i="2"/>
  <c r="DE49" i="2"/>
  <c r="DE43" i="2"/>
  <c r="DE33" i="2"/>
  <c r="DE27" i="2"/>
  <c r="DE17" i="2"/>
  <c r="DE11" i="2"/>
  <c r="DP59" i="2"/>
  <c r="DP53" i="2"/>
  <c r="DP47" i="2"/>
  <c r="DP25" i="2"/>
  <c r="DP15" i="2"/>
  <c r="EA51" i="2"/>
  <c r="EA41" i="2"/>
  <c r="EA19" i="2"/>
  <c r="EA7" i="2"/>
  <c r="EL49" i="2"/>
  <c r="EL33" i="2"/>
  <c r="EL17" i="2"/>
  <c r="FH59" i="2"/>
  <c r="FH43" i="2"/>
  <c r="FH27" i="2"/>
  <c r="FH11" i="2"/>
  <c r="EW53" i="2"/>
  <c r="EW37" i="2"/>
  <c r="EW17" i="2"/>
  <c r="FS31" i="2"/>
  <c r="GD57" i="2"/>
  <c r="GD25" i="2"/>
  <c r="GO51" i="2"/>
  <c r="GO19" i="2"/>
  <c r="GZ45" i="2"/>
  <c r="GZ13" i="2"/>
  <c r="HK39" i="2"/>
  <c r="HK7" i="2"/>
  <c r="HL62" i="2"/>
  <c r="HM62" i="2"/>
  <c r="HN62" i="2"/>
  <c r="HO62" i="2"/>
  <c r="HQ107" i="2" l="1"/>
  <c r="HP107" i="2"/>
  <c r="HR107" i="2"/>
  <c r="HR106" i="2"/>
  <c r="HP106" i="2"/>
  <c r="HQ106" i="2"/>
  <c r="HP105" i="2"/>
  <c r="HQ105" i="2"/>
  <c r="HR105" i="2"/>
  <c r="HP104" i="2"/>
  <c r="HR104" i="2"/>
  <c r="HQ104" i="2"/>
  <c r="HQ103" i="2"/>
  <c r="HP103" i="2"/>
  <c r="HR103" i="2"/>
  <c r="HP102" i="2"/>
  <c r="HQ102" i="2"/>
  <c r="HR102" i="2"/>
  <c r="HR101" i="2"/>
  <c r="HP101" i="2"/>
  <c r="HQ101" i="2"/>
  <c r="HQ100" i="2"/>
  <c r="HR100" i="2"/>
  <c r="HP100" i="2"/>
  <c r="HQ99" i="2"/>
  <c r="HR99" i="2"/>
  <c r="HP99" i="2"/>
  <c r="HQ98" i="2"/>
  <c r="HP98" i="2"/>
  <c r="HR98" i="2"/>
  <c r="HP97" i="2"/>
  <c r="HR97" i="2"/>
  <c r="HQ97" i="2"/>
  <c r="HP96" i="2"/>
  <c r="HQ96" i="2"/>
  <c r="HR96" i="2"/>
  <c r="HQ95" i="2"/>
  <c r="HR95" i="2"/>
  <c r="HP95" i="2"/>
  <c r="HP94" i="2"/>
  <c r="HQ94" i="2"/>
  <c r="HR94" i="2"/>
  <c r="HQ93" i="2"/>
  <c r="HR93" i="2"/>
  <c r="HP93" i="2"/>
  <c r="HR92" i="2"/>
  <c r="HP92" i="2"/>
  <c r="HQ92" i="2"/>
  <c r="HP91" i="2"/>
  <c r="HQ91" i="2"/>
  <c r="HR91" i="2"/>
  <c r="HP89" i="2"/>
  <c r="HQ89" i="2"/>
  <c r="HR89" i="2"/>
  <c r="HQ90" i="2"/>
  <c r="HR90" i="2"/>
  <c r="HP90" i="2"/>
  <c r="HP88" i="2"/>
  <c r="HQ88" i="2"/>
  <c r="HR88" i="2"/>
  <c r="HQ87" i="2"/>
  <c r="HR87" i="2"/>
  <c r="HP87" i="2"/>
  <c r="HP86" i="2"/>
  <c r="HR86" i="2"/>
  <c r="HQ86" i="2"/>
  <c r="HP85" i="2"/>
  <c r="HQ85" i="2"/>
  <c r="HR85" i="2"/>
  <c r="HP84" i="2"/>
  <c r="HR84" i="2"/>
  <c r="HQ84" i="2"/>
  <c r="HR83" i="2"/>
  <c r="HP83" i="2"/>
  <c r="HQ83" i="2"/>
  <c r="HP82" i="2"/>
  <c r="HR82" i="2"/>
  <c r="HQ82" i="2"/>
  <c r="HP78" i="2"/>
  <c r="HQ78" i="2"/>
  <c r="HR78" i="2"/>
  <c r="HP81" i="2"/>
  <c r="HR81" i="2"/>
  <c r="HQ81" i="2"/>
  <c r="HQ79" i="2"/>
  <c r="HP79" i="2"/>
  <c r="HR79" i="2"/>
  <c r="HP80" i="2"/>
  <c r="HQ80" i="2"/>
  <c r="HR80" i="2"/>
  <c r="HQ77" i="2"/>
  <c r="HR77" i="2"/>
  <c r="HP77" i="2"/>
  <c r="HQ76" i="2"/>
  <c r="HP76" i="2"/>
  <c r="HR76" i="2"/>
  <c r="HQ75" i="2"/>
  <c r="HR75" i="2"/>
  <c r="HP75" i="2"/>
  <c r="HQ74" i="2"/>
  <c r="HR74" i="2"/>
  <c r="HP74" i="2"/>
  <c r="HQ73" i="2"/>
  <c r="HR73" i="2"/>
  <c r="HP73" i="2"/>
  <c r="HQ72" i="2"/>
  <c r="HR72" i="2"/>
  <c r="HP72" i="2"/>
  <c r="HR71" i="2"/>
  <c r="HQ71" i="2"/>
  <c r="HP71" i="2"/>
  <c r="HQ70" i="2"/>
  <c r="HR70" i="2"/>
  <c r="HP70" i="2"/>
  <c r="HQ69" i="2"/>
  <c r="HR69" i="2"/>
  <c r="HP69" i="2"/>
  <c r="HP68" i="2"/>
  <c r="HQ68" i="2"/>
  <c r="HR68" i="2"/>
  <c r="HR67" i="2"/>
  <c r="HP67" i="2"/>
  <c r="HQ67" i="2"/>
  <c r="HP66" i="2"/>
  <c r="HQ66" i="2"/>
  <c r="HR66" i="2"/>
  <c r="HR65" i="2"/>
  <c r="HQ65" i="2"/>
  <c r="HP65" i="2"/>
  <c r="HP64" i="2"/>
  <c r="HR64" i="2"/>
  <c r="HQ64" i="2"/>
  <c r="HR63" i="2"/>
  <c r="HP63" i="2"/>
  <c r="HQ63" i="2"/>
  <c r="HP62" i="2"/>
  <c r="HR62" i="2"/>
  <c r="HQ62" i="2"/>
  <c r="HL61" i="2"/>
  <c r="HM61" i="2"/>
  <c r="HN61" i="2"/>
  <c r="HO61" i="2"/>
  <c r="HQ61" i="2" l="1"/>
  <c r="HR61" i="2"/>
  <c r="HP61" i="2"/>
  <c r="HL60" i="2"/>
  <c r="HM60" i="2"/>
  <c r="HN60" i="2"/>
  <c r="HO60" i="2"/>
  <c r="HP60" i="2" l="1"/>
  <c r="HR60" i="2"/>
  <c r="HQ60" i="2"/>
  <c r="HL59" i="2"/>
  <c r="HM59" i="2"/>
  <c r="HN59" i="2"/>
  <c r="HO59" i="2"/>
  <c r="HR59" i="2" l="1"/>
  <c r="HQ59" i="2"/>
  <c r="HP59" i="2"/>
  <c r="HL58" i="2"/>
  <c r="HM58" i="2"/>
  <c r="HN58" i="2"/>
  <c r="HO58" i="2"/>
  <c r="HQ58" i="2" l="1"/>
  <c r="HR58" i="2"/>
  <c r="HP58" i="2"/>
  <c r="HL57" i="2"/>
  <c r="HM57" i="2"/>
  <c r="HN57" i="2"/>
  <c r="HO57" i="2"/>
  <c r="HP57" i="2" l="1"/>
  <c r="HR57" i="2"/>
  <c r="HQ57" i="2"/>
  <c r="HL56" i="2"/>
  <c r="HM56" i="2"/>
  <c r="HN56" i="2"/>
  <c r="HO56" i="2"/>
  <c r="HQ56" i="2" l="1"/>
  <c r="HR56" i="2"/>
  <c r="HP56" i="2"/>
  <c r="HL55" i="2"/>
  <c r="HM55" i="2"/>
  <c r="HN55" i="2"/>
  <c r="HO55" i="2"/>
  <c r="HQ55" i="2" l="1"/>
  <c r="HP55" i="2"/>
  <c r="HR55" i="2"/>
  <c r="HL54" i="2"/>
  <c r="HM54" i="2"/>
  <c r="HN54" i="2"/>
  <c r="HO54" i="2"/>
  <c r="HP54" i="2" l="1"/>
  <c r="HQ54" i="2"/>
  <c r="HR54" i="2"/>
  <c r="HL53" i="2"/>
  <c r="HM53" i="2"/>
  <c r="HN53" i="2"/>
  <c r="HO53" i="2"/>
  <c r="HP53" i="2" l="1"/>
  <c r="HQ53" i="2"/>
  <c r="HR53" i="2"/>
  <c r="HL52" i="2"/>
  <c r="HM52" i="2"/>
  <c r="HN52" i="2"/>
  <c r="HO52" i="2"/>
  <c r="HQ52" i="2" l="1"/>
  <c r="HP52" i="2"/>
  <c r="HR52" i="2"/>
  <c r="HL51" i="2"/>
  <c r="HM51" i="2"/>
  <c r="HN51" i="2"/>
  <c r="HO51" i="2"/>
  <c r="HR51" i="2" l="1"/>
  <c r="HQ51" i="2"/>
  <c r="HP51" i="2"/>
  <c r="HL50" i="2"/>
  <c r="HM50" i="2"/>
  <c r="HN50" i="2"/>
  <c r="HO50" i="2"/>
  <c r="HR50" i="2" l="1"/>
  <c r="HQ50" i="2"/>
  <c r="HP50" i="2"/>
  <c r="HL49" i="2"/>
  <c r="HM49" i="2"/>
  <c r="HN49" i="2"/>
  <c r="HO49" i="2"/>
  <c r="HQ49" i="2" l="1"/>
  <c r="HR49" i="2"/>
  <c r="HP49" i="2"/>
  <c r="HL48" i="2"/>
  <c r="HM48" i="2"/>
  <c r="HN48" i="2"/>
  <c r="HO48" i="2"/>
  <c r="HR48" i="2" l="1"/>
  <c r="HQ48" i="2"/>
  <c r="HP48" i="2"/>
  <c r="HL47" i="2"/>
  <c r="HM47" i="2"/>
  <c r="HN47" i="2"/>
  <c r="HO47" i="2"/>
  <c r="HQ47" i="2" l="1"/>
  <c r="HR47" i="2"/>
  <c r="HP47" i="2"/>
  <c r="HL46" i="2"/>
  <c r="HM46" i="2"/>
  <c r="HN46" i="2"/>
  <c r="HO46" i="2"/>
  <c r="HQ46" i="2" l="1"/>
  <c r="HP46" i="2"/>
  <c r="HR46" i="2"/>
  <c r="HL45" i="2"/>
  <c r="HM45" i="2"/>
  <c r="HN45" i="2"/>
  <c r="HO45" i="2"/>
  <c r="HQ45" i="2" l="1"/>
  <c r="HR45" i="2"/>
  <c r="HP45" i="2"/>
  <c r="HL44" i="2"/>
  <c r="HM44" i="2"/>
  <c r="HN44" i="2"/>
  <c r="HO44" i="2"/>
  <c r="HR44" i="2" l="1"/>
  <c r="HQ44" i="2"/>
  <c r="HP44" i="2"/>
  <c r="HL43" i="2"/>
  <c r="HM43" i="2"/>
  <c r="HN43" i="2"/>
  <c r="HO43" i="2"/>
  <c r="HR43" i="2" l="1"/>
  <c r="HQ43" i="2"/>
  <c r="HP43" i="2"/>
  <c r="HL41" i="2"/>
  <c r="HM41" i="2"/>
  <c r="HN41" i="2"/>
  <c r="HO41" i="2"/>
  <c r="HP41" i="2" l="1"/>
  <c r="HQ41" i="2"/>
  <c r="HR41" i="2"/>
  <c r="HL42" i="2"/>
  <c r="HM42" i="2"/>
  <c r="HN42" i="2"/>
  <c r="HO42" i="2"/>
  <c r="HP42" i="2" l="1"/>
  <c r="HQ42" i="2"/>
  <c r="HR42" i="2"/>
  <c r="HL40" i="2"/>
  <c r="HM40" i="2"/>
  <c r="HN40" i="2"/>
  <c r="HO40" i="2"/>
  <c r="HR40" i="2" l="1"/>
  <c r="HQ40" i="2"/>
  <c r="HP40" i="2"/>
  <c r="HL39" i="2"/>
  <c r="HM39" i="2"/>
  <c r="HN39" i="2"/>
  <c r="HO39" i="2"/>
  <c r="HR39" i="2" l="1"/>
  <c r="HQ39" i="2"/>
  <c r="HP39" i="2"/>
  <c r="HL38" i="2"/>
  <c r="HM38" i="2"/>
  <c r="HN38" i="2"/>
  <c r="HO38" i="2"/>
  <c r="HR38" i="2" l="1"/>
  <c r="HQ38" i="2"/>
  <c r="HP38" i="2"/>
  <c r="HL37" i="2"/>
  <c r="HM37" i="2"/>
  <c r="HN37" i="2"/>
  <c r="HO37" i="2"/>
  <c r="HR37" i="2" l="1"/>
  <c r="HQ37" i="2"/>
  <c r="HP37" i="2"/>
  <c r="HL36" i="2"/>
  <c r="HM36" i="2"/>
  <c r="HN36" i="2"/>
  <c r="HO36" i="2"/>
  <c r="HR36" i="2" l="1"/>
  <c r="HQ36" i="2"/>
  <c r="HP36" i="2"/>
  <c r="HL35" i="2"/>
  <c r="HM35" i="2"/>
  <c r="HN35" i="2"/>
  <c r="HO35" i="2"/>
  <c r="HQ35" i="2" l="1"/>
  <c r="HP35" i="2"/>
  <c r="HR35" i="2"/>
  <c r="HL34" i="2"/>
  <c r="HM34" i="2"/>
  <c r="HN34" i="2"/>
  <c r="HO34" i="2"/>
  <c r="HR34" i="2" l="1"/>
  <c r="HQ34" i="2"/>
  <c r="HP34" i="2"/>
  <c r="HL33" i="2"/>
  <c r="HM33" i="2"/>
  <c r="HN33" i="2"/>
  <c r="HO33" i="2"/>
  <c r="HQ33" i="2" l="1"/>
  <c r="HR33" i="2"/>
  <c r="HP33" i="2"/>
  <c r="HL32" i="2"/>
  <c r="HM32" i="2"/>
  <c r="HN32" i="2"/>
  <c r="HO32" i="2"/>
  <c r="HR32" i="2" l="1"/>
  <c r="HQ32" i="2"/>
  <c r="HP32" i="2"/>
  <c r="HL31" i="2"/>
  <c r="HM31" i="2"/>
  <c r="HN31" i="2"/>
  <c r="HO31" i="2"/>
  <c r="HQ31" i="2" l="1"/>
  <c r="HR31" i="2"/>
  <c r="HP31" i="2"/>
  <c r="HL30" i="2"/>
  <c r="HM30" i="2"/>
  <c r="HN30" i="2"/>
  <c r="HO30" i="2"/>
  <c r="HQ30" i="2" l="1"/>
  <c r="HR30" i="2"/>
  <c r="HP30" i="2"/>
  <c r="HL29" i="2"/>
  <c r="HM29" i="2"/>
  <c r="HN29" i="2"/>
  <c r="HO29" i="2"/>
  <c r="HR29" i="2" l="1"/>
  <c r="HQ29" i="2"/>
  <c r="HP29" i="2"/>
  <c r="HL28" i="2"/>
  <c r="HM28" i="2"/>
  <c r="HN28" i="2"/>
  <c r="HO28" i="2"/>
  <c r="HP28" i="2" l="1"/>
  <c r="HQ28" i="2"/>
  <c r="HR28" i="2"/>
  <c r="HL27" i="2" l="1"/>
  <c r="HM27" i="2"/>
  <c r="HN27" i="2"/>
  <c r="HO27" i="2"/>
  <c r="HR27" i="2" l="1"/>
  <c r="HQ27" i="2"/>
  <c r="HP27" i="2"/>
  <c r="HL26" i="2"/>
  <c r="HM26" i="2"/>
  <c r="HN26" i="2"/>
  <c r="HO26" i="2"/>
  <c r="HQ26" i="2" l="1"/>
  <c r="HR26" i="2"/>
  <c r="HP26" i="2"/>
  <c r="HL25" i="2"/>
  <c r="HM25" i="2"/>
  <c r="HN25" i="2"/>
  <c r="HO25" i="2"/>
  <c r="HQ25" i="2" l="1"/>
  <c r="HR25" i="2"/>
  <c r="HP25" i="2"/>
  <c r="HL24" i="2"/>
  <c r="HM24" i="2"/>
  <c r="HN24" i="2"/>
  <c r="HO24" i="2"/>
  <c r="HP24" i="2" l="1"/>
  <c r="HR24" i="2"/>
  <c r="HQ24" i="2"/>
  <c r="HL23" i="2"/>
  <c r="HM23" i="2"/>
  <c r="HN23" i="2"/>
  <c r="HO23" i="2"/>
  <c r="HR23" i="2" l="1"/>
  <c r="HQ23" i="2"/>
  <c r="HP23" i="2"/>
  <c r="HL22" i="2"/>
  <c r="HM22" i="2"/>
  <c r="HN22" i="2"/>
  <c r="HO22" i="2"/>
  <c r="HR22" i="2" l="1"/>
  <c r="HQ22" i="2"/>
  <c r="HP22" i="2"/>
  <c r="HL21" i="2"/>
  <c r="HM21" i="2"/>
  <c r="HN21" i="2"/>
  <c r="HO21" i="2"/>
  <c r="HR21" i="2" l="1"/>
  <c r="HQ21" i="2"/>
  <c r="HP21" i="2"/>
  <c r="HL20" i="2"/>
  <c r="HM20" i="2"/>
  <c r="HN20" i="2"/>
  <c r="HO20" i="2"/>
  <c r="HQ20" i="2" l="1"/>
  <c r="HR20" i="2"/>
  <c r="HP20" i="2"/>
  <c r="HL19" i="2"/>
  <c r="HM19" i="2"/>
  <c r="HN19" i="2"/>
  <c r="HO19" i="2"/>
  <c r="HR19" i="2" l="1"/>
  <c r="HQ19" i="2"/>
  <c r="HP19" i="2"/>
  <c r="HL18" i="2"/>
  <c r="HM18" i="2"/>
  <c r="HN18" i="2"/>
  <c r="HO18" i="2"/>
  <c r="HQ18" i="2" l="1"/>
  <c r="HP18" i="2"/>
  <c r="HR18" i="2"/>
  <c r="HL17" i="2"/>
  <c r="HM17" i="2"/>
  <c r="HN17" i="2"/>
  <c r="HO17" i="2"/>
  <c r="HR17" i="2" l="1"/>
  <c r="HQ17" i="2"/>
  <c r="HP17" i="2"/>
  <c r="HL15" i="2"/>
  <c r="HM15" i="2"/>
  <c r="HN15" i="2"/>
  <c r="HO15" i="2"/>
  <c r="HR15" i="2" l="1"/>
  <c r="HQ15" i="2"/>
  <c r="HP15" i="2"/>
  <c r="HL16" i="2"/>
  <c r="HM16" i="2"/>
  <c r="HN16" i="2"/>
  <c r="HO16" i="2"/>
  <c r="HP16" i="2" l="1"/>
  <c r="HR16" i="2"/>
  <c r="HQ16" i="2"/>
  <c r="HL14" i="2"/>
  <c r="HM14" i="2"/>
  <c r="HN14" i="2"/>
  <c r="HO14" i="2"/>
  <c r="HR14" i="2" l="1"/>
  <c r="HQ14" i="2"/>
  <c r="HP14" i="2"/>
  <c r="H30" i="4"/>
  <c r="H29" i="4"/>
  <c r="G30" i="4"/>
  <c r="H27" i="4" l="1"/>
  <c r="G27" i="4"/>
  <c r="H26" i="4"/>
  <c r="H24" i="4"/>
  <c r="G24" i="4"/>
  <c r="H23" i="4"/>
  <c r="H21" i="4"/>
  <c r="G21" i="4"/>
  <c r="H20" i="4"/>
  <c r="HO5" i="2" l="1"/>
  <c r="HO6" i="2"/>
  <c r="HO7" i="2"/>
  <c r="HO8" i="2"/>
  <c r="HO9" i="2"/>
  <c r="HO10" i="2"/>
  <c r="HO11" i="2"/>
  <c r="HO12" i="2"/>
  <c r="HO13" i="2"/>
  <c r="HN5" i="2"/>
  <c r="HN6" i="2"/>
  <c r="HN7" i="2"/>
  <c r="HN8" i="2"/>
  <c r="HN9" i="2"/>
  <c r="HN10" i="2"/>
  <c r="HN11" i="2"/>
  <c r="HN12" i="2"/>
  <c r="HN13" i="2"/>
  <c r="HM5" i="2"/>
  <c r="HL5" i="2"/>
  <c r="HL6" i="2"/>
  <c r="HL7" i="2"/>
  <c r="HL8" i="2"/>
  <c r="HL9" i="2"/>
  <c r="HL10" i="2"/>
  <c r="HL11" i="2"/>
  <c r="HL12" i="2"/>
  <c r="HL13" i="2"/>
  <c r="HM6" i="2"/>
  <c r="HM7" i="2"/>
  <c r="HM8" i="2"/>
  <c r="HM9" i="2"/>
  <c r="HM10" i="2"/>
  <c r="HM11" i="2"/>
  <c r="HM12" i="2"/>
  <c r="HM13" i="2"/>
  <c r="HR10" i="2" l="1"/>
  <c r="HR6" i="2"/>
  <c r="HP12" i="2"/>
  <c r="HP10" i="2"/>
  <c r="HP6" i="2"/>
  <c r="HP8" i="2"/>
  <c r="HR13" i="2"/>
  <c r="HR9" i="2"/>
  <c r="HR5" i="2"/>
  <c r="HP11" i="2"/>
  <c r="HP7" i="2"/>
  <c r="HR12" i="2"/>
  <c r="HR8" i="2"/>
  <c r="HR11" i="2"/>
  <c r="HR7" i="2"/>
  <c r="HQ11" i="2"/>
  <c r="HP13" i="2"/>
  <c r="HP9" i="2"/>
  <c r="HP5" i="2"/>
  <c r="HQ12" i="2"/>
  <c r="HQ8" i="2"/>
  <c r="HQ7" i="2"/>
  <c r="HQ10" i="2"/>
  <c r="HQ6" i="2"/>
  <c r="HQ13" i="2"/>
  <c r="HQ9" i="2"/>
  <c r="HQ5" i="2"/>
</calcChain>
</file>

<file path=xl/sharedStrings.xml><?xml version="1.0" encoding="utf-8"?>
<sst xmlns="http://schemas.openxmlformats.org/spreadsheetml/2006/main" count="503" uniqueCount="294">
  <si>
    <t>Station Name:</t>
  </si>
  <si>
    <t>Datum:</t>
  </si>
  <si>
    <t>Tid:</t>
  </si>
  <si>
    <t>GE Discovery 530c, Klinisk fysiologi</t>
  </si>
  <si>
    <t>Datum</t>
  </si>
  <si>
    <t>Station Name</t>
  </si>
  <si>
    <t>Tid</t>
  </si>
  <si>
    <t>Kollimator</t>
  </si>
  <si>
    <t>E_low (keV)</t>
  </si>
  <si>
    <t>E_high (keV)</t>
  </si>
  <si>
    <t>Sens_1</t>
  </si>
  <si>
    <t>Sens_2</t>
  </si>
  <si>
    <t>Sens_3</t>
  </si>
  <si>
    <t>Sens_4</t>
  </si>
  <si>
    <t>Sens_5</t>
  </si>
  <si>
    <t>Sens_6</t>
  </si>
  <si>
    <t>Sens_7</t>
  </si>
  <si>
    <t>Sens_8</t>
  </si>
  <si>
    <t>Sens_9</t>
  </si>
  <si>
    <t>Sens_10</t>
  </si>
  <si>
    <t>Sens_11</t>
  </si>
  <si>
    <t>Sens_12</t>
  </si>
  <si>
    <t>Sens_13</t>
  </si>
  <si>
    <t>Sens_14</t>
  </si>
  <si>
    <t>Sens_15</t>
  </si>
  <si>
    <t>Sens_16</t>
  </si>
  <si>
    <t>Sens_17</t>
  </si>
  <si>
    <t>Sens_18</t>
  </si>
  <si>
    <t>Sens_19</t>
  </si>
  <si>
    <t>IU GE (%)</t>
  </si>
  <si>
    <t>IU PBP (%)</t>
  </si>
  <si>
    <t>N pix with low counts</t>
  </si>
  <si>
    <t>N pix with high counts</t>
  </si>
  <si>
    <t>Relative sensitivity (%)</t>
  </si>
  <si>
    <t>STDV (%)</t>
  </si>
  <si>
    <t>MFT-ID</t>
  </si>
  <si>
    <t>Isotop</t>
  </si>
  <si>
    <t>Co-57</t>
  </si>
  <si>
    <t>Halveringstid (d)</t>
  </si>
  <si>
    <t>Aktivitet (MBq)</t>
  </si>
  <si>
    <t>Referensdatum</t>
  </si>
  <si>
    <t>Mailmottagare (separeras med semikolon)</t>
  </si>
  <si>
    <t>Station Name (används för identifikation av bilder och resultatfiler)</t>
  </si>
  <si>
    <t>D530</t>
  </si>
  <si>
    <t>IU_1</t>
  </si>
  <si>
    <t>IU_GE_1</t>
  </si>
  <si>
    <t>stdev_1</t>
  </si>
  <si>
    <t>Blank</t>
  </si>
  <si>
    <t>nCounts_1</t>
  </si>
  <si>
    <t>acqTime_1</t>
  </si>
  <si>
    <t>nLow_1</t>
  </si>
  <si>
    <t>nHigh_1</t>
  </si>
  <si>
    <t>IU_2</t>
  </si>
  <si>
    <t>IU_GE_2</t>
  </si>
  <si>
    <t>stdev_2</t>
  </si>
  <si>
    <t>nCounts_2</t>
  </si>
  <si>
    <t>acqTime_2</t>
  </si>
  <si>
    <t>nLow_2</t>
  </si>
  <si>
    <t>nHigh_2</t>
  </si>
  <si>
    <t>IU_3</t>
  </si>
  <si>
    <t>IU_GE_3</t>
  </si>
  <si>
    <t>stdev_3</t>
  </si>
  <si>
    <t>nCounts_3</t>
  </si>
  <si>
    <t>acqTime_3</t>
  </si>
  <si>
    <t>nLow_3</t>
  </si>
  <si>
    <t>nHigh_3</t>
  </si>
  <si>
    <t>IU_4</t>
  </si>
  <si>
    <t>IU_GE_4</t>
  </si>
  <si>
    <t>stdev_4</t>
  </si>
  <si>
    <t>nCounts_4</t>
  </si>
  <si>
    <t>acqTime_4</t>
  </si>
  <si>
    <t>nLow_4</t>
  </si>
  <si>
    <t>nHigh_4</t>
  </si>
  <si>
    <t>IU_5</t>
  </si>
  <si>
    <t>IU_GE_5</t>
  </si>
  <si>
    <t>stdev_5</t>
  </si>
  <si>
    <t>nCounts_5</t>
  </si>
  <si>
    <t>acqTime_5</t>
  </si>
  <si>
    <t>nLow_5</t>
  </si>
  <si>
    <t>nHigh_5</t>
  </si>
  <si>
    <t>IU_6</t>
  </si>
  <si>
    <t>IU_GE_6</t>
  </si>
  <si>
    <t>stdev_6</t>
  </si>
  <si>
    <t>nCounts_6</t>
  </si>
  <si>
    <t>acqTime_6</t>
  </si>
  <si>
    <t>nLow_6</t>
  </si>
  <si>
    <t>nHigh_6</t>
  </si>
  <si>
    <t>IU_7</t>
  </si>
  <si>
    <t>IU_GE_7</t>
  </si>
  <si>
    <t>stdev_7</t>
  </si>
  <si>
    <t>nCounts_7</t>
  </si>
  <si>
    <t>acqTime_7</t>
  </si>
  <si>
    <t>nLow_7</t>
  </si>
  <si>
    <t>nHigh_7</t>
  </si>
  <si>
    <t>IU_8</t>
  </si>
  <si>
    <t>IU_GE_8</t>
  </si>
  <si>
    <t>stdev_8</t>
  </si>
  <si>
    <t>nCounts_8</t>
  </si>
  <si>
    <t>acqTime_8</t>
  </si>
  <si>
    <t>nLow_8</t>
  </si>
  <si>
    <t>nHigh_8</t>
  </si>
  <si>
    <t>IU_9</t>
  </si>
  <si>
    <t>IU_GE_9</t>
  </si>
  <si>
    <t>stdev_9</t>
  </si>
  <si>
    <t>nCounts_9</t>
  </si>
  <si>
    <t>acqTime_9</t>
  </si>
  <si>
    <t>nLow_9</t>
  </si>
  <si>
    <t>nHigh_9</t>
  </si>
  <si>
    <t>IU_10</t>
  </si>
  <si>
    <t>IU_GE_10</t>
  </si>
  <si>
    <t>stdev_10</t>
  </si>
  <si>
    <t>nCounts_10</t>
  </si>
  <si>
    <t>acqTime_10</t>
  </si>
  <si>
    <t>nLow_10</t>
  </si>
  <si>
    <t>nHigh_10</t>
  </si>
  <si>
    <t>IU_11</t>
  </si>
  <si>
    <t>IU_GE_11</t>
  </si>
  <si>
    <t>stdev_11</t>
  </si>
  <si>
    <t>nCounts_11</t>
  </si>
  <si>
    <t>acqTime_11</t>
  </si>
  <si>
    <t>nLow_11</t>
  </si>
  <si>
    <t>nHigh_11</t>
  </si>
  <si>
    <t>IU_12</t>
  </si>
  <si>
    <t>IU_GE_12</t>
  </si>
  <si>
    <t>stdev_12</t>
  </si>
  <si>
    <t>nCounts_12</t>
  </si>
  <si>
    <t>acqTime_12</t>
  </si>
  <si>
    <t>nLow_12</t>
  </si>
  <si>
    <t>nHigh_12</t>
  </si>
  <si>
    <t>IU_13</t>
  </si>
  <si>
    <t>IU_GE_13</t>
  </si>
  <si>
    <t>stdev_13</t>
  </si>
  <si>
    <t>nCounts_13</t>
  </si>
  <si>
    <t>acqTime_13</t>
  </si>
  <si>
    <t>nLow_13</t>
  </si>
  <si>
    <t>nHigh_13</t>
  </si>
  <si>
    <t>IU_14</t>
  </si>
  <si>
    <t>IU_GE_14</t>
  </si>
  <si>
    <t>stdev_14</t>
  </si>
  <si>
    <t>nCounts_14</t>
  </si>
  <si>
    <t>acqTime_14</t>
  </si>
  <si>
    <t>nLow_14</t>
  </si>
  <si>
    <t>nHigh_14</t>
  </si>
  <si>
    <t>IU_15</t>
  </si>
  <si>
    <t>IU_GE_15</t>
  </si>
  <si>
    <t>stdev_15</t>
  </si>
  <si>
    <t>nCounts_15</t>
  </si>
  <si>
    <t>acqTime_15</t>
  </si>
  <si>
    <t>nLow_15</t>
  </si>
  <si>
    <t>nHigh_15</t>
  </si>
  <si>
    <t>IU_16</t>
  </si>
  <si>
    <t>IU_GE_16</t>
  </si>
  <si>
    <t>stdev_16</t>
  </si>
  <si>
    <t>nCounts_16</t>
  </si>
  <si>
    <t>acqTime_16</t>
  </si>
  <si>
    <t>nLow_16</t>
  </si>
  <si>
    <t>nHigh_16</t>
  </si>
  <si>
    <t>IU_17</t>
  </si>
  <si>
    <t>IU_GE_17</t>
  </si>
  <si>
    <t>stdev_17</t>
  </si>
  <si>
    <t>nCounts_17</t>
  </si>
  <si>
    <t>acqTime_17</t>
  </si>
  <si>
    <t>nLow_17</t>
  </si>
  <si>
    <t>nHigh_17</t>
  </si>
  <si>
    <t>IU_18</t>
  </si>
  <si>
    <t>IU_GE_18</t>
  </si>
  <si>
    <t>stdev_18</t>
  </si>
  <si>
    <t>nCounts_18</t>
  </si>
  <si>
    <t>acqTime_18</t>
  </si>
  <si>
    <t>nLow_18</t>
  </si>
  <si>
    <t>nHigh_18</t>
  </si>
  <si>
    <t>IU_19</t>
  </si>
  <si>
    <t>IU_GE_19</t>
  </si>
  <si>
    <t>stdev_19</t>
  </si>
  <si>
    <t>nCounts_19</t>
  </si>
  <si>
    <t>acqTime_19</t>
  </si>
  <si>
    <t>nLow_19</t>
  </si>
  <si>
    <t>nHigh_19</t>
  </si>
  <si>
    <t>Min_1</t>
  </si>
  <si>
    <t>Max_1</t>
  </si>
  <si>
    <t>Min_2</t>
  </si>
  <si>
    <t>Max_2</t>
  </si>
  <si>
    <t>Min_3</t>
  </si>
  <si>
    <t>Max_3</t>
  </si>
  <si>
    <t>Min_4</t>
  </si>
  <si>
    <t>Max_4</t>
  </si>
  <si>
    <t>Min_5</t>
  </si>
  <si>
    <t>Max_5</t>
  </si>
  <si>
    <t>Min_6</t>
  </si>
  <si>
    <t>Max_6</t>
  </si>
  <si>
    <t>Min_7</t>
  </si>
  <si>
    <t>Max_7</t>
  </si>
  <si>
    <t>Min_8</t>
  </si>
  <si>
    <t>Max_8</t>
  </si>
  <si>
    <t>Min_9</t>
  </si>
  <si>
    <t>Max_9</t>
  </si>
  <si>
    <t>Min_10</t>
  </si>
  <si>
    <t>Max_10</t>
  </si>
  <si>
    <t>Min_11</t>
  </si>
  <si>
    <t>Max_11</t>
  </si>
  <si>
    <t>Min_12</t>
  </si>
  <si>
    <t>Max_12</t>
  </si>
  <si>
    <t>Min_13</t>
  </si>
  <si>
    <t>Max_13</t>
  </si>
  <si>
    <t>Min_14</t>
  </si>
  <si>
    <t>Max_14</t>
  </si>
  <si>
    <t>Min_15</t>
  </si>
  <si>
    <t>Max_15</t>
  </si>
  <si>
    <t>Min_16</t>
  </si>
  <si>
    <t>Max_16</t>
  </si>
  <si>
    <t>Min_17</t>
  </si>
  <si>
    <t>Max_17</t>
  </si>
  <si>
    <t>Min_18</t>
  </si>
  <si>
    <t>Max_18</t>
  </si>
  <si>
    <t>Min_19</t>
  </si>
  <si>
    <t>Max_19</t>
  </si>
  <si>
    <t>Parameter / Detektor</t>
  </si>
  <si>
    <t>MPH_27_45</t>
  </si>
  <si>
    <t>&lt; 3.5</t>
  </si>
  <si>
    <t>MFT 201411-2</t>
  </si>
  <si>
    <t>Kollimator:</t>
  </si>
  <si>
    <t>Gräns</t>
  </si>
  <si>
    <t>Total insamlingstid (min):</t>
  </si>
  <si>
    <t>Insamlingstid (min)</t>
  </si>
  <si>
    <t>Kommentarer</t>
  </si>
  <si>
    <t>&lt; 3</t>
  </si>
  <si>
    <t>&lt; 7.5</t>
  </si>
  <si>
    <t>&lt; 15</t>
  </si>
  <si>
    <t>98-102</t>
  </si>
  <si>
    <t>Max IU</t>
  </si>
  <si>
    <t>Mean IU</t>
  </si>
  <si>
    <t>Max IU_GE</t>
  </si>
  <si>
    <t>Mean IU_GE</t>
  </si>
  <si>
    <t>RelSens_1</t>
  </si>
  <si>
    <t>RelSens_2</t>
  </si>
  <si>
    <t>RelSens_3</t>
  </si>
  <si>
    <t>RelSens_4</t>
  </si>
  <si>
    <t>RelSens_5</t>
  </si>
  <si>
    <t>RelSens_6</t>
  </si>
  <si>
    <t>RelSens_7</t>
  </si>
  <si>
    <t>RelSens_8</t>
  </si>
  <si>
    <t>RelSens_9</t>
  </si>
  <si>
    <t>RelSens_10</t>
  </si>
  <si>
    <t>RelSens_11</t>
  </si>
  <si>
    <t>RelSens_12</t>
  </si>
  <si>
    <t>RelSens_13</t>
  </si>
  <si>
    <t>RelSens_14</t>
  </si>
  <si>
    <t>RelSens_15</t>
  </si>
  <si>
    <t>RelSens_16</t>
  </si>
  <si>
    <t>RelSens_17</t>
  </si>
  <si>
    <t>RelSens_18</t>
  </si>
  <si>
    <t>RelSens_19</t>
  </si>
  <si>
    <t>Min RelSens</t>
  </si>
  <si>
    <t>Mean RelSens</t>
  </si>
  <si>
    <t>Max RelSens</t>
  </si>
  <si>
    <t xml:space="preserve">IU PBP </t>
  </si>
  <si>
    <t>IU GE</t>
  </si>
  <si>
    <t>Detektorpositioner (GE ID i parentes)</t>
  </si>
  <si>
    <t>Rel känslighet låg</t>
  </si>
  <si>
    <t>Rel känslighet hög</t>
  </si>
  <si>
    <t>Åtgärdsnivåer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</si>
  <si>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</si>
  <si>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</si>
  <si>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</si>
  <si>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</si>
  <si>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</si>
  <si>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</si>
  <si>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</si>
  <si>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</si>
  <si>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</si>
  <si>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</si>
  <si>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</si>
  <si>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</si>
  <si>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</si>
  <si>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</si>
  <si>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</si>
  <si>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</si>
  <si>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</si>
  <si>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</si>
  <si>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</si>
  <si>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Datum för ibruktagande</t>
  </si>
  <si>
    <t>MFT 2016</t>
  </si>
  <si>
    <t xml:space="preserve">Strålkälla </t>
  </si>
  <si>
    <t>Strålkälla</t>
  </si>
  <si>
    <t>OBS! Ta fram kolumn J-HK för att redigera data</t>
  </si>
  <si>
    <t>Dåliga uniformitetsvärden IU_GE. Detektor 19 (27). Okänd orsak, har blivit bättre utan åtgärd. Bevakas</t>
  </si>
  <si>
    <t xml:space="preserve">Bra resultat vid första dagkontroll av kllinisk personal enligt gängse rutiner. Således allt OK. </t>
  </si>
  <si>
    <t>Plottar börjar vid datum</t>
  </si>
  <si>
    <t>Plott-gränser (endras ej!)</t>
  </si>
  <si>
    <t>Ny plankälla. Omkalibrering (Periodic QC + nya uniformitetsmappar) har gjorts pga att dagkontroller inte gick igenom med den nya källan</t>
  </si>
  <si>
    <t xml:space="preserve">Kontroll efter service av GE. Hög spridning på känslighet mellan olika detektorer. 3 pixlar med låga counts på detektor 7(19), ovanligt. Kontroll görs om av MF. </t>
  </si>
  <si>
    <t>Rader med höga pixelcounts i detektor 1(1) och 7 (19). Underkänd enligt våra gränsvärden.  Går igenom på kameran men det är knappt. Källan/ställningen måste legat fel vid kalibrering. Omkalibrering (periodic QC + uniformitetsmappar) görs</t>
  </si>
  <si>
    <t xml:space="preserve">Ny daglig kontroll OK efter omkalibrering. Stativ och plankälla har denna gång tagits ner och satts upp igen mellan kalibrering och kontroll. </t>
  </si>
  <si>
    <t>gustav.brolin@kronoberg.se; jan-ove.christoffersson@kronoberg.se; sofia.akerberg@kronoberg.se; cfys19.clv@kronoberg.se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</si>
</sst>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hh:mm;@"/>
    <numFmt numFmtId="166" formatCode="0.000"/>
    <numFmt numFmtId="167" formatCode="[$-F400]h:mm:ss\ AM/PM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sz val="14"/>
      <color theme="1"/>
      <name val="Courier New"/>
      <family val="3"/>
    </font>
    <font>
      <sz val="11"/>
      <color theme="1"/>
      <name val="Courier New"/>
      <family val="3"/>
    </font>
    <font>
      <sz val="11"/>
      <color theme="4" tint="-0.249977111117893"/>
      <name val="Courier New"/>
      <family val="3"/>
    </font>
    <font>
      <b/>
      <sz val="11"/>
      <color theme="1"/>
      <name val="Courier New"/>
      <family val="3"/>
    </font>
    <font>
      <b/>
      <sz val="20"/>
      <color rgb="FF3F3F3F"/>
      <name val="Courier New"/>
      <family val="3"/>
    </font>
    <font>
      <sz val="11"/>
      <color theme="0"/>
      <name val="Calibri"/>
      <family val="2"/>
      <scheme val="minor"/>
    </font>
    <font>
      <b/>
      <sz val="11"/>
      <color theme="4" tint="-0.249977111117893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</patternFill>
    </fill>
  </fills>
  <borders count="1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0" fillId="4" borderId="0" applyNumberFormat="0" applyBorder="0" applyAlignment="0" applyProtection="0"/>
  </cellStyleXfs>
  <cellXfs count="59">
    <xf numFmtId="0" fontId="0" fillId="0" borderId="0" xfId="0"/>
    <xf numFmtId="0" fontId="0" fillId="0" borderId="0" xfId="0" applyBorder="1"/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4" fillId="0" borderId="0" xfId="0" applyFont="1" applyBorder="1"/>
    <xf numFmtId="0" fontId="0" fillId="0" borderId="0" xfId="0" applyAlignment="1">
      <alignment horizontal="center"/>
    </xf>
    <xf numFmtId="0" fontId="5" fillId="0" borderId="0" xfId="0" applyFont="1" applyBorder="1"/>
    <xf numFmtId="0" fontId="6" fillId="0" borderId="0" xfId="0" applyFont="1" applyBorder="1"/>
    <xf numFmtId="0" fontId="0" fillId="0" borderId="2" xfId="0" applyBorder="1"/>
    <xf numFmtId="0" fontId="0" fillId="0" borderId="0" xfId="0" applyProtection="1">
      <protection locked="0"/>
    </xf>
    <xf numFmtId="0" fontId="0" fillId="0" borderId="0" xfId="0" applyBorder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7" xfId="0" applyBorder="1" applyAlignment="1">
      <alignment horizontal="center"/>
    </xf>
    <xf numFmtId="0" fontId="1" fillId="0" borderId="7" xfId="0" applyFont="1" applyBorder="1"/>
    <xf numFmtId="0" fontId="8" fillId="0" borderId="0" xfId="0" applyFont="1" applyBorder="1"/>
    <xf numFmtId="0" fontId="8" fillId="0" borderId="0" xfId="0" applyFont="1" applyFill="1" applyBorder="1"/>
    <xf numFmtId="0" fontId="8" fillId="0" borderId="2" xfId="0" applyFont="1" applyBorder="1"/>
    <xf numFmtId="164" fontId="7" fillId="3" borderId="0" xfId="0" applyNumberFormat="1" applyFont="1" applyFill="1" applyBorder="1" applyAlignment="1">
      <alignment horizontal="center"/>
    </xf>
    <xf numFmtId="164" fontId="7" fillId="0" borderId="0" xfId="0" applyNumberFormat="1" applyFont="1" applyBorder="1" applyAlignment="1">
      <alignment horizontal="center"/>
    </xf>
    <xf numFmtId="1" fontId="7" fillId="0" borderId="0" xfId="0" applyNumberFormat="1" applyFont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10" fillId="4" borderId="12" xfId="2" applyBorder="1" applyAlignment="1">
      <alignment horizontal="left"/>
    </xf>
    <xf numFmtId="0" fontId="11" fillId="3" borderId="11" xfId="0" applyFont="1" applyFill="1" applyBorder="1" applyAlignment="1">
      <alignment horizontal="left"/>
    </xf>
    <xf numFmtId="0" fontId="11" fillId="0" borderId="11" xfId="0" applyFont="1" applyBorder="1" applyAlignment="1">
      <alignment horizontal="left"/>
    </xf>
    <xf numFmtId="14" fontId="5" fillId="0" borderId="0" xfId="0" applyNumberFormat="1" applyFont="1" applyBorder="1" applyAlignment="1">
      <alignment horizontal="left"/>
    </xf>
    <xf numFmtId="165" fontId="5" fillId="0" borderId="0" xfId="0" applyNumberFormat="1" applyFont="1" applyBorder="1" applyAlignment="1">
      <alignment horizontal="left"/>
    </xf>
    <xf numFmtId="166" fontId="0" fillId="0" borderId="0" xfId="0" applyNumberFormat="1"/>
    <xf numFmtId="14" fontId="0" fillId="0" borderId="0" xfId="0" applyNumberFormat="1"/>
    <xf numFmtId="0" fontId="6" fillId="0" borderId="0" xfId="0" applyFont="1" applyBorder="1" applyAlignment="1"/>
    <xf numFmtId="0" fontId="10" fillId="4" borderId="12" xfId="2" applyBorder="1" applyAlignment="1">
      <alignment horizontal="center"/>
    </xf>
    <xf numFmtId="0" fontId="0" fillId="0" borderId="0" xfId="0" applyBorder="1" applyAlignment="1" applyProtection="1">
      <alignment horizontal="left"/>
      <protection locked="0"/>
    </xf>
    <xf numFmtId="14" fontId="0" fillId="0" borderId="0" xfId="0" applyNumberFormat="1" applyBorder="1" applyAlignment="1" applyProtection="1">
      <alignment horizontal="left"/>
      <protection locked="0"/>
    </xf>
    <xf numFmtId="0" fontId="0" fillId="0" borderId="13" xfId="0" applyBorder="1"/>
    <xf numFmtId="0" fontId="0" fillId="0" borderId="13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164" fontId="5" fillId="0" borderId="0" xfId="0" applyNumberFormat="1" applyFont="1" applyBorder="1" applyAlignment="1">
      <alignment horizontal="left"/>
    </xf>
    <xf numFmtId="0" fontId="9" fillId="2" borderId="1" xfId="1" applyFont="1" applyBorder="1" applyAlignment="1">
      <alignment horizontal="center" vertical="center"/>
    </xf>
    <xf numFmtId="0" fontId="5" fillId="0" borderId="0" xfId="0" applyFont="1" applyBorder="1" applyAlignment="1">
      <alignment horizontal="left"/>
    </xf>
    <xf numFmtId="14" fontId="5" fillId="0" borderId="0" xfId="0" applyNumberFormat="1" applyFont="1" applyBorder="1" applyAlignment="1">
      <alignment horizontal="left"/>
    </xf>
    <xf numFmtId="165" fontId="5" fillId="0" borderId="0" xfId="0" applyNumberFormat="1" applyFont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2" xfId="0" applyBorder="1" applyAlignment="1">
      <alignment horizontal="left"/>
    </xf>
  </cellXfs>
  <cellStyles count="3">
    <cellStyle name="Färg1" xfId="2" builtinId="29"/>
    <cellStyle name="Normal" xfId="0" builtinId="0"/>
    <cellStyle name="Utdata" xfId="1" builtinId="21"/>
  </cellStyles>
  <dxfs count="48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[$-F400]h:mm:ss\ AM/P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left" vertical="bottom" textRotation="0" wrapText="0" indent="0" justifyLastLine="0" shrinkToFit="0" readingOrder="0"/>
    </dxf>
    <dxf>
      <border outline="0"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ourier New"/>
        <scheme val="none"/>
      </font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 style="thin">
          <color rgb="FF7F7F7F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v-SE">
                <a:latin typeface="Courier New" panose="02070309020205020404" pitchFamily="49" charset="0"/>
                <a:cs typeface="Courier New" panose="02070309020205020404" pitchFamily="49" charset="0"/>
              </a:rPr>
              <a:t>Uniformitet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IU PBP (max)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w="19050">
                <a:solidFill>
                  <a:schemeClr val="tx1"/>
                </a:solidFill>
              </a:ln>
            </c:spPr>
          </c:marker>
          <c:trendline>
            <c:name>Detektor 1 IU (Veckotrend)</c:name>
            <c:spPr>
              <a:ln w="50800">
                <a:solidFill>
                  <a:schemeClr val="accent1"/>
                </a:solidFill>
              </a:ln>
            </c:spPr>
            <c:trendlineType val="movingAvg"/>
            <c:period val="5"/>
            <c:dispRSqr val="0"/>
            <c:dispEq val="0"/>
          </c:trendline>
          <c:xVal>
            <c:numRef>
              <c:f>Data!$C$5:$C$107</c:f>
              <c:numCache>
                <c:formatCode>m/d/yyyy</c:formatCode>
                <c:ptCount val="103"/>
                <c:pt idx="0">
                  <c:v>42373</c:v>
                </c:pt>
                <c:pt idx="1">
                  <c:v>42380</c:v>
                </c:pt>
                <c:pt idx="2">
                  <c:v>42382</c:v>
                </c:pt>
                <c:pt idx="3">
                  <c:v>42383</c:v>
                </c:pt>
                <c:pt idx="4">
                  <c:v>42389</c:v>
                </c:pt>
                <c:pt idx="5">
                  <c:v>42390</c:v>
                </c:pt>
                <c:pt idx="6">
                  <c:v>42394</c:v>
                </c:pt>
                <c:pt idx="7">
                  <c:v>42396</c:v>
                </c:pt>
                <c:pt idx="8">
                  <c:v>42397</c:v>
                </c:pt>
                <c:pt idx="9">
                  <c:v>42401</c:v>
                </c:pt>
                <c:pt idx="10">
                  <c:v>42403</c:v>
                </c:pt>
                <c:pt idx="11">
                  <c:v>42404</c:v>
                </c:pt>
                <c:pt idx="12">
                  <c:v>42408</c:v>
                </c:pt>
                <c:pt idx="13">
                  <c:v>42410</c:v>
                </c:pt>
                <c:pt idx="14">
                  <c:v>42411</c:v>
                </c:pt>
                <c:pt idx="15">
                  <c:v>42415</c:v>
                </c:pt>
                <c:pt idx="16">
                  <c:v>42417</c:v>
                </c:pt>
                <c:pt idx="17">
                  <c:v>42418</c:v>
                </c:pt>
                <c:pt idx="18">
                  <c:v>42422</c:v>
                </c:pt>
                <c:pt idx="19">
                  <c:v>42424</c:v>
                </c:pt>
                <c:pt idx="20">
                  <c:v>42425</c:v>
                </c:pt>
                <c:pt idx="21">
                  <c:v>42429</c:v>
                </c:pt>
                <c:pt idx="22">
                  <c:v>42431</c:v>
                </c:pt>
                <c:pt idx="23">
                  <c:v>42432</c:v>
                </c:pt>
                <c:pt idx="24">
                  <c:v>42436</c:v>
                </c:pt>
                <c:pt idx="25">
                  <c:v>42438</c:v>
                </c:pt>
                <c:pt idx="26">
                  <c:v>42439</c:v>
                </c:pt>
                <c:pt idx="27">
                  <c:v>42443</c:v>
                </c:pt>
                <c:pt idx="28">
                  <c:v>42445</c:v>
                </c:pt>
                <c:pt idx="29">
                  <c:v>42446</c:v>
                </c:pt>
                <c:pt idx="30">
                  <c:v>42452</c:v>
                </c:pt>
                <c:pt idx="31">
                  <c:v>42453</c:v>
                </c:pt>
                <c:pt idx="32">
                  <c:v>42459</c:v>
                </c:pt>
                <c:pt idx="33">
                  <c:v>42460</c:v>
                </c:pt>
                <c:pt idx="34">
                  <c:v>42464</c:v>
                </c:pt>
                <c:pt idx="35">
                  <c:v>42473</c:v>
                </c:pt>
                <c:pt idx="36">
                  <c:v>42480</c:v>
                </c:pt>
                <c:pt idx="37">
                  <c:v>42485</c:v>
                </c:pt>
                <c:pt idx="38">
                  <c:v>42487</c:v>
                </c:pt>
                <c:pt idx="39">
                  <c:v>42492</c:v>
                </c:pt>
                <c:pt idx="40">
                  <c:v>42499</c:v>
                </c:pt>
                <c:pt idx="41">
                  <c:v>42501</c:v>
                </c:pt>
                <c:pt idx="42">
                  <c:v>42502</c:v>
                </c:pt>
                <c:pt idx="43">
                  <c:v>42506</c:v>
                </c:pt>
                <c:pt idx="44">
                  <c:v>42508</c:v>
                </c:pt>
                <c:pt idx="45">
                  <c:v>42509</c:v>
                </c:pt>
                <c:pt idx="46">
                  <c:v>42513</c:v>
                </c:pt>
                <c:pt idx="47">
                  <c:v>42515</c:v>
                </c:pt>
                <c:pt idx="48">
                  <c:v>42522</c:v>
                </c:pt>
                <c:pt idx="49">
                  <c:v>42528</c:v>
                </c:pt>
                <c:pt idx="50">
                  <c:v>42530</c:v>
                </c:pt>
                <c:pt idx="51">
                  <c:v>42531</c:v>
                </c:pt>
                <c:pt idx="52">
                  <c:v>42564</c:v>
                </c:pt>
                <c:pt idx="53">
                  <c:v>42565</c:v>
                </c:pt>
                <c:pt idx="54">
                  <c:v>42583</c:v>
                </c:pt>
                <c:pt idx="55">
                  <c:v>42585</c:v>
                </c:pt>
                <c:pt idx="56">
                  <c:v>42586</c:v>
                </c:pt>
                <c:pt idx="57">
                  <c:v>42590</c:v>
                </c:pt>
                <c:pt idx="58">
                  <c:v>42591</c:v>
                </c:pt>
                <c:pt idx="59">
                  <c:v>42592</c:v>
                </c:pt>
                <c:pt idx="60">
                  <c:v>42593</c:v>
                </c:pt>
                <c:pt idx="61">
                  <c:v>42597</c:v>
                </c:pt>
                <c:pt idx="62">
                  <c:v>42599</c:v>
                </c:pt>
                <c:pt idx="63">
                  <c:v>42604</c:v>
                </c:pt>
                <c:pt idx="64">
                  <c:v>42606</c:v>
                </c:pt>
                <c:pt idx="65">
                  <c:v>42607</c:v>
                </c:pt>
                <c:pt idx="66">
                  <c:v>42611</c:v>
                </c:pt>
                <c:pt idx="67">
                  <c:v>42613</c:v>
                </c:pt>
                <c:pt idx="68">
                  <c:v>42614</c:v>
                </c:pt>
                <c:pt idx="69">
                  <c:v>42618</c:v>
                </c:pt>
                <c:pt idx="70">
                  <c:v>42620</c:v>
                </c:pt>
                <c:pt idx="71">
                  <c:v>42625</c:v>
                </c:pt>
                <c:pt idx="72">
                  <c:v>42627</c:v>
                </c:pt>
                <c:pt idx="73">
                  <c:v>42634</c:v>
                </c:pt>
                <c:pt idx="74">
                  <c:v>42639</c:v>
                </c:pt>
                <c:pt idx="75">
                  <c:v>42641</c:v>
                </c:pt>
                <c:pt idx="76">
                  <c:v>42642</c:v>
                </c:pt>
                <c:pt idx="77">
                  <c:v>42646</c:v>
                </c:pt>
                <c:pt idx="78">
                  <c:v>42647</c:v>
                </c:pt>
                <c:pt idx="79">
                  <c:v>42648</c:v>
                </c:pt>
                <c:pt idx="80">
                  <c:v>42653</c:v>
                </c:pt>
                <c:pt idx="81">
                  <c:v>42655</c:v>
                </c:pt>
                <c:pt idx="82">
                  <c:v>42660</c:v>
                </c:pt>
                <c:pt idx="83">
                  <c:v>42662</c:v>
                </c:pt>
                <c:pt idx="84">
                  <c:v>42664</c:v>
                </c:pt>
                <c:pt idx="85">
                  <c:v>42664</c:v>
                </c:pt>
                <c:pt idx="86">
                  <c:v>42664</c:v>
                </c:pt>
                <c:pt idx="87">
                  <c:v>42667</c:v>
                </c:pt>
                <c:pt idx="88">
                  <c:v>42669</c:v>
                </c:pt>
                <c:pt idx="89">
                  <c:v>42670</c:v>
                </c:pt>
                <c:pt idx="90">
                  <c:v>42674</c:v>
                </c:pt>
                <c:pt idx="91">
                  <c:v>42683</c:v>
                </c:pt>
                <c:pt idx="92">
                  <c:v>42688</c:v>
                </c:pt>
                <c:pt idx="93">
                  <c:v>42688</c:v>
                </c:pt>
                <c:pt idx="94">
                  <c:v>42690</c:v>
                </c:pt>
                <c:pt idx="95">
                  <c:v>42690</c:v>
                </c:pt>
                <c:pt idx="96">
                  <c:v>42695</c:v>
                </c:pt>
                <c:pt idx="97">
                  <c:v>42697</c:v>
                </c:pt>
                <c:pt idx="98">
                  <c:v>42698</c:v>
                </c:pt>
                <c:pt idx="99">
                  <c:v>42702</c:v>
                </c:pt>
                <c:pt idx="100">
                  <c:v>42704</c:v>
                </c:pt>
                <c:pt idx="101">
                  <c:v>42709</c:v>
                </c:pt>
                <c:pt idx="102">
                  <c:v>42711</c:v>
                </c:pt>
              </c:numCache>
            </c:numRef>
          </c:xVal>
          <c:yVal>
            <c:numRef>
              <c:f>Data!$HL$5:$HL$107</c:f>
              <c:numCache>
                <c:formatCode>0.000</c:formatCode>
                <c:ptCount val="103"/>
                <c:pt idx="0">
                  <c:v>0.13600000000000001</c:v>
                </c:pt>
                <c:pt idx="1">
                  <c:v>0.13200000000000001</c:v>
                </c:pt>
                <c:pt idx="2">
                  <c:v>0.11</c:v>
                </c:pt>
                <c:pt idx="3">
                  <c:v>0.123</c:v>
                </c:pt>
                <c:pt idx="4">
                  <c:v>0.123</c:v>
                </c:pt>
                <c:pt idx="5">
                  <c:v>0.128</c:v>
                </c:pt>
                <c:pt idx="6">
                  <c:v>0.129</c:v>
                </c:pt>
                <c:pt idx="7">
                  <c:v>0.115</c:v>
                </c:pt>
                <c:pt idx="8">
                  <c:v>0.14000000000000001</c:v>
                </c:pt>
                <c:pt idx="9">
                  <c:v>0.111</c:v>
                </c:pt>
                <c:pt idx="10">
                  <c:v>0.13800000000000001</c:v>
                </c:pt>
                <c:pt idx="11">
                  <c:v>0.13200000000000001</c:v>
                </c:pt>
                <c:pt idx="12">
                  <c:v>0.111</c:v>
                </c:pt>
                <c:pt idx="13">
                  <c:v>0.12</c:v>
                </c:pt>
                <c:pt idx="14">
                  <c:v>0.113</c:v>
                </c:pt>
                <c:pt idx="15">
                  <c:v>0.11899999999999999</c:v>
                </c:pt>
                <c:pt idx="16">
                  <c:v>0.11799999999999999</c:v>
                </c:pt>
                <c:pt idx="17">
                  <c:v>0.111</c:v>
                </c:pt>
                <c:pt idx="18">
                  <c:v>0.114</c:v>
                </c:pt>
                <c:pt idx="19">
                  <c:v>0.13100000000000001</c:v>
                </c:pt>
                <c:pt idx="20">
                  <c:v>0.11799999999999999</c:v>
                </c:pt>
                <c:pt idx="21">
                  <c:v>0.121</c:v>
                </c:pt>
                <c:pt idx="22">
                  <c:v>0.111</c:v>
                </c:pt>
                <c:pt idx="23">
                  <c:v>0.11899999999999999</c:v>
                </c:pt>
                <c:pt idx="24">
                  <c:v>0.113</c:v>
                </c:pt>
                <c:pt idx="25">
                  <c:v>0.13100000000000001</c:v>
                </c:pt>
                <c:pt idx="26">
                  <c:v>0.113</c:v>
                </c:pt>
                <c:pt idx="27">
                  <c:v>0.127</c:v>
                </c:pt>
                <c:pt idx="28">
                  <c:v>0.126</c:v>
                </c:pt>
                <c:pt idx="29">
                  <c:v>0.127</c:v>
                </c:pt>
                <c:pt idx="30">
                  <c:v>0.125</c:v>
                </c:pt>
                <c:pt idx="31">
                  <c:v>0.11600000000000001</c:v>
                </c:pt>
                <c:pt idx="32">
                  <c:v>0.109</c:v>
                </c:pt>
                <c:pt idx="33">
                  <c:v>0.111</c:v>
                </c:pt>
                <c:pt idx="34">
                  <c:v>0.115</c:v>
                </c:pt>
                <c:pt idx="35">
                  <c:v>0.13100000000000001</c:v>
                </c:pt>
                <c:pt idx="36">
                  <c:v>0.113</c:v>
                </c:pt>
                <c:pt idx="37">
                  <c:v>0.11799999999999999</c:v>
                </c:pt>
                <c:pt idx="38">
                  <c:v>0.11899999999999999</c:v>
                </c:pt>
                <c:pt idx="39">
                  <c:v>0.125</c:v>
                </c:pt>
                <c:pt idx="40">
                  <c:v>0.13100000000000001</c:v>
                </c:pt>
                <c:pt idx="41">
                  <c:v>0.11</c:v>
                </c:pt>
                <c:pt idx="42">
                  <c:v>0.14199999999999999</c:v>
                </c:pt>
                <c:pt idx="43">
                  <c:v>0.111</c:v>
                </c:pt>
                <c:pt idx="44">
                  <c:v>0.106</c:v>
                </c:pt>
                <c:pt idx="45">
                  <c:v>0.13600000000000001</c:v>
                </c:pt>
                <c:pt idx="46">
                  <c:v>0.113</c:v>
                </c:pt>
                <c:pt idx="47">
                  <c:v>0.115</c:v>
                </c:pt>
                <c:pt idx="48">
                  <c:v>0.122</c:v>
                </c:pt>
                <c:pt idx="49">
                  <c:v>0.13100000000000001</c:v>
                </c:pt>
                <c:pt idx="50">
                  <c:v>0.11899999999999999</c:v>
                </c:pt>
                <c:pt idx="51">
                  <c:v>0.13400000000000001</c:v>
                </c:pt>
                <c:pt idx="52">
                  <c:v>0.129</c:v>
                </c:pt>
                <c:pt idx="53">
                  <c:v>0.14099999999999999</c:v>
                </c:pt>
                <c:pt idx="54">
                  <c:v>0.13300000000000001</c:v>
                </c:pt>
                <c:pt idx="55">
                  <c:v>0.13800000000000001</c:v>
                </c:pt>
                <c:pt idx="56">
                  <c:v>0.13100000000000001</c:v>
                </c:pt>
                <c:pt idx="57">
                  <c:v>0.123</c:v>
                </c:pt>
                <c:pt idx="58">
                  <c:v>0.128</c:v>
                </c:pt>
                <c:pt idx="59">
                  <c:v>0.13100000000000001</c:v>
                </c:pt>
                <c:pt idx="60">
                  <c:v>0.11899999999999999</c:v>
                </c:pt>
                <c:pt idx="61">
                  <c:v>0.128</c:v>
                </c:pt>
                <c:pt idx="62">
                  <c:v>0.113</c:v>
                </c:pt>
                <c:pt idx="63">
                  <c:v>0.122</c:v>
                </c:pt>
                <c:pt idx="64">
                  <c:v>0.11799999999999999</c:v>
                </c:pt>
                <c:pt idx="65">
                  <c:v>0.115</c:v>
                </c:pt>
                <c:pt idx="66">
                  <c:v>0.13200000000000001</c:v>
                </c:pt>
                <c:pt idx="67">
                  <c:v>0.11899999999999999</c:v>
                </c:pt>
                <c:pt idx="68">
                  <c:v>0.11799999999999999</c:v>
                </c:pt>
                <c:pt idx="69">
                  <c:v>0.11700000000000001</c:v>
                </c:pt>
                <c:pt idx="70">
                  <c:v>0.111</c:v>
                </c:pt>
                <c:pt idx="71">
                  <c:v>0.13</c:v>
                </c:pt>
                <c:pt idx="72">
                  <c:v>0.11899999999999999</c:v>
                </c:pt>
                <c:pt idx="73">
                  <c:v>0.11799999999999999</c:v>
                </c:pt>
                <c:pt idx="74">
                  <c:v>0.13500000000000001</c:v>
                </c:pt>
                <c:pt idx="75">
                  <c:v>0.13300000000000001</c:v>
                </c:pt>
                <c:pt idx="76">
                  <c:v>0.11799999999999999</c:v>
                </c:pt>
                <c:pt idx="77">
                  <c:v>0.129</c:v>
                </c:pt>
                <c:pt idx="78">
                  <c:v>0.121</c:v>
                </c:pt>
                <c:pt idx="79">
                  <c:v>0.121</c:v>
                </c:pt>
                <c:pt idx="80">
                  <c:v>0.121</c:v>
                </c:pt>
                <c:pt idx="81">
                  <c:v>0.125</c:v>
                </c:pt>
                <c:pt idx="82">
                  <c:v>0.13600000000000001</c:v>
                </c:pt>
                <c:pt idx="83">
                  <c:v>0.109</c:v>
                </c:pt>
                <c:pt idx="84">
                  <c:v>0.11600000000000001</c:v>
                </c:pt>
                <c:pt idx="85">
                  <c:v>0.158</c:v>
                </c:pt>
                <c:pt idx="86">
                  <c:v>0.114</c:v>
                </c:pt>
                <c:pt idx="87">
                  <c:v>0.114</c:v>
                </c:pt>
                <c:pt idx="88">
                  <c:v>0.13300000000000001</c:v>
                </c:pt>
                <c:pt idx="89">
                  <c:v>0.124</c:v>
                </c:pt>
                <c:pt idx="90">
                  <c:v>0.11799999999999999</c:v>
                </c:pt>
                <c:pt idx="91">
                  <c:v>0.14199999999999999</c:v>
                </c:pt>
                <c:pt idx="92">
                  <c:v>0.107</c:v>
                </c:pt>
                <c:pt idx="93">
                  <c:v>0.107</c:v>
                </c:pt>
                <c:pt idx="94">
                  <c:v>0.13</c:v>
                </c:pt>
                <c:pt idx="95">
                  <c:v>0.13</c:v>
                </c:pt>
                <c:pt idx="96">
                  <c:v>0.11799999999999999</c:v>
                </c:pt>
                <c:pt idx="97">
                  <c:v>0.11600000000000001</c:v>
                </c:pt>
                <c:pt idx="98">
                  <c:v>0.128</c:v>
                </c:pt>
                <c:pt idx="99">
                  <c:v>0.128</c:v>
                </c:pt>
                <c:pt idx="100">
                  <c:v>0.115</c:v>
                </c:pt>
                <c:pt idx="101">
                  <c:v>0.126</c:v>
                </c:pt>
                <c:pt idx="102">
                  <c:v>0.11700000000000001</c:v>
                </c:pt>
              </c:numCache>
            </c:numRef>
          </c:yVal>
          <c:smooth val="0"/>
        </c:ser>
        <c:ser>
          <c:idx val="3"/>
          <c:order val="1"/>
          <c:tx>
            <c:v>IU PBP (medel)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/>
              </a:solidFill>
              <a:ln w="19050">
                <a:solidFill>
                  <a:schemeClr val="tx1"/>
                </a:solidFill>
              </a:ln>
            </c:spPr>
          </c:marker>
          <c:trendline>
            <c:name>Detektor 2 IU (Veckotrend)</c:name>
            <c:spPr>
              <a:ln w="50800" cap="rnd" cmpd="sng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"/>
            <c:dispRSqr val="0"/>
            <c:dispEq val="0"/>
          </c:trendline>
          <c:xVal>
            <c:numRef>
              <c:f>Data!$C$5:$C$107</c:f>
              <c:numCache>
                <c:formatCode>m/d/yyyy</c:formatCode>
                <c:ptCount val="103"/>
                <c:pt idx="0">
                  <c:v>42373</c:v>
                </c:pt>
                <c:pt idx="1">
                  <c:v>42380</c:v>
                </c:pt>
                <c:pt idx="2">
                  <c:v>42382</c:v>
                </c:pt>
                <c:pt idx="3">
                  <c:v>42383</c:v>
                </c:pt>
                <c:pt idx="4">
                  <c:v>42389</c:v>
                </c:pt>
                <c:pt idx="5">
                  <c:v>42390</c:v>
                </c:pt>
                <c:pt idx="6">
                  <c:v>42394</c:v>
                </c:pt>
                <c:pt idx="7">
                  <c:v>42396</c:v>
                </c:pt>
                <c:pt idx="8">
                  <c:v>42397</c:v>
                </c:pt>
                <c:pt idx="9">
                  <c:v>42401</c:v>
                </c:pt>
                <c:pt idx="10">
                  <c:v>42403</c:v>
                </c:pt>
                <c:pt idx="11">
                  <c:v>42404</c:v>
                </c:pt>
                <c:pt idx="12">
                  <c:v>42408</c:v>
                </c:pt>
                <c:pt idx="13">
                  <c:v>42410</c:v>
                </c:pt>
                <c:pt idx="14">
                  <c:v>42411</c:v>
                </c:pt>
                <c:pt idx="15">
                  <c:v>42415</c:v>
                </c:pt>
                <c:pt idx="16">
                  <c:v>42417</c:v>
                </c:pt>
                <c:pt idx="17">
                  <c:v>42418</c:v>
                </c:pt>
                <c:pt idx="18">
                  <c:v>42422</c:v>
                </c:pt>
                <c:pt idx="19">
                  <c:v>42424</c:v>
                </c:pt>
                <c:pt idx="20">
                  <c:v>42425</c:v>
                </c:pt>
                <c:pt idx="21">
                  <c:v>42429</c:v>
                </c:pt>
                <c:pt idx="22">
                  <c:v>42431</c:v>
                </c:pt>
                <c:pt idx="23">
                  <c:v>42432</c:v>
                </c:pt>
                <c:pt idx="24">
                  <c:v>42436</c:v>
                </c:pt>
                <c:pt idx="25">
                  <c:v>42438</c:v>
                </c:pt>
                <c:pt idx="26">
                  <c:v>42439</c:v>
                </c:pt>
                <c:pt idx="27">
                  <c:v>42443</c:v>
                </c:pt>
                <c:pt idx="28">
                  <c:v>42445</c:v>
                </c:pt>
                <c:pt idx="29">
                  <c:v>42446</c:v>
                </c:pt>
                <c:pt idx="30">
                  <c:v>42452</c:v>
                </c:pt>
                <c:pt idx="31">
                  <c:v>42453</c:v>
                </c:pt>
                <c:pt idx="32">
                  <c:v>42459</c:v>
                </c:pt>
                <c:pt idx="33">
                  <c:v>42460</c:v>
                </c:pt>
                <c:pt idx="34">
                  <c:v>42464</c:v>
                </c:pt>
                <c:pt idx="35">
                  <c:v>42473</c:v>
                </c:pt>
                <c:pt idx="36">
                  <c:v>42480</c:v>
                </c:pt>
                <c:pt idx="37">
                  <c:v>42485</c:v>
                </c:pt>
                <c:pt idx="38">
                  <c:v>42487</c:v>
                </c:pt>
                <c:pt idx="39">
                  <c:v>42492</c:v>
                </c:pt>
                <c:pt idx="40">
                  <c:v>42499</c:v>
                </c:pt>
                <c:pt idx="41">
                  <c:v>42501</c:v>
                </c:pt>
                <c:pt idx="42">
                  <c:v>42502</c:v>
                </c:pt>
                <c:pt idx="43">
                  <c:v>42506</c:v>
                </c:pt>
                <c:pt idx="44">
                  <c:v>42508</c:v>
                </c:pt>
                <c:pt idx="45">
                  <c:v>42509</c:v>
                </c:pt>
                <c:pt idx="46">
                  <c:v>42513</c:v>
                </c:pt>
                <c:pt idx="47">
                  <c:v>42515</c:v>
                </c:pt>
                <c:pt idx="48">
                  <c:v>42522</c:v>
                </c:pt>
                <c:pt idx="49">
                  <c:v>42528</c:v>
                </c:pt>
                <c:pt idx="50">
                  <c:v>42530</c:v>
                </c:pt>
                <c:pt idx="51">
                  <c:v>42531</c:v>
                </c:pt>
                <c:pt idx="52">
                  <c:v>42564</c:v>
                </c:pt>
                <c:pt idx="53">
                  <c:v>42565</c:v>
                </c:pt>
                <c:pt idx="54">
                  <c:v>42583</c:v>
                </c:pt>
                <c:pt idx="55">
                  <c:v>42585</c:v>
                </c:pt>
                <c:pt idx="56">
                  <c:v>42586</c:v>
                </c:pt>
                <c:pt idx="57">
                  <c:v>42590</c:v>
                </c:pt>
                <c:pt idx="58">
                  <c:v>42591</c:v>
                </c:pt>
                <c:pt idx="59">
                  <c:v>42592</c:v>
                </c:pt>
                <c:pt idx="60">
                  <c:v>42593</c:v>
                </c:pt>
                <c:pt idx="61">
                  <c:v>42597</c:v>
                </c:pt>
                <c:pt idx="62">
                  <c:v>42599</c:v>
                </c:pt>
                <c:pt idx="63">
                  <c:v>42604</c:v>
                </c:pt>
                <c:pt idx="64">
                  <c:v>42606</c:v>
                </c:pt>
                <c:pt idx="65">
                  <c:v>42607</c:v>
                </c:pt>
                <c:pt idx="66">
                  <c:v>42611</c:v>
                </c:pt>
                <c:pt idx="67">
                  <c:v>42613</c:v>
                </c:pt>
                <c:pt idx="68">
                  <c:v>42614</c:v>
                </c:pt>
                <c:pt idx="69">
                  <c:v>42618</c:v>
                </c:pt>
                <c:pt idx="70">
                  <c:v>42620</c:v>
                </c:pt>
                <c:pt idx="71">
                  <c:v>42625</c:v>
                </c:pt>
                <c:pt idx="72">
                  <c:v>42627</c:v>
                </c:pt>
                <c:pt idx="73">
                  <c:v>42634</c:v>
                </c:pt>
                <c:pt idx="74">
                  <c:v>42639</c:v>
                </c:pt>
                <c:pt idx="75">
                  <c:v>42641</c:v>
                </c:pt>
                <c:pt idx="76">
                  <c:v>42642</c:v>
                </c:pt>
                <c:pt idx="77">
                  <c:v>42646</c:v>
                </c:pt>
                <c:pt idx="78">
                  <c:v>42647</c:v>
                </c:pt>
                <c:pt idx="79">
                  <c:v>42648</c:v>
                </c:pt>
                <c:pt idx="80">
                  <c:v>42653</c:v>
                </c:pt>
                <c:pt idx="81">
                  <c:v>42655</c:v>
                </c:pt>
                <c:pt idx="82">
                  <c:v>42660</c:v>
                </c:pt>
                <c:pt idx="83">
                  <c:v>42662</c:v>
                </c:pt>
                <c:pt idx="84">
                  <c:v>42664</c:v>
                </c:pt>
                <c:pt idx="85">
                  <c:v>42664</c:v>
                </c:pt>
                <c:pt idx="86">
                  <c:v>42664</c:v>
                </c:pt>
                <c:pt idx="87">
                  <c:v>42667</c:v>
                </c:pt>
                <c:pt idx="88">
                  <c:v>42669</c:v>
                </c:pt>
                <c:pt idx="89">
                  <c:v>42670</c:v>
                </c:pt>
                <c:pt idx="90">
                  <c:v>42674</c:v>
                </c:pt>
                <c:pt idx="91">
                  <c:v>42683</c:v>
                </c:pt>
                <c:pt idx="92">
                  <c:v>42688</c:v>
                </c:pt>
                <c:pt idx="93">
                  <c:v>42688</c:v>
                </c:pt>
                <c:pt idx="94">
                  <c:v>42690</c:v>
                </c:pt>
                <c:pt idx="95">
                  <c:v>42690</c:v>
                </c:pt>
                <c:pt idx="96">
                  <c:v>42695</c:v>
                </c:pt>
                <c:pt idx="97">
                  <c:v>42697</c:v>
                </c:pt>
                <c:pt idx="98">
                  <c:v>42698</c:v>
                </c:pt>
                <c:pt idx="99">
                  <c:v>42702</c:v>
                </c:pt>
                <c:pt idx="100">
                  <c:v>42704</c:v>
                </c:pt>
                <c:pt idx="101">
                  <c:v>42709</c:v>
                </c:pt>
                <c:pt idx="102">
                  <c:v>42711</c:v>
                </c:pt>
              </c:numCache>
            </c:numRef>
          </c:xVal>
          <c:yVal>
            <c:numRef>
              <c:f>Data!$HM$5:$HM$107</c:f>
              <c:numCache>
                <c:formatCode>0.000</c:formatCode>
                <c:ptCount val="103"/>
                <c:pt idx="0">
                  <c:v>9.7421052631578964E-2</c:v>
                </c:pt>
                <c:pt idx="1">
                  <c:v>0.10184210526315791</c:v>
                </c:pt>
                <c:pt idx="2">
                  <c:v>9.5736842105263176E-2</c:v>
                </c:pt>
                <c:pt idx="3">
                  <c:v>9.9736842105263165E-2</c:v>
                </c:pt>
                <c:pt idx="4">
                  <c:v>9.7526315789473711E-2</c:v>
                </c:pt>
                <c:pt idx="5">
                  <c:v>9.5789473684210549E-2</c:v>
                </c:pt>
                <c:pt idx="6">
                  <c:v>0.10042105263157894</c:v>
                </c:pt>
                <c:pt idx="7">
                  <c:v>9.7947368421052658E-2</c:v>
                </c:pt>
                <c:pt idx="8">
                  <c:v>0.10284210526315789</c:v>
                </c:pt>
                <c:pt idx="9">
                  <c:v>9.4947368421052641E-2</c:v>
                </c:pt>
                <c:pt idx="10">
                  <c:v>9.7105263157894764E-2</c:v>
                </c:pt>
                <c:pt idx="11">
                  <c:v>0.10036842105263161</c:v>
                </c:pt>
                <c:pt idx="12">
                  <c:v>9.3999999999999986E-2</c:v>
                </c:pt>
                <c:pt idx="13">
                  <c:v>9.5421052631578962E-2</c:v>
                </c:pt>
                <c:pt idx="14">
                  <c:v>9.5789473684210535E-2</c:v>
                </c:pt>
                <c:pt idx="15">
                  <c:v>9.731578947368423E-2</c:v>
                </c:pt>
                <c:pt idx="16">
                  <c:v>9.5842105263157909E-2</c:v>
                </c:pt>
                <c:pt idx="17">
                  <c:v>9.1052631578947385E-2</c:v>
                </c:pt>
                <c:pt idx="18">
                  <c:v>9.5052631578947375E-2</c:v>
                </c:pt>
                <c:pt idx="19">
                  <c:v>9.8157894736842111E-2</c:v>
                </c:pt>
                <c:pt idx="20">
                  <c:v>9.6789473684210522E-2</c:v>
                </c:pt>
                <c:pt idx="21">
                  <c:v>9.7736842105263164E-2</c:v>
                </c:pt>
                <c:pt idx="22">
                  <c:v>9.6684210526315789E-2</c:v>
                </c:pt>
                <c:pt idx="23">
                  <c:v>9.5421052631578962E-2</c:v>
                </c:pt>
                <c:pt idx="24">
                  <c:v>9.6473684210526323E-2</c:v>
                </c:pt>
                <c:pt idx="25">
                  <c:v>9.8736842105263192E-2</c:v>
                </c:pt>
                <c:pt idx="26">
                  <c:v>9.4789473684210535E-2</c:v>
                </c:pt>
                <c:pt idx="27">
                  <c:v>9.6210526315789482E-2</c:v>
                </c:pt>
                <c:pt idx="28">
                  <c:v>9.8684210526315791E-2</c:v>
                </c:pt>
                <c:pt idx="29">
                  <c:v>0.10121052631578946</c:v>
                </c:pt>
                <c:pt idx="30">
                  <c:v>9.9947368421052646E-2</c:v>
                </c:pt>
                <c:pt idx="31">
                  <c:v>9.5789473684210535E-2</c:v>
                </c:pt>
                <c:pt idx="32">
                  <c:v>9.5631578947368415E-2</c:v>
                </c:pt>
                <c:pt idx="33">
                  <c:v>9.742105263157895E-2</c:v>
                </c:pt>
                <c:pt idx="34">
                  <c:v>9.5947368421052656E-2</c:v>
                </c:pt>
                <c:pt idx="35">
                  <c:v>9.6421052631578935E-2</c:v>
                </c:pt>
                <c:pt idx="36">
                  <c:v>9.5947368421052642E-2</c:v>
                </c:pt>
                <c:pt idx="37">
                  <c:v>9.4105263157894747E-2</c:v>
                </c:pt>
                <c:pt idx="38">
                  <c:v>9.9000000000000005E-2</c:v>
                </c:pt>
                <c:pt idx="39">
                  <c:v>0.10010526315789474</c:v>
                </c:pt>
                <c:pt idx="40">
                  <c:v>9.7315789473684217E-2</c:v>
                </c:pt>
                <c:pt idx="41">
                  <c:v>9.3789473684210534E-2</c:v>
                </c:pt>
                <c:pt idx="42">
                  <c:v>9.9315789473684218E-2</c:v>
                </c:pt>
                <c:pt idx="43">
                  <c:v>9.2947368421052626E-2</c:v>
                </c:pt>
                <c:pt idx="44">
                  <c:v>9.5210526315789495E-2</c:v>
                </c:pt>
                <c:pt idx="45">
                  <c:v>9.5894736842105269E-2</c:v>
                </c:pt>
                <c:pt idx="46">
                  <c:v>9.2684210526315799E-2</c:v>
                </c:pt>
                <c:pt idx="47">
                  <c:v>9.710526315789475E-2</c:v>
                </c:pt>
                <c:pt idx="48">
                  <c:v>9.36842105263158E-2</c:v>
                </c:pt>
                <c:pt idx="49">
                  <c:v>0.10363157894736842</c:v>
                </c:pt>
                <c:pt idx="50">
                  <c:v>9.684210526315791E-2</c:v>
                </c:pt>
                <c:pt idx="51">
                  <c:v>0.10057894736842107</c:v>
                </c:pt>
                <c:pt idx="52">
                  <c:v>9.8421052631578951E-2</c:v>
                </c:pt>
                <c:pt idx="53">
                  <c:v>0.10005263157894737</c:v>
                </c:pt>
                <c:pt idx="54">
                  <c:v>0.10115789473684211</c:v>
                </c:pt>
                <c:pt idx="55">
                  <c:v>0.10010526315789474</c:v>
                </c:pt>
                <c:pt idx="56">
                  <c:v>0.10221052631578949</c:v>
                </c:pt>
                <c:pt idx="57">
                  <c:v>9.6315789473684216E-2</c:v>
                </c:pt>
                <c:pt idx="58">
                  <c:v>9.5421052631578948E-2</c:v>
                </c:pt>
                <c:pt idx="59">
                  <c:v>9.799999999999999E-2</c:v>
                </c:pt>
                <c:pt idx="60">
                  <c:v>9.5315789473684229E-2</c:v>
                </c:pt>
                <c:pt idx="61">
                  <c:v>9.8999999999999991E-2</c:v>
                </c:pt>
                <c:pt idx="62">
                  <c:v>9.8315789473684231E-2</c:v>
                </c:pt>
                <c:pt idx="63">
                  <c:v>9.657894736842107E-2</c:v>
                </c:pt>
                <c:pt idx="64">
                  <c:v>9.9526315789473699E-2</c:v>
                </c:pt>
                <c:pt idx="65">
                  <c:v>9.9368421052631592E-2</c:v>
                </c:pt>
                <c:pt idx="66">
                  <c:v>9.9789473684210539E-2</c:v>
                </c:pt>
                <c:pt idx="67">
                  <c:v>9.5263157894736827E-2</c:v>
                </c:pt>
                <c:pt idx="68">
                  <c:v>9.4631578947368428E-2</c:v>
                </c:pt>
                <c:pt idx="69">
                  <c:v>9.7526315789473683E-2</c:v>
                </c:pt>
                <c:pt idx="70">
                  <c:v>9.6947368421052643E-2</c:v>
                </c:pt>
                <c:pt idx="71">
                  <c:v>0.1024736842105263</c:v>
                </c:pt>
                <c:pt idx="72">
                  <c:v>9.7421052631578964E-2</c:v>
                </c:pt>
                <c:pt idx="73">
                  <c:v>9.347368421052632E-2</c:v>
                </c:pt>
                <c:pt idx="74">
                  <c:v>9.9473684210526325E-2</c:v>
                </c:pt>
                <c:pt idx="75">
                  <c:v>9.7000000000000003E-2</c:v>
                </c:pt>
                <c:pt idx="76">
                  <c:v>9.8105263157894737E-2</c:v>
                </c:pt>
                <c:pt idx="77">
                  <c:v>9.5105263157894762E-2</c:v>
                </c:pt>
                <c:pt idx="78">
                  <c:v>9.9315789473684205E-2</c:v>
                </c:pt>
                <c:pt idx="79">
                  <c:v>9.6315789473684202E-2</c:v>
                </c:pt>
                <c:pt idx="80">
                  <c:v>9.7947368421052658E-2</c:v>
                </c:pt>
                <c:pt idx="81">
                  <c:v>0.10110526315789475</c:v>
                </c:pt>
                <c:pt idx="82">
                  <c:v>9.8526315789473684E-2</c:v>
                </c:pt>
                <c:pt idx="83">
                  <c:v>9.2315789473684198E-2</c:v>
                </c:pt>
                <c:pt idx="84">
                  <c:v>9.6947368421052657E-2</c:v>
                </c:pt>
                <c:pt idx="85">
                  <c:v>0.10105263157894737</c:v>
                </c:pt>
                <c:pt idx="86">
                  <c:v>9.6052631578947376E-2</c:v>
                </c:pt>
                <c:pt idx="87">
                  <c:v>9.6000000000000016E-2</c:v>
                </c:pt>
                <c:pt idx="88">
                  <c:v>0.10094736842105263</c:v>
                </c:pt>
                <c:pt idx="89">
                  <c:v>9.8842105263157898E-2</c:v>
                </c:pt>
                <c:pt idx="90">
                  <c:v>9.6263157894736856E-2</c:v>
                </c:pt>
                <c:pt idx="91">
                  <c:v>0.10052631578947367</c:v>
                </c:pt>
                <c:pt idx="92">
                  <c:v>9.768421052631579E-2</c:v>
                </c:pt>
                <c:pt idx="93">
                  <c:v>9.768421052631579E-2</c:v>
                </c:pt>
                <c:pt idx="94">
                  <c:v>9.7631578947368444E-2</c:v>
                </c:pt>
                <c:pt idx="95">
                  <c:v>9.7631578947368444E-2</c:v>
                </c:pt>
                <c:pt idx="96">
                  <c:v>0.10073684210526319</c:v>
                </c:pt>
                <c:pt idx="97">
                  <c:v>9.3684210526315828E-2</c:v>
                </c:pt>
                <c:pt idx="98">
                  <c:v>0.10384210526315789</c:v>
                </c:pt>
                <c:pt idx="99">
                  <c:v>9.9631578947368446E-2</c:v>
                </c:pt>
                <c:pt idx="100">
                  <c:v>9.6052631578947389E-2</c:v>
                </c:pt>
                <c:pt idx="101">
                  <c:v>0.10126315789473687</c:v>
                </c:pt>
                <c:pt idx="102">
                  <c:v>9.7947368421052658E-2</c:v>
                </c:pt>
              </c:numCache>
            </c:numRef>
          </c:yVal>
          <c:smooth val="0"/>
        </c:ser>
        <c:ser>
          <c:idx val="1"/>
          <c:order val="2"/>
          <c:tx>
            <c:v>Åtgärdsnivå IU PBP</c:v>
          </c:tx>
          <c:spPr>
            <a:ln w="38100">
              <a:solidFill>
                <a:schemeClr val="tx1"/>
              </a:solidFill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Övrigt!$G$20:$G$21</c:f>
              <c:numCache>
                <c:formatCode>m/d/yyyy</c:formatCode>
                <c:ptCount val="2"/>
                <c:pt idx="0">
                  <c:v>42620</c:v>
                </c:pt>
                <c:pt idx="1">
                  <c:v>42711</c:v>
                </c:pt>
              </c:numCache>
            </c:numRef>
          </c:xVal>
          <c:yVal>
            <c:numRef>
              <c:f>Övrigt!$H$20:$H$21</c:f>
              <c:numCache>
                <c:formatCode>General</c:formatCode>
                <c:ptCount val="2"/>
                <c:pt idx="0">
                  <c:v>0.15</c:v>
                </c:pt>
                <c:pt idx="1">
                  <c:v>0.15</c:v>
                </c:pt>
              </c:numCache>
            </c:numRef>
          </c:yVal>
          <c:smooth val="0"/>
        </c:ser>
        <c:ser>
          <c:idx val="4"/>
          <c:order val="3"/>
          <c:tx>
            <c:v>IU GE (max)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chemeClr val="accent1"/>
              </a:solidFill>
              <a:ln w="19050">
                <a:solidFill>
                  <a:schemeClr val="tx1"/>
                </a:solidFill>
              </a:ln>
            </c:spPr>
          </c:marker>
          <c:trendline>
            <c:spPr>
              <a:ln w="50800">
                <a:solidFill>
                  <a:schemeClr val="accent1"/>
                </a:solidFill>
              </a:ln>
            </c:spPr>
            <c:trendlineType val="movingAvg"/>
            <c:period val="5"/>
            <c:dispRSqr val="0"/>
            <c:dispEq val="0"/>
          </c:trendline>
          <c:xVal>
            <c:numRef>
              <c:f>Data!$C$5:$C$107</c:f>
              <c:numCache>
                <c:formatCode>m/d/yyyy</c:formatCode>
                <c:ptCount val="103"/>
                <c:pt idx="0">
                  <c:v>42373</c:v>
                </c:pt>
                <c:pt idx="1">
                  <c:v>42380</c:v>
                </c:pt>
                <c:pt idx="2">
                  <c:v>42382</c:v>
                </c:pt>
                <c:pt idx="3">
                  <c:v>42383</c:v>
                </c:pt>
                <c:pt idx="4">
                  <c:v>42389</c:v>
                </c:pt>
                <c:pt idx="5">
                  <c:v>42390</c:v>
                </c:pt>
                <c:pt idx="6">
                  <c:v>42394</c:v>
                </c:pt>
                <c:pt idx="7">
                  <c:v>42396</c:v>
                </c:pt>
                <c:pt idx="8">
                  <c:v>42397</c:v>
                </c:pt>
                <c:pt idx="9">
                  <c:v>42401</c:v>
                </c:pt>
                <c:pt idx="10">
                  <c:v>42403</c:v>
                </c:pt>
                <c:pt idx="11">
                  <c:v>42404</c:v>
                </c:pt>
                <c:pt idx="12">
                  <c:v>42408</c:v>
                </c:pt>
                <c:pt idx="13">
                  <c:v>42410</c:v>
                </c:pt>
                <c:pt idx="14">
                  <c:v>42411</c:v>
                </c:pt>
                <c:pt idx="15">
                  <c:v>42415</c:v>
                </c:pt>
                <c:pt idx="16">
                  <c:v>42417</c:v>
                </c:pt>
                <c:pt idx="17">
                  <c:v>42418</c:v>
                </c:pt>
                <c:pt idx="18">
                  <c:v>42422</c:v>
                </c:pt>
                <c:pt idx="19">
                  <c:v>42424</c:v>
                </c:pt>
                <c:pt idx="20">
                  <c:v>42425</c:v>
                </c:pt>
                <c:pt idx="21">
                  <c:v>42429</c:v>
                </c:pt>
                <c:pt idx="22">
                  <c:v>42431</c:v>
                </c:pt>
                <c:pt idx="23">
                  <c:v>42432</c:v>
                </c:pt>
                <c:pt idx="24">
                  <c:v>42436</c:v>
                </c:pt>
                <c:pt idx="25">
                  <c:v>42438</c:v>
                </c:pt>
                <c:pt idx="26">
                  <c:v>42439</c:v>
                </c:pt>
                <c:pt idx="27">
                  <c:v>42443</c:v>
                </c:pt>
                <c:pt idx="28">
                  <c:v>42445</c:v>
                </c:pt>
                <c:pt idx="29">
                  <c:v>42446</c:v>
                </c:pt>
                <c:pt idx="30">
                  <c:v>42452</c:v>
                </c:pt>
                <c:pt idx="31">
                  <c:v>42453</c:v>
                </c:pt>
                <c:pt idx="32">
                  <c:v>42459</c:v>
                </c:pt>
                <c:pt idx="33">
                  <c:v>42460</c:v>
                </c:pt>
                <c:pt idx="34">
                  <c:v>42464</c:v>
                </c:pt>
                <c:pt idx="35">
                  <c:v>42473</c:v>
                </c:pt>
                <c:pt idx="36">
                  <c:v>42480</c:v>
                </c:pt>
                <c:pt idx="37">
                  <c:v>42485</c:v>
                </c:pt>
                <c:pt idx="38">
                  <c:v>42487</c:v>
                </c:pt>
                <c:pt idx="39">
                  <c:v>42492</c:v>
                </c:pt>
                <c:pt idx="40">
                  <c:v>42499</c:v>
                </c:pt>
                <c:pt idx="41">
                  <c:v>42501</c:v>
                </c:pt>
                <c:pt idx="42">
                  <c:v>42502</c:v>
                </c:pt>
                <c:pt idx="43">
                  <c:v>42506</c:v>
                </c:pt>
                <c:pt idx="44">
                  <c:v>42508</c:v>
                </c:pt>
                <c:pt idx="45">
                  <c:v>42509</c:v>
                </c:pt>
                <c:pt idx="46">
                  <c:v>42513</c:v>
                </c:pt>
                <c:pt idx="47">
                  <c:v>42515</c:v>
                </c:pt>
                <c:pt idx="48">
                  <c:v>42522</c:v>
                </c:pt>
                <c:pt idx="49">
                  <c:v>42528</c:v>
                </c:pt>
                <c:pt idx="50">
                  <c:v>42530</c:v>
                </c:pt>
                <c:pt idx="51">
                  <c:v>42531</c:v>
                </c:pt>
                <c:pt idx="52">
                  <c:v>42564</c:v>
                </c:pt>
                <c:pt idx="53">
                  <c:v>42565</c:v>
                </c:pt>
                <c:pt idx="54">
                  <c:v>42583</c:v>
                </c:pt>
                <c:pt idx="55">
                  <c:v>42585</c:v>
                </c:pt>
                <c:pt idx="56">
                  <c:v>42586</c:v>
                </c:pt>
                <c:pt idx="57">
                  <c:v>42590</c:v>
                </c:pt>
                <c:pt idx="58">
                  <c:v>42591</c:v>
                </c:pt>
                <c:pt idx="59">
                  <c:v>42592</c:v>
                </c:pt>
                <c:pt idx="60">
                  <c:v>42593</c:v>
                </c:pt>
                <c:pt idx="61">
                  <c:v>42597</c:v>
                </c:pt>
                <c:pt idx="62">
                  <c:v>42599</c:v>
                </c:pt>
                <c:pt idx="63">
                  <c:v>42604</c:v>
                </c:pt>
                <c:pt idx="64">
                  <c:v>42606</c:v>
                </c:pt>
                <c:pt idx="65">
                  <c:v>42607</c:v>
                </c:pt>
                <c:pt idx="66">
                  <c:v>42611</c:v>
                </c:pt>
                <c:pt idx="67">
                  <c:v>42613</c:v>
                </c:pt>
                <c:pt idx="68">
                  <c:v>42614</c:v>
                </c:pt>
                <c:pt idx="69">
                  <c:v>42618</c:v>
                </c:pt>
                <c:pt idx="70">
                  <c:v>42620</c:v>
                </c:pt>
                <c:pt idx="71">
                  <c:v>42625</c:v>
                </c:pt>
                <c:pt idx="72">
                  <c:v>42627</c:v>
                </c:pt>
                <c:pt idx="73">
                  <c:v>42634</c:v>
                </c:pt>
                <c:pt idx="74">
                  <c:v>42639</c:v>
                </c:pt>
                <c:pt idx="75">
                  <c:v>42641</c:v>
                </c:pt>
                <c:pt idx="76">
                  <c:v>42642</c:v>
                </c:pt>
                <c:pt idx="77">
                  <c:v>42646</c:v>
                </c:pt>
                <c:pt idx="78">
                  <c:v>42647</c:v>
                </c:pt>
                <c:pt idx="79">
                  <c:v>42648</c:v>
                </c:pt>
                <c:pt idx="80">
                  <c:v>42653</c:v>
                </c:pt>
                <c:pt idx="81">
                  <c:v>42655</c:v>
                </c:pt>
                <c:pt idx="82">
                  <c:v>42660</c:v>
                </c:pt>
                <c:pt idx="83">
                  <c:v>42662</c:v>
                </c:pt>
                <c:pt idx="84">
                  <c:v>42664</c:v>
                </c:pt>
                <c:pt idx="85">
                  <c:v>42664</c:v>
                </c:pt>
                <c:pt idx="86">
                  <c:v>42664</c:v>
                </c:pt>
                <c:pt idx="87">
                  <c:v>42667</c:v>
                </c:pt>
                <c:pt idx="88">
                  <c:v>42669</c:v>
                </c:pt>
                <c:pt idx="89">
                  <c:v>42670</c:v>
                </c:pt>
                <c:pt idx="90">
                  <c:v>42674</c:v>
                </c:pt>
                <c:pt idx="91">
                  <c:v>42683</c:v>
                </c:pt>
                <c:pt idx="92">
                  <c:v>42688</c:v>
                </c:pt>
                <c:pt idx="93">
                  <c:v>42688</c:v>
                </c:pt>
                <c:pt idx="94">
                  <c:v>42690</c:v>
                </c:pt>
                <c:pt idx="95">
                  <c:v>42690</c:v>
                </c:pt>
                <c:pt idx="96">
                  <c:v>42695</c:v>
                </c:pt>
                <c:pt idx="97">
                  <c:v>42697</c:v>
                </c:pt>
                <c:pt idx="98">
                  <c:v>42698</c:v>
                </c:pt>
                <c:pt idx="99">
                  <c:v>42702</c:v>
                </c:pt>
                <c:pt idx="100">
                  <c:v>42704</c:v>
                </c:pt>
                <c:pt idx="101">
                  <c:v>42709</c:v>
                </c:pt>
                <c:pt idx="102">
                  <c:v>42711</c:v>
                </c:pt>
              </c:numCache>
            </c:numRef>
          </c:xVal>
          <c:yVal>
            <c:numRef>
              <c:f>Data!$HN$5:$HN$107</c:f>
              <c:numCache>
                <c:formatCode>0.000</c:formatCode>
                <c:ptCount val="103"/>
                <c:pt idx="0">
                  <c:v>4.9000000000000002E-2</c:v>
                </c:pt>
                <c:pt idx="1">
                  <c:v>5.8999999999999997E-2</c:v>
                </c:pt>
                <c:pt idx="2">
                  <c:v>6.0999999999999999E-2</c:v>
                </c:pt>
                <c:pt idx="3">
                  <c:v>5.0999999999999997E-2</c:v>
                </c:pt>
                <c:pt idx="4">
                  <c:v>6.8000000000000005E-2</c:v>
                </c:pt>
                <c:pt idx="5">
                  <c:v>5.5E-2</c:v>
                </c:pt>
                <c:pt idx="6">
                  <c:v>5.6000000000000001E-2</c:v>
                </c:pt>
                <c:pt idx="7">
                  <c:v>5.1999999999999998E-2</c:v>
                </c:pt>
                <c:pt idx="8">
                  <c:v>6.8000000000000005E-2</c:v>
                </c:pt>
                <c:pt idx="9">
                  <c:v>5.1999999999999998E-2</c:v>
                </c:pt>
                <c:pt idx="10">
                  <c:v>5.8999999999999997E-2</c:v>
                </c:pt>
                <c:pt idx="11">
                  <c:v>5.2999999999999999E-2</c:v>
                </c:pt>
                <c:pt idx="12">
                  <c:v>6.6000000000000003E-2</c:v>
                </c:pt>
                <c:pt idx="13">
                  <c:v>5.3999999999999999E-2</c:v>
                </c:pt>
                <c:pt idx="14">
                  <c:v>5.5E-2</c:v>
                </c:pt>
                <c:pt idx="15">
                  <c:v>5.5E-2</c:v>
                </c:pt>
                <c:pt idx="16">
                  <c:v>5.8999999999999997E-2</c:v>
                </c:pt>
                <c:pt idx="17">
                  <c:v>5.1999999999999998E-2</c:v>
                </c:pt>
                <c:pt idx="18">
                  <c:v>5.7000000000000002E-2</c:v>
                </c:pt>
                <c:pt idx="19">
                  <c:v>4.9000000000000002E-2</c:v>
                </c:pt>
                <c:pt idx="20">
                  <c:v>5.2999999999999999E-2</c:v>
                </c:pt>
                <c:pt idx="21">
                  <c:v>5.8000000000000003E-2</c:v>
                </c:pt>
                <c:pt idx="22">
                  <c:v>5.2999999999999999E-2</c:v>
                </c:pt>
                <c:pt idx="23">
                  <c:v>5.1999999999999998E-2</c:v>
                </c:pt>
                <c:pt idx="24">
                  <c:v>0.05</c:v>
                </c:pt>
                <c:pt idx="25">
                  <c:v>6.4000000000000001E-2</c:v>
                </c:pt>
                <c:pt idx="26">
                  <c:v>5.1999999999999998E-2</c:v>
                </c:pt>
                <c:pt idx="27">
                  <c:v>6.3E-2</c:v>
                </c:pt>
                <c:pt idx="28">
                  <c:v>5.7000000000000002E-2</c:v>
                </c:pt>
                <c:pt idx="29">
                  <c:v>5.7000000000000002E-2</c:v>
                </c:pt>
                <c:pt idx="30">
                  <c:v>5.2999999999999999E-2</c:v>
                </c:pt>
                <c:pt idx="31">
                  <c:v>5.0999999999999997E-2</c:v>
                </c:pt>
                <c:pt idx="32">
                  <c:v>5.0999999999999997E-2</c:v>
                </c:pt>
                <c:pt idx="33">
                  <c:v>5.0999999999999997E-2</c:v>
                </c:pt>
                <c:pt idx="34">
                  <c:v>4.9000000000000002E-2</c:v>
                </c:pt>
                <c:pt idx="35">
                  <c:v>5.3999999999999999E-2</c:v>
                </c:pt>
                <c:pt idx="36">
                  <c:v>5.7000000000000002E-2</c:v>
                </c:pt>
                <c:pt idx="37">
                  <c:v>6.5000000000000002E-2</c:v>
                </c:pt>
                <c:pt idx="38">
                  <c:v>5.3999999999999999E-2</c:v>
                </c:pt>
                <c:pt idx="39">
                  <c:v>5.1999999999999998E-2</c:v>
                </c:pt>
                <c:pt idx="40">
                  <c:v>5.3999999999999999E-2</c:v>
                </c:pt>
                <c:pt idx="41">
                  <c:v>5.0999999999999997E-2</c:v>
                </c:pt>
                <c:pt idx="42">
                  <c:v>6.2E-2</c:v>
                </c:pt>
                <c:pt idx="43">
                  <c:v>5.6000000000000001E-2</c:v>
                </c:pt>
                <c:pt idx="44">
                  <c:v>5.5E-2</c:v>
                </c:pt>
                <c:pt idx="45">
                  <c:v>0.05</c:v>
                </c:pt>
                <c:pt idx="46">
                  <c:v>5.7000000000000002E-2</c:v>
                </c:pt>
                <c:pt idx="47">
                  <c:v>5.0999999999999997E-2</c:v>
                </c:pt>
                <c:pt idx="48">
                  <c:v>6.7000000000000004E-2</c:v>
                </c:pt>
                <c:pt idx="49">
                  <c:v>6.2E-2</c:v>
                </c:pt>
                <c:pt idx="50">
                  <c:v>4.7E-2</c:v>
                </c:pt>
                <c:pt idx="51">
                  <c:v>0.05</c:v>
                </c:pt>
                <c:pt idx="52">
                  <c:v>4.4999999999999998E-2</c:v>
                </c:pt>
                <c:pt idx="53">
                  <c:v>6.7000000000000004E-2</c:v>
                </c:pt>
                <c:pt idx="54">
                  <c:v>8.3000000000000004E-2</c:v>
                </c:pt>
                <c:pt idx="55">
                  <c:v>8.1000000000000003E-2</c:v>
                </c:pt>
                <c:pt idx="56">
                  <c:v>8.1000000000000003E-2</c:v>
                </c:pt>
                <c:pt idx="57">
                  <c:v>7.0000000000000007E-2</c:v>
                </c:pt>
                <c:pt idx="58">
                  <c:v>5.8000000000000003E-2</c:v>
                </c:pt>
                <c:pt idx="59">
                  <c:v>4.8000000000000001E-2</c:v>
                </c:pt>
                <c:pt idx="60">
                  <c:v>7.2999999999999995E-2</c:v>
                </c:pt>
                <c:pt idx="61">
                  <c:v>6.6000000000000003E-2</c:v>
                </c:pt>
                <c:pt idx="62">
                  <c:v>5.6000000000000001E-2</c:v>
                </c:pt>
                <c:pt idx="63">
                  <c:v>0.06</c:v>
                </c:pt>
                <c:pt idx="64">
                  <c:v>7.9000000000000001E-2</c:v>
                </c:pt>
                <c:pt idx="65">
                  <c:v>7.4999999999999997E-2</c:v>
                </c:pt>
                <c:pt idx="66">
                  <c:v>5.0999999999999997E-2</c:v>
                </c:pt>
                <c:pt idx="67">
                  <c:v>4.9000000000000002E-2</c:v>
                </c:pt>
                <c:pt idx="68">
                  <c:v>6.0999999999999999E-2</c:v>
                </c:pt>
                <c:pt idx="69">
                  <c:v>5.1999999999999998E-2</c:v>
                </c:pt>
                <c:pt idx="70">
                  <c:v>0.06</c:v>
                </c:pt>
                <c:pt idx="71">
                  <c:v>5.1999999999999998E-2</c:v>
                </c:pt>
                <c:pt idx="72">
                  <c:v>5.3999999999999999E-2</c:v>
                </c:pt>
                <c:pt idx="73">
                  <c:v>4.7E-2</c:v>
                </c:pt>
                <c:pt idx="74">
                  <c:v>8.5000000000000006E-2</c:v>
                </c:pt>
                <c:pt idx="75">
                  <c:v>5.6000000000000001E-2</c:v>
                </c:pt>
                <c:pt idx="76">
                  <c:v>4.8000000000000001E-2</c:v>
                </c:pt>
                <c:pt idx="77">
                  <c:v>5.7000000000000002E-2</c:v>
                </c:pt>
                <c:pt idx="78">
                  <c:v>7.0000000000000007E-2</c:v>
                </c:pt>
                <c:pt idx="79">
                  <c:v>5.2999999999999999E-2</c:v>
                </c:pt>
                <c:pt idx="80">
                  <c:v>5.2999999999999999E-2</c:v>
                </c:pt>
                <c:pt idx="81">
                  <c:v>5.6000000000000001E-2</c:v>
                </c:pt>
                <c:pt idx="82">
                  <c:v>7.8E-2</c:v>
                </c:pt>
                <c:pt idx="83">
                  <c:v>5.2999999999999999E-2</c:v>
                </c:pt>
                <c:pt idx="84">
                  <c:v>5.6000000000000001E-2</c:v>
                </c:pt>
                <c:pt idx="85">
                  <c:v>8.3000000000000004E-2</c:v>
                </c:pt>
                <c:pt idx="86">
                  <c:v>4.9000000000000002E-2</c:v>
                </c:pt>
                <c:pt idx="87">
                  <c:v>5.5E-2</c:v>
                </c:pt>
                <c:pt idx="88">
                  <c:v>5.3999999999999999E-2</c:v>
                </c:pt>
                <c:pt idx="89">
                  <c:v>6.2E-2</c:v>
                </c:pt>
                <c:pt idx="90">
                  <c:v>0.06</c:v>
                </c:pt>
                <c:pt idx="91">
                  <c:v>5.3999999999999999E-2</c:v>
                </c:pt>
                <c:pt idx="92">
                  <c:v>5.6000000000000001E-2</c:v>
                </c:pt>
                <c:pt idx="93">
                  <c:v>5.6000000000000001E-2</c:v>
                </c:pt>
                <c:pt idx="94">
                  <c:v>9.1999999999999998E-2</c:v>
                </c:pt>
                <c:pt idx="95">
                  <c:v>9.1999999999999998E-2</c:v>
                </c:pt>
                <c:pt idx="96">
                  <c:v>5.6000000000000001E-2</c:v>
                </c:pt>
                <c:pt idx="97">
                  <c:v>5.2999999999999999E-2</c:v>
                </c:pt>
                <c:pt idx="98">
                  <c:v>7.3999999999999996E-2</c:v>
                </c:pt>
                <c:pt idx="99">
                  <c:v>5.2999999999999999E-2</c:v>
                </c:pt>
                <c:pt idx="100">
                  <c:v>5.8000000000000003E-2</c:v>
                </c:pt>
                <c:pt idx="101">
                  <c:v>6.7000000000000004E-2</c:v>
                </c:pt>
                <c:pt idx="102">
                  <c:v>5.0999999999999997E-2</c:v>
                </c:pt>
              </c:numCache>
            </c:numRef>
          </c:yVal>
          <c:smooth val="0"/>
        </c:ser>
        <c:ser>
          <c:idx val="2"/>
          <c:order val="4"/>
          <c:tx>
            <c:v>IU GE (medel)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chemeClr val="accent2"/>
              </a:solidFill>
              <a:ln w="19050">
                <a:solidFill>
                  <a:schemeClr val="tx1"/>
                </a:solidFill>
              </a:ln>
            </c:spPr>
          </c:marker>
          <c:trendline>
            <c:spPr>
              <a:ln w="50800">
                <a:solidFill>
                  <a:schemeClr val="accent2"/>
                </a:solidFill>
              </a:ln>
            </c:spPr>
            <c:trendlineType val="movingAvg"/>
            <c:period val="5"/>
            <c:dispRSqr val="0"/>
            <c:dispEq val="0"/>
          </c:trendline>
          <c:xVal>
            <c:numRef>
              <c:f>Data!$C$5:$C$107</c:f>
              <c:numCache>
                <c:formatCode>m/d/yyyy</c:formatCode>
                <c:ptCount val="103"/>
                <c:pt idx="0">
                  <c:v>42373</c:v>
                </c:pt>
                <c:pt idx="1">
                  <c:v>42380</c:v>
                </c:pt>
                <c:pt idx="2">
                  <c:v>42382</c:v>
                </c:pt>
                <c:pt idx="3">
                  <c:v>42383</c:v>
                </c:pt>
                <c:pt idx="4">
                  <c:v>42389</c:v>
                </c:pt>
                <c:pt idx="5">
                  <c:v>42390</c:v>
                </c:pt>
                <c:pt idx="6">
                  <c:v>42394</c:v>
                </c:pt>
                <c:pt idx="7">
                  <c:v>42396</c:v>
                </c:pt>
                <c:pt idx="8">
                  <c:v>42397</c:v>
                </c:pt>
                <c:pt idx="9">
                  <c:v>42401</c:v>
                </c:pt>
                <c:pt idx="10">
                  <c:v>42403</c:v>
                </c:pt>
                <c:pt idx="11">
                  <c:v>42404</c:v>
                </c:pt>
                <c:pt idx="12">
                  <c:v>42408</c:v>
                </c:pt>
                <c:pt idx="13">
                  <c:v>42410</c:v>
                </c:pt>
                <c:pt idx="14">
                  <c:v>42411</c:v>
                </c:pt>
                <c:pt idx="15">
                  <c:v>42415</c:v>
                </c:pt>
                <c:pt idx="16">
                  <c:v>42417</c:v>
                </c:pt>
                <c:pt idx="17">
                  <c:v>42418</c:v>
                </c:pt>
                <c:pt idx="18">
                  <c:v>42422</c:v>
                </c:pt>
                <c:pt idx="19">
                  <c:v>42424</c:v>
                </c:pt>
                <c:pt idx="20">
                  <c:v>42425</c:v>
                </c:pt>
                <c:pt idx="21">
                  <c:v>42429</c:v>
                </c:pt>
                <c:pt idx="22">
                  <c:v>42431</c:v>
                </c:pt>
                <c:pt idx="23">
                  <c:v>42432</c:v>
                </c:pt>
                <c:pt idx="24">
                  <c:v>42436</c:v>
                </c:pt>
                <c:pt idx="25">
                  <c:v>42438</c:v>
                </c:pt>
                <c:pt idx="26">
                  <c:v>42439</c:v>
                </c:pt>
                <c:pt idx="27">
                  <c:v>42443</c:v>
                </c:pt>
                <c:pt idx="28">
                  <c:v>42445</c:v>
                </c:pt>
                <c:pt idx="29">
                  <c:v>42446</c:v>
                </c:pt>
                <c:pt idx="30">
                  <c:v>42452</c:v>
                </c:pt>
                <c:pt idx="31">
                  <c:v>42453</c:v>
                </c:pt>
                <c:pt idx="32">
                  <c:v>42459</c:v>
                </c:pt>
                <c:pt idx="33">
                  <c:v>42460</c:v>
                </c:pt>
                <c:pt idx="34">
                  <c:v>42464</c:v>
                </c:pt>
                <c:pt idx="35">
                  <c:v>42473</c:v>
                </c:pt>
                <c:pt idx="36">
                  <c:v>42480</c:v>
                </c:pt>
                <c:pt idx="37">
                  <c:v>42485</c:v>
                </c:pt>
                <c:pt idx="38">
                  <c:v>42487</c:v>
                </c:pt>
                <c:pt idx="39">
                  <c:v>42492</c:v>
                </c:pt>
                <c:pt idx="40">
                  <c:v>42499</c:v>
                </c:pt>
                <c:pt idx="41">
                  <c:v>42501</c:v>
                </c:pt>
                <c:pt idx="42">
                  <c:v>42502</c:v>
                </c:pt>
                <c:pt idx="43">
                  <c:v>42506</c:v>
                </c:pt>
                <c:pt idx="44">
                  <c:v>42508</c:v>
                </c:pt>
                <c:pt idx="45">
                  <c:v>42509</c:v>
                </c:pt>
                <c:pt idx="46">
                  <c:v>42513</c:v>
                </c:pt>
                <c:pt idx="47">
                  <c:v>42515</c:v>
                </c:pt>
                <c:pt idx="48">
                  <c:v>42522</c:v>
                </c:pt>
                <c:pt idx="49">
                  <c:v>42528</c:v>
                </c:pt>
                <c:pt idx="50">
                  <c:v>42530</c:v>
                </c:pt>
                <c:pt idx="51">
                  <c:v>42531</c:v>
                </c:pt>
                <c:pt idx="52">
                  <c:v>42564</c:v>
                </c:pt>
                <c:pt idx="53">
                  <c:v>42565</c:v>
                </c:pt>
                <c:pt idx="54">
                  <c:v>42583</c:v>
                </c:pt>
                <c:pt idx="55">
                  <c:v>42585</c:v>
                </c:pt>
                <c:pt idx="56">
                  <c:v>42586</c:v>
                </c:pt>
                <c:pt idx="57">
                  <c:v>42590</c:v>
                </c:pt>
                <c:pt idx="58">
                  <c:v>42591</c:v>
                </c:pt>
                <c:pt idx="59">
                  <c:v>42592</c:v>
                </c:pt>
                <c:pt idx="60">
                  <c:v>42593</c:v>
                </c:pt>
                <c:pt idx="61">
                  <c:v>42597</c:v>
                </c:pt>
                <c:pt idx="62">
                  <c:v>42599</c:v>
                </c:pt>
                <c:pt idx="63">
                  <c:v>42604</c:v>
                </c:pt>
                <c:pt idx="64">
                  <c:v>42606</c:v>
                </c:pt>
                <c:pt idx="65">
                  <c:v>42607</c:v>
                </c:pt>
                <c:pt idx="66">
                  <c:v>42611</c:v>
                </c:pt>
                <c:pt idx="67">
                  <c:v>42613</c:v>
                </c:pt>
                <c:pt idx="68">
                  <c:v>42614</c:v>
                </c:pt>
                <c:pt idx="69">
                  <c:v>42618</c:v>
                </c:pt>
                <c:pt idx="70">
                  <c:v>42620</c:v>
                </c:pt>
                <c:pt idx="71">
                  <c:v>42625</c:v>
                </c:pt>
                <c:pt idx="72">
                  <c:v>42627</c:v>
                </c:pt>
                <c:pt idx="73">
                  <c:v>42634</c:v>
                </c:pt>
                <c:pt idx="74">
                  <c:v>42639</c:v>
                </c:pt>
                <c:pt idx="75">
                  <c:v>42641</c:v>
                </c:pt>
                <c:pt idx="76">
                  <c:v>42642</c:v>
                </c:pt>
                <c:pt idx="77">
                  <c:v>42646</c:v>
                </c:pt>
                <c:pt idx="78">
                  <c:v>42647</c:v>
                </c:pt>
                <c:pt idx="79">
                  <c:v>42648</c:v>
                </c:pt>
                <c:pt idx="80">
                  <c:v>42653</c:v>
                </c:pt>
                <c:pt idx="81">
                  <c:v>42655</c:v>
                </c:pt>
                <c:pt idx="82">
                  <c:v>42660</c:v>
                </c:pt>
                <c:pt idx="83">
                  <c:v>42662</c:v>
                </c:pt>
                <c:pt idx="84">
                  <c:v>42664</c:v>
                </c:pt>
                <c:pt idx="85">
                  <c:v>42664</c:v>
                </c:pt>
                <c:pt idx="86">
                  <c:v>42664</c:v>
                </c:pt>
                <c:pt idx="87">
                  <c:v>42667</c:v>
                </c:pt>
                <c:pt idx="88">
                  <c:v>42669</c:v>
                </c:pt>
                <c:pt idx="89">
                  <c:v>42670</c:v>
                </c:pt>
                <c:pt idx="90">
                  <c:v>42674</c:v>
                </c:pt>
                <c:pt idx="91">
                  <c:v>42683</c:v>
                </c:pt>
                <c:pt idx="92">
                  <c:v>42688</c:v>
                </c:pt>
                <c:pt idx="93">
                  <c:v>42688</c:v>
                </c:pt>
                <c:pt idx="94">
                  <c:v>42690</c:v>
                </c:pt>
                <c:pt idx="95">
                  <c:v>42690</c:v>
                </c:pt>
                <c:pt idx="96">
                  <c:v>42695</c:v>
                </c:pt>
                <c:pt idx="97">
                  <c:v>42697</c:v>
                </c:pt>
                <c:pt idx="98">
                  <c:v>42698</c:v>
                </c:pt>
                <c:pt idx="99">
                  <c:v>42702</c:v>
                </c:pt>
                <c:pt idx="100">
                  <c:v>42704</c:v>
                </c:pt>
                <c:pt idx="101">
                  <c:v>42709</c:v>
                </c:pt>
                <c:pt idx="102">
                  <c:v>42711</c:v>
                </c:pt>
              </c:numCache>
            </c:numRef>
          </c:xVal>
          <c:yVal>
            <c:numRef>
              <c:f>Data!$HO$5:$HO$107</c:f>
              <c:numCache>
                <c:formatCode>0.000</c:formatCode>
                <c:ptCount val="103"/>
                <c:pt idx="0">
                  <c:v>4.1631578947368429E-2</c:v>
                </c:pt>
                <c:pt idx="1">
                  <c:v>4.3210526315789484E-2</c:v>
                </c:pt>
                <c:pt idx="2">
                  <c:v>4.0789473684210535E-2</c:v>
                </c:pt>
                <c:pt idx="3">
                  <c:v>4.1210526315789482E-2</c:v>
                </c:pt>
                <c:pt idx="4">
                  <c:v>4.2105263157894736E-2</c:v>
                </c:pt>
                <c:pt idx="5">
                  <c:v>4.4052631578947378E-2</c:v>
                </c:pt>
                <c:pt idx="6">
                  <c:v>4.2842105263157904E-2</c:v>
                </c:pt>
                <c:pt idx="7">
                  <c:v>4.3210526315789491E-2</c:v>
                </c:pt>
                <c:pt idx="8">
                  <c:v>5.0105263157894736E-2</c:v>
                </c:pt>
                <c:pt idx="9">
                  <c:v>4.1421052631578956E-2</c:v>
                </c:pt>
                <c:pt idx="10">
                  <c:v>4.3421052631578957E-2</c:v>
                </c:pt>
                <c:pt idx="11">
                  <c:v>4.2000000000000016E-2</c:v>
                </c:pt>
                <c:pt idx="12">
                  <c:v>4.1473684210526315E-2</c:v>
                </c:pt>
                <c:pt idx="13">
                  <c:v>4.1631578947368429E-2</c:v>
                </c:pt>
                <c:pt idx="14">
                  <c:v>3.9263157894736847E-2</c:v>
                </c:pt>
                <c:pt idx="15">
                  <c:v>4.1736842105263162E-2</c:v>
                </c:pt>
                <c:pt idx="16">
                  <c:v>4.236842105263159E-2</c:v>
                </c:pt>
                <c:pt idx="17">
                  <c:v>4.0210526315789481E-2</c:v>
                </c:pt>
                <c:pt idx="18">
                  <c:v>4.1368421052631589E-2</c:v>
                </c:pt>
                <c:pt idx="19">
                  <c:v>4.257894736842107E-2</c:v>
                </c:pt>
                <c:pt idx="20">
                  <c:v>4.1368421052631589E-2</c:v>
                </c:pt>
                <c:pt idx="21">
                  <c:v>4.2000000000000016E-2</c:v>
                </c:pt>
                <c:pt idx="22">
                  <c:v>4.1421052631578956E-2</c:v>
                </c:pt>
                <c:pt idx="23">
                  <c:v>4.1789473684210536E-2</c:v>
                </c:pt>
                <c:pt idx="24">
                  <c:v>4.1894736842105269E-2</c:v>
                </c:pt>
                <c:pt idx="25">
                  <c:v>4.4578947368421065E-2</c:v>
                </c:pt>
                <c:pt idx="26">
                  <c:v>4.0526315789473695E-2</c:v>
                </c:pt>
                <c:pt idx="27">
                  <c:v>4.2473684210526323E-2</c:v>
                </c:pt>
                <c:pt idx="28">
                  <c:v>4.1315789473684215E-2</c:v>
                </c:pt>
                <c:pt idx="29">
                  <c:v>4.3105263157894751E-2</c:v>
                </c:pt>
                <c:pt idx="30">
                  <c:v>4.4000000000000011E-2</c:v>
                </c:pt>
                <c:pt idx="31">
                  <c:v>3.8421052631578953E-2</c:v>
                </c:pt>
                <c:pt idx="32">
                  <c:v>4.0736842105263162E-2</c:v>
                </c:pt>
                <c:pt idx="33">
                  <c:v>4.2052631578947376E-2</c:v>
                </c:pt>
                <c:pt idx="34">
                  <c:v>4.1052631578947375E-2</c:v>
                </c:pt>
                <c:pt idx="35">
                  <c:v>4.200000000000001E-2</c:v>
                </c:pt>
                <c:pt idx="36">
                  <c:v>4.2789473684210537E-2</c:v>
                </c:pt>
                <c:pt idx="37">
                  <c:v>4.242105263157895E-2</c:v>
                </c:pt>
                <c:pt idx="38">
                  <c:v>4.1263157894736849E-2</c:v>
                </c:pt>
                <c:pt idx="39">
                  <c:v>4.2157894736842116E-2</c:v>
                </c:pt>
                <c:pt idx="40">
                  <c:v>4.2210526315789483E-2</c:v>
                </c:pt>
                <c:pt idx="41">
                  <c:v>4.1368421052631589E-2</c:v>
                </c:pt>
                <c:pt idx="42">
                  <c:v>4.2473684210526323E-2</c:v>
                </c:pt>
                <c:pt idx="43">
                  <c:v>4.0578947368421062E-2</c:v>
                </c:pt>
                <c:pt idx="44">
                  <c:v>4.2421052631578963E-2</c:v>
                </c:pt>
                <c:pt idx="45">
                  <c:v>4.1000000000000016E-2</c:v>
                </c:pt>
                <c:pt idx="46">
                  <c:v>4.2526315789473697E-2</c:v>
                </c:pt>
                <c:pt idx="47">
                  <c:v>4.1526315789473689E-2</c:v>
                </c:pt>
                <c:pt idx="48">
                  <c:v>4.2157894736842116E-2</c:v>
                </c:pt>
                <c:pt idx="49">
                  <c:v>4.3631578947368431E-2</c:v>
                </c:pt>
                <c:pt idx="50">
                  <c:v>3.9947368421052641E-2</c:v>
                </c:pt>
                <c:pt idx="51">
                  <c:v>4.1052631578947382E-2</c:v>
                </c:pt>
                <c:pt idx="52">
                  <c:v>3.8473684210526327E-2</c:v>
                </c:pt>
                <c:pt idx="53">
                  <c:v>4.300000000000001E-2</c:v>
                </c:pt>
                <c:pt idx="54">
                  <c:v>4.3631578947368424E-2</c:v>
                </c:pt>
                <c:pt idx="55">
                  <c:v>4.1000000000000002E-2</c:v>
                </c:pt>
                <c:pt idx="56">
                  <c:v>4.3315789473684217E-2</c:v>
                </c:pt>
                <c:pt idx="57">
                  <c:v>4.1947368421052643E-2</c:v>
                </c:pt>
                <c:pt idx="58">
                  <c:v>4.1526315789473689E-2</c:v>
                </c:pt>
                <c:pt idx="59">
                  <c:v>4.0526315789473688E-2</c:v>
                </c:pt>
                <c:pt idx="60">
                  <c:v>4.4842105263157898E-2</c:v>
                </c:pt>
                <c:pt idx="61">
                  <c:v>4.1736842105263162E-2</c:v>
                </c:pt>
                <c:pt idx="62">
                  <c:v>4.226315789473685E-2</c:v>
                </c:pt>
                <c:pt idx="63">
                  <c:v>4.1736842105263162E-2</c:v>
                </c:pt>
                <c:pt idx="64">
                  <c:v>4.268421052631579E-2</c:v>
                </c:pt>
                <c:pt idx="65">
                  <c:v>4.5052631578947372E-2</c:v>
                </c:pt>
                <c:pt idx="66">
                  <c:v>3.9578947368421068E-2</c:v>
                </c:pt>
                <c:pt idx="67">
                  <c:v>4.0842105263157902E-2</c:v>
                </c:pt>
                <c:pt idx="68">
                  <c:v>4.1421052631578956E-2</c:v>
                </c:pt>
                <c:pt idx="69">
                  <c:v>4.1684210526315803E-2</c:v>
                </c:pt>
                <c:pt idx="70">
                  <c:v>4.0842105263157902E-2</c:v>
                </c:pt>
                <c:pt idx="71">
                  <c:v>4.2052631578947376E-2</c:v>
                </c:pt>
                <c:pt idx="72">
                  <c:v>3.9947368421052641E-2</c:v>
                </c:pt>
                <c:pt idx="73">
                  <c:v>4.0052631578947374E-2</c:v>
                </c:pt>
                <c:pt idx="74">
                  <c:v>4.4000000000000004E-2</c:v>
                </c:pt>
                <c:pt idx="75">
                  <c:v>4.3105263157894744E-2</c:v>
                </c:pt>
                <c:pt idx="76">
                  <c:v>4.0894736842105275E-2</c:v>
                </c:pt>
                <c:pt idx="77">
                  <c:v>4.3578947368421064E-2</c:v>
                </c:pt>
                <c:pt idx="78">
                  <c:v>4.3736842105263164E-2</c:v>
                </c:pt>
                <c:pt idx="79">
                  <c:v>3.9684210526315794E-2</c:v>
                </c:pt>
                <c:pt idx="80">
                  <c:v>4.0842105263157909E-2</c:v>
                </c:pt>
                <c:pt idx="81">
                  <c:v>4.2842105263157904E-2</c:v>
                </c:pt>
                <c:pt idx="82">
                  <c:v>4.3315789473684217E-2</c:v>
                </c:pt>
                <c:pt idx="83">
                  <c:v>4.4263157894736858E-2</c:v>
                </c:pt>
                <c:pt idx="84">
                  <c:v>4.1105263157894749E-2</c:v>
                </c:pt>
                <c:pt idx="85">
                  <c:v>4.5421052631578966E-2</c:v>
                </c:pt>
                <c:pt idx="86">
                  <c:v>4.0263157894736848E-2</c:v>
                </c:pt>
                <c:pt idx="87">
                  <c:v>4.2578947368421063E-2</c:v>
                </c:pt>
                <c:pt idx="88">
                  <c:v>4.0052631578947374E-2</c:v>
                </c:pt>
                <c:pt idx="89">
                  <c:v>4.226315789473685E-2</c:v>
                </c:pt>
                <c:pt idx="90">
                  <c:v>4.1526315789473689E-2</c:v>
                </c:pt>
                <c:pt idx="91">
                  <c:v>4.2210526315789483E-2</c:v>
                </c:pt>
                <c:pt idx="92">
                  <c:v>4.2736842105263163E-2</c:v>
                </c:pt>
                <c:pt idx="93">
                  <c:v>4.2736842105263163E-2</c:v>
                </c:pt>
                <c:pt idx="94">
                  <c:v>4.2684210526315797E-2</c:v>
                </c:pt>
                <c:pt idx="95">
                  <c:v>4.2684210526315797E-2</c:v>
                </c:pt>
                <c:pt idx="96">
                  <c:v>4.1736842105263169E-2</c:v>
                </c:pt>
                <c:pt idx="97">
                  <c:v>4.0947368421052642E-2</c:v>
                </c:pt>
                <c:pt idx="98">
                  <c:v>4.2052631578947369E-2</c:v>
                </c:pt>
                <c:pt idx="99">
                  <c:v>4.0526315789473688E-2</c:v>
                </c:pt>
                <c:pt idx="100">
                  <c:v>3.9263157894736847E-2</c:v>
                </c:pt>
                <c:pt idx="101">
                  <c:v>4.3105263157894744E-2</c:v>
                </c:pt>
                <c:pt idx="102">
                  <c:v>4.1684210526315796E-2</c:v>
                </c:pt>
              </c:numCache>
            </c:numRef>
          </c:yVal>
          <c:smooth val="0"/>
        </c:ser>
        <c:ser>
          <c:idx val="5"/>
          <c:order val="5"/>
          <c:tx>
            <c:v>Åtgärdsnivå IU GE</c:v>
          </c:tx>
          <c:spPr>
            <a:ln w="38100">
              <a:solidFill>
                <a:schemeClr val="tx1"/>
              </a:solidFill>
            </a:ln>
          </c:spPr>
          <c:marker>
            <c:symbol val="diamond"/>
            <c:size val="9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Övrigt!$G$23:$G$24</c:f>
              <c:numCache>
                <c:formatCode>m/d/yyyy</c:formatCode>
                <c:ptCount val="2"/>
                <c:pt idx="0">
                  <c:v>42620</c:v>
                </c:pt>
                <c:pt idx="1">
                  <c:v>42711</c:v>
                </c:pt>
              </c:numCache>
            </c:numRef>
          </c:xVal>
          <c:yVal>
            <c:numRef>
              <c:f>Övrigt!$H$23:$H$24</c:f>
              <c:numCache>
                <c:formatCode>General</c:formatCode>
                <c:ptCount val="2"/>
                <c:pt idx="0">
                  <c:v>7.4999999999999997E-2</c:v>
                </c:pt>
                <c:pt idx="1">
                  <c:v>7.4999999999999997E-2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149056"/>
        <c:axId val="96609408"/>
      </c:scatterChart>
      <c:valAx>
        <c:axId val="95149056"/>
        <c:scaling>
          <c:orientation val="minMax"/>
          <c:min val="42620"/>
        </c:scaling>
        <c:delete val="0"/>
        <c:axPos val="b"/>
        <c:numFmt formatCode="[$-41D]mmm/yy;@" sourceLinked="0"/>
        <c:majorTickMark val="out"/>
        <c:minorTickMark val="none"/>
        <c:tickLblPos val="nextTo"/>
        <c:txPr>
          <a:bodyPr rot="-1860000"/>
          <a:lstStyle/>
          <a:p>
            <a:pPr>
              <a:defRPr/>
            </a:pPr>
            <a:endParaRPr lang="sv-SE"/>
          </a:p>
        </c:txPr>
        <c:crossAx val="96609408"/>
        <c:crosses val="autoZero"/>
        <c:crossBetween val="midCat"/>
      </c:valAx>
      <c:valAx>
        <c:axId val="96609408"/>
        <c:scaling>
          <c:orientation val="minMax"/>
          <c:max val="0.16000000000000003"/>
        </c:scaling>
        <c:delete val="0"/>
        <c:axPos val="l"/>
        <c:numFmt formatCode="0%" sourceLinked="0"/>
        <c:majorTickMark val="out"/>
        <c:minorTickMark val="none"/>
        <c:tickLblPos val="nextTo"/>
        <c:crossAx val="95149056"/>
        <c:crosses val="autoZero"/>
        <c:crossBetween val="midCat"/>
      </c:valAx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v-SE">
                <a:latin typeface="Courier New" panose="02070309020205020404" pitchFamily="49" charset="0"/>
                <a:cs typeface="Courier New" panose="02070309020205020404" pitchFamily="49" charset="0"/>
              </a:rPr>
              <a:t>Relativ känslighet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w="19050">
                <a:solidFill>
                  <a:schemeClr val="tx1"/>
                </a:solidFill>
              </a:ln>
            </c:spPr>
          </c:marker>
          <c:trendline>
            <c:name>Detektor 1 IU (Veckotrend)</c:name>
            <c:spPr>
              <a:ln w="50800">
                <a:solidFill>
                  <a:schemeClr val="accent1"/>
                </a:solidFill>
              </a:ln>
            </c:spPr>
            <c:trendlineType val="movingAvg"/>
            <c:period val="5"/>
            <c:dispRSqr val="0"/>
            <c:dispEq val="0"/>
          </c:trendline>
          <c:xVal>
            <c:numRef>
              <c:f>Data!$C$5:$C$107</c:f>
              <c:numCache>
                <c:formatCode>m/d/yyyy</c:formatCode>
                <c:ptCount val="103"/>
                <c:pt idx="0">
                  <c:v>42373</c:v>
                </c:pt>
                <c:pt idx="1">
                  <c:v>42380</c:v>
                </c:pt>
                <c:pt idx="2">
                  <c:v>42382</c:v>
                </c:pt>
                <c:pt idx="3">
                  <c:v>42383</c:v>
                </c:pt>
                <c:pt idx="4">
                  <c:v>42389</c:v>
                </c:pt>
                <c:pt idx="5">
                  <c:v>42390</c:v>
                </c:pt>
                <c:pt idx="6">
                  <c:v>42394</c:v>
                </c:pt>
                <c:pt idx="7">
                  <c:v>42396</c:v>
                </c:pt>
                <c:pt idx="8">
                  <c:v>42397</c:v>
                </c:pt>
                <c:pt idx="9">
                  <c:v>42401</c:v>
                </c:pt>
                <c:pt idx="10">
                  <c:v>42403</c:v>
                </c:pt>
                <c:pt idx="11">
                  <c:v>42404</c:v>
                </c:pt>
                <c:pt idx="12">
                  <c:v>42408</c:v>
                </c:pt>
                <c:pt idx="13">
                  <c:v>42410</c:v>
                </c:pt>
                <c:pt idx="14">
                  <c:v>42411</c:v>
                </c:pt>
                <c:pt idx="15">
                  <c:v>42415</c:v>
                </c:pt>
                <c:pt idx="16">
                  <c:v>42417</c:v>
                </c:pt>
                <c:pt idx="17">
                  <c:v>42418</c:v>
                </c:pt>
                <c:pt idx="18">
                  <c:v>42422</c:v>
                </c:pt>
                <c:pt idx="19">
                  <c:v>42424</c:v>
                </c:pt>
                <c:pt idx="20">
                  <c:v>42425</c:v>
                </c:pt>
                <c:pt idx="21">
                  <c:v>42429</c:v>
                </c:pt>
                <c:pt idx="22">
                  <c:v>42431</c:v>
                </c:pt>
                <c:pt idx="23">
                  <c:v>42432</c:v>
                </c:pt>
                <c:pt idx="24">
                  <c:v>42436</c:v>
                </c:pt>
                <c:pt idx="25">
                  <c:v>42438</c:v>
                </c:pt>
                <c:pt idx="26">
                  <c:v>42439</c:v>
                </c:pt>
                <c:pt idx="27">
                  <c:v>42443</c:v>
                </c:pt>
                <c:pt idx="28">
                  <c:v>42445</c:v>
                </c:pt>
                <c:pt idx="29">
                  <c:v>42446</c:v>
                </c:pt>
                <c:pt idx="30">
                  <c:v>42452</c:v>
                </c:pt>
                <c:pt idx="31">
                  <c:v>42453</c:v>
                </c:pt>
                <c:pt idx="32">
                  <c:v>42459</c:v>
                </c:pt>
                <c:pt idx="33">
                  <c:v>42460</c:v>
                </c:pt>
                <c:pt idx="34">
                  <c:v>42464</c:v>
                </c:pt>
                <c:pt idx="35">
                  <c:v>42473</c:v>
                </c:pt>
                <c:pt idx="36">
                  <c:v>42480</c:v>
                </c:pt>
                <c:pt idx="37">
                  <c:v>42485</c:v>
                </c:pt>
                <c:pt idx="38">
                  <c:v>42487</c:v>
                </c:pt>
                <c:pt idx="39">
                  <c:v>42492</c:v>
                </c:pt>
                <c:pt idx="40">
                  <c:v>42499</c:v>
                </c:pt>
                <c:pt idx="41">
                  <c:v>42501</c:v>
                </c:pt>
                <c:pt idx="42">
                  <c:v>42502</c:v>
                </c:pt>
                <c:pt idx="43">
                  <c:v>42506</c:v>
                </c:pt>
                <c:pt idx="44">
                  <c:v>42508</c:v>
                </c:pt>
                <c:pt idx="45">
                  <c:v>42509</c:v>
                </c:pt>
                <c:pt idx="46">
                  <c:v>42513</c:v>
                </c:pt>
                <c:pt idx="47">
                  <c:v>42515</c:v>
                </c:pt>
                <c:pt idx="48">
                  <c:v>42522</c:v>
                </c:pt>
                <c:pt idx="49">
                  <c:v>42528</c:v>
                </c:pt>
                <c:pt idx="50">
                  <c:v>42530</c:v>
                </c:pt>
                <c:pt idx="51">
                  <c:v>42531</c:v>
                </c:pt>
                <c:pt idx="52">
                  <c:v>42564</c:v>
                </c:pt>
                <c:pt idx="53">
                  <c:v>42565</c:v>
                </c:pt>
                <c:pt idx="54">
                  <c:v>42583</c:v>
                </c:pt>
                <c:pt idx="55">
                  <c:v>42585</c:v>
                </c:pt>
                <c:pt idx="56">
                  <c:v>42586</c:v>
                </c:pt>
                <c:pt idx="57">
                  <c:v>42590</c:v>
                </c:pt>
                <c:pt idx="58">
                  <c:v>42591</c:v>
                </c:pt>
                <c:pt idx="59">
                  <c:v>42592</c:v>
                </c:pt>
                <c:pt idx="60">
                  <c:v>42593</c:v>
                </c:pt>
                <c:pt idx="61">
                  <c:v>42597</c:v>
                </c:pt>
                <c:pt idx="62">
                  <c:v>42599</c:v>
                </c:pt>
                <c:pt idx="63">
                  <c:v>42604</c:v>
                </c:pt>
                <c:pt idx="64">
                  <c:v>42606</c:v>
                </c:pt>
                <c:pt idx="65">
                  <c:v>42607</c:v>
                </c:pt>
                <c:pt idx="66">
                  <c:v>42611</c:v>
                </c:pt>
                <c:pt idx="67">
                  <c:v>42613</c:v>
                </c:pt>
                <c:pt idx="68">
                  <c:v>42614</c:v>
                </c:pt>
                <c:pt idx="69">
                  <c:v>42618</c:v>
                </c:pt>
                <c:pt idx="70">
                  <c:v>42620</c:v>
                </c:pt>
                <c:pt idx="71">
                  <c:v>42625</c:v>
                </c:pt>
                <c:pt idx="72">
                  <c:v>42627</c:v>
                </c:pt>
                <c:pt idx="73">
                  <c:v>42634</c:v>
                </c:pt>
                <c:pt idx="74">
                  <c:v>42639</c:v>
                </c:pt>
                <c:pt idx="75">
                  <c:v>42641</c:v>
                </c:pt>
                <c:pt idx="76">
                  <c:v>42642</c:v>
                </c:pt>
                <c:pt idx="77">
                  <c:v>42646</c:v>
                </c:pt>
                <c:pt idx="78">
                  <c:v>42647</c:v>
                </c:pt>
                <c:pt idx="79">
                  <c:v>42648</c:v>
                </c:pt>
                <c:pt idx="80">
                  <c:v>42653</c:v>
                </c:pt>
                <c:pt idx="81">
                  <c:v>42655</c:v>
                </c:pt>
                <c:pt idx="82">
                  <c:v>42660</c:v>
                </c:pt>
                <c:pt idx="83">
                  <c:v>42662</c:v>
                </c:pt>
                <c:pt idx="84">
                  <c:v>42664</c:v>
                </c:pt>
                <c:pt idx="85">
                  <c:v>42664</c:v>
                </c:pt>
                <c:pt idx="86">
                  <c:v>42664</c:v>
                </c:pt>
                <c:pt idx="87">
                  <c:v>42667</c:v>
                </c:pt>
                <c:pt idx="88">
                  <c:v>42669</c:v>
                </c:pt>
                <c:pt idx="89">
                  <c:v>42670</c:v>
                </c:pt>
                <c:pt idx="90">
                  <c:v>42674</c:v>
                </c:pt>
                <c:pt idx="91">
                  <c:v>42683</c:v>
                </c:pt>
                <c:pt idx="92">
                  <c:v>42688</c:v>
                </c:pt>
                <c:pt idx="93">
                  <c:v>42688</c:v>
                </c:pt>
                <c:pt idx="94">
                  <c:v>42690</c:v>
                </c:pt>
                <c:pt idx="95">
                  <c:v>42690</c:v>
                </c:pt>
                <c:pt idx="96">
                  <c:v>42695</c:v>
                </c:pt>
                <c:pt idx="97">
                  <c:v>42697</c:v>
                </c:pt>
                <c:pt idx="98">
                  <c:v>42698</c:v>
                </c:pt>
                <c:pt idx="99">
                  <c:v>42702</c:v>
                </c:pt>
                <c:pt idx="100">
                  <c:v>42704</c:v>
                </c:pt>
                <c:pt idx="101">
                  <c:v>42709</c:v>
                </c:pt>
                <c:pt idx="102">
                  <c:v>42711</c:v>
                </c:pt>
              </c:numCache>
            </c:numRef>
          </c:xVal>
          <c:yVal>
            <c:numRef>
              <c:f>Data!$HP$5:$HP$107</c:f>
              <c:numCache>
                <c:formatCode>0.000</c:formatCode>
                <c:ptCount val="103"/>
                <c:pt idx="0">
                  <c:v>0.99646766141066656</c:v>
                </c:pt>
                <c:pt idx="1">
                  <c:v>0.99665161131011615</c:v>
                </c:pt>
                <c:pt idx="2">
                  <c:v>0.99850227496166111</c:v>
                </c:pt>
                <c:pt idx="3">
                  <c:v>0.99587967870026106</c:v>
                </c:pt>
                <c:pt idx="4">
                  <c:v>0.9969857018260867</c:v>
                </c:pt>
                <c:pt idx="5">
                  <c:v>0.99589157769339898</c:v>
                </c:pt>
                <c:pt idx="6">
                  <c:v>0.99661761036894536</c:v>
                </c:pt>
                <c:pt idx="7">
                  <c:v>0.99794455609014798</c:v>
                </c:pt>
                <c:pt idx="8">
                  <c:v>0.997082763491563</c:v>
                </c:pt>
                <c:pt idx="9">
                  <c:v>0.99718153356019379</c:v>
                </c:pt>
                <c:pt idx="10">
                  <c:v>0.99749538595745746</c:v>
                </c:pt>
                <c:pt idx="11">
                  <c:v>0.99520028203903244</c:v>
                </c:pt>
                <c:pt idx="12">
                  <c:v>0.99820167509392355</c:v>
                </c:pt>
                <c:pt idx="13">
                  <c:v>0.99608642919729729</c:v>
                </c:pt>
                <c:pt idx="14">
                  <c:v>0.99657285702898335</c:v>
                </c:pt>
                <c:pt idx="15">
                  <c:v>0.9971987635306846</c:v>
                </c:pt>
                <c:pt idx="16">
                  <c:v>0.99807566448370988</c:v>
                </c:pt>
                <c:pt idx="17">
                  <c:v>0.99697695601712621</c:v>
                </c:pt>
                <c:pt idx="18">
                  <c:v>0.99721210342252786</c:v>
                </c:pt>
                <c:pt idx="19">
                  <c:v>0.99849797770929283</c:v>
                </c:pt>
                <c:pt idx="20">
                  <c:v>0.9978939507871909</c:v>
                </c:pt>
                <c:pt idx="21">
                  <c:v>0.99704055443439243</c:v>
                </c:pt>
                <c:pt idx="22">
                  <c:v>0.99733237810032227</c:v>
                </c:pt>
                <c:pt idx="23">
                  <c:v>0.9982468084993722</c:v>
                </c:pt>
                <c:pt idx="24">
                  <c:v>0.99864512928587168</c:v>
                </c:pt>
                <c:pt idx="25">
                  <c:v>0.99618450283999116</c:v>
                </c:pt>
                <c:pt idx="26">
                  <c:v>0.99543879203787</c:v>
                </c:pt>
                <c:pt idx="27">
                  <c:v>0.99911808232123533</c:v>
                </c:pt>
                <c:pt idx="28">
                  <c:v>0.9992113562480458</c:v>
                </c:pt>
                <c:pt idx="29">
                  <c:v>0.99836082568480966</c:v>
                </c:pt>
                <c:pt idx="30">
                  <c:v>0.99895200403258866</c:v>
                </c:pt>
                <c:pt idx="31">
                  <c:v>0.99795047124655123</c:v>
                </c:pt>
                <c:pt idx="32">
                  <c:v>0.998743171145689</c:v>
                </c:pt>
                <c:pt idx="33">
                  <c:v>0.99778011793930677</c:v>
                </c:pt>
                <c:pt idx="34">
                  <c:v>0.997415595004849</c:v>
                </c:pt>
                <c:pt idx="35">
                  <c:v>0.99565098802078511</c:v>
                </c:pt>
                <c:pt idx="36">
                  <c:v>0.99718608683864729</c:v>
                </c:pt>
                <c:pt idx="37">
                  <c:v>0.99573047611244858</c:v>
                </c:pt>
                <c:pt idx="38">
                  <c:v>0.99715476156925986</c:v>
                </c:pt>
                <c:pt idx="39">
                  <c:v>0.99983316315167015</c:v>
                </c:pt>
                <c:pt idx="40">
                  <c:v>0.99717133172478145</c:v>
                </c:pt>
                <c:pt idx="41">
                  <c:v>0.99833303524817818</c:v>
                </c:pt>
                <c:pt idx="42">
                  <c:v>0.9995777078099064</c:v>
                </c:pt>
                <c:pt idx="43">
                  <c:v>0.99776544472142925</c:v>
                </c:pt>
                <c:pt idx="44">
                  <c:v>0.99813570173116817</c:v>
                </c:pt>
                <c:pt idx="45">
                  <c:v>1.000511267611276</c:v>
                </c:pt>
                <c:pt idx="46">
                  <c:v>0.99783239926838641</c:v>
                </c:pt>
                <c:pt idx="47">
                  <c:v>0.99782108453760454</c:v>
                </c:pt>
                <c:pt idx="48">
                  <c:v>0.99667178039895743</c:v>
                </c:pt>
                <c:pt idx="49">
                  <c:v>0.99582886046537467</c:v>
                </c:pt>
                <c:pt idx="50">
                  <c:v>0.99851111191133513</c:v>
                </c:pt>
                <c:pt idx="51">
                  <c:v>0.99749867261331138</c:v>
                </c:pt>
                <c:pt idx="52">
                  <c:v>0.99777958282332246</c:v>
                </c:pt>
                <c:pt idx="53">
                  <c:v>0.99876905060339405</c:v>
                </c:pt>
                <c:pt idx="54">
                  <c:v>1.0029367990467444</c:v>
                </c:pt>
                <c:pt idx="55">
                  <c:v>1.0015965515775973</c:v>
                </c:pt>
                <c:pt idx="56">
                  <c:v>0.99827053438932967</c:v>
                </c:pt>
                <c:pt idx="57">
                  <c:v>1.0003210519648444</c:v>
                </c:pt>
                <c:pt idx="58">
                  <c:v>0.99744676757615514</c:v>
                </c:pt>
                <c:pt idx="59">
                  <c:v>0.99848540933674057</c:v>
                </c:pt>
                <c:pt idx="60">
                  <c:v>0.99395064301282543</c:v>
                </c:pt>
                <c:pt idx="61">
                  <c:v>1.0001059306640094</c:v>
                </c:pt>
                <c:pt idx="62">
                  <c:v>0.99699320633888622</c:v>
                </c:pt>
                <c:pt idx="63">
                  <c:v>0.9980509273973639</c:v>
                </c:pt>
                <c:pt idx="64">
                  <c:v>0.99950062277868912</c:v>
                </c:pt>
                <c:pt idx="65">
                  <c:v>0.99691495453748036</c:v>
                </c:pt>
                <c:pt idx="66">
                  <c:v>0.99556151979420382</c:v>
                </c:pt>
                <c:pt idx="67">
                  <c:v>0.99664259139880307</c:v>
                </c:pt>
                <c:pt idx="68">
                  <c:v>0.99599178477909889</c:v>
                </c:pt>
                <c:pt idx="69">
                  <c:v>0.99596165604074149</c:v>
                </c:pt>
                <c:pt idx="70">
                  <c:v>0.99796331123669768</c:v>
                </c:pt>
                <c:pt idx="71">
                  <c:v>0.99854595983376582</c:v>
                </c:pt>
                <c:pt idx="72">
                  <c:v>0.997653192219072</c:v>
                </c:pt>
                <c:pt idx="73">
                  <c:v>0.9959640778286879</c:v>
                </c:pt>
                <c:pt idx="74">
                  <c:v>0.9976854088228081</c:v>
                </c:pt>
                <c:pt idx="75">
                  <c:v>0.99677047076848202</c:v>
                </c:pt>
                <c:pt idx="76">
                  <c:v>0.99964579340867621</c:v>
                </c:pt>
                <c:pt idx="77">
                  <c:v>0.99750544764951299</c:v>
                </c:pt>
                <c:pt idx="78">
                  <c:v>0.99447859959449092</c:v>
                </c:pt>
                <c:pt idx="79">
                  <c:v>0.99715200690162964</c:v>
                </c:pt>
                <c:pt idx="80">
                  <c:v>0.99756554879565718</c:v>
                </c:pt>
                <c:pt idx="81">
                  <c:v>0.99722436073287979</c:v>
                </c:pt>
                <c:pt idx="82">
                  <c:v>0.99794858356963745</c:v>
                </c:pt>
                <c:pt idx="83">
                  <c:v>0.99523103012856295</c:v>
                </c:pt>
                <c:pt idx="84">
                  <c:v>0.99187492634772279</c:v>
                </c:pt>
                <c:pt idx="85">
                  <c:v>0.99502467451874288</c:v>
                </c:pt>
                <c:pt idx="86">
                  <c:v>0.99418692350258708</c:v>
                </c:pt>
                <c:pt idx="87">
                  <c:v>0.99257688989906445</c:v>
                </c:pt>
                <c:pt idx="88">
                  <c:v>0.99582642649464126</c:v>
                </c:pt>
                <c:pt idx="89">
                  <c:v>0.99502501468128812</c:v>
                </c:pt>
                <c:pt idx="90">
                  <c:v>0.99303628488733497</c:v>
                </c:pt>
                <c:pt idx="91">
                  <c:v>0.99462320790304504</c:v>
                </c:pt>
                <c:pt idx="92">
                  <c:v>0.99673817179345281</c:v>
                </c:pt>
                <c:pt idx="93">
                  <c:v>0.99673817179345281</c:v>
                </c:pt>
                <c:pt idx="94">
                  <c:v>0.99624152978155889</c:v>
                </c:pt>
                <c:pt idx="95">
                  <c:v>0.99624152978155889</c:v>
                </c:pt>
                <c:pt idx="96">
                  <c:v>0.994048743832043</c:v>
                </c:pt>
                <c:pt idx="97">
                  <c:v>0.99558819798702702</c:v>
                </c:pt>
                <c:pt idx="98">
                  <c:v>0.9963898177536592</c:v>
                </c:pt>
                <c:pt idx="99">
                  <c:v>0.99613853978095868</c:v>
                </c:pt>
                <c:pt idx="100">
                  <c:v>0.9968446874700474</c:v>
                </c:pt>
                <c:pt idx="101">
                  <c:v>0.99321487647202311</c:v>
                </c:pt>
                <c:pt idx="102">
                  <c:v>0.99319016420913275</c:v>
                </c:pt>
              </c:numCache>
            </c:numRef>
          </c:yVal>
          <c:smooth val="0"/>
        </c:ser>
        <c:ser>
          <c:idx val="3"/>
          <c:order val="1"/>
          <c:tx>
            <c:v>Medel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/>
              </a:solidFill>
              <a:ln w="19050">
                <a:solidFill>
                  <a:schemeClr val="tx1"/>
                </a:solidFill>
              </a:ln>
            </c:spPr>
          </c:marker>
          <c:trendline>
            <c:name>Detektor 2 IU (Veckotrend)</c:name>
            <c:spPr>
              <a:ln w="50800" cap="rnd" cmpd="sng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"/>
            <c:dispRSqr val="0"/>
            <c:dispEq val="0"/>
          </c:trendline>
          <c:xVal>
            <c:numRef>
              <c:f>Data!$C$5:$C$107</c:f>
              <c:numCache>
                <c:formatCode>m/d/yyyy</c:formatCode>
                <c:ptCount val="103"/>
                <c:pt idx="0">
                  <c:v>42373</c:v>
                </c:pt>
                <c:pt idx="1">
                  <c:v>42380</c:v>
                </c:pt>
                <c:pt idx="2">
                  <c:v>42382</c:v>
                </c:pt>
                <c:pt idx="3">
                  <c:v>42383</c:v>
                </c:pt>
                <c:pt idx="4">
                  <c:v>42389</c:v>
                </c:pt>
                <c:pt idx="5">
                  <c:v>42390</c:v>
                </c:pt>
                <c:pt idx="6">
                  <c:v>42394</c:v>
                </c:pt>
                <c:pt idx="7">
                  <c:v>42396</c:v>
                </c:pt>
                <c:pt idx="8">
                  <c:v>42397</c:v>
                </c:pt>
                <c:pt idx="9">
                  <c:v>42401</c:v>
                </c:pt>
                <c:pt idx="10">
                  <c:v>42403</c:v>
                </c:pt>
                <c:pt idx="11">
                  <c:v>42404</c:v>
                </c:pt>
                <c:pt idx="12">
                  <c:v>42408</c:v>
                </c:pt>
                <c:pt idx="13">
                  <c:v>42410</c:v>
                </c:pt>
                <c:pt idx="14">
                  <c:v>42411</c:v>
                </c:pt>
                <c:pt idx="15">
                  <c:v>42415</c:v>
                </c:pt>
                <c:pt idx="16">
                  <c:v>42417</c:v>
                </c:pt>
                <c:pt idx="17">
                  <c:v>42418</c:v>
                </c:pt>
                <c:pt idx="18">
                  <c:v>42422</c:v>
                </c:pt>
                <c:pt idx="19">
                  <c:v>42424</c:v>
                </c:pt>
                <c:pt idx="20">
                  <c:v>42425</c:v>
                </c:pt>
                <c:pt idx="21">
                  <c:v>42429</c:v>
                </c:pt>
                <c:pt idx="22">
                  <c:v>42431</c:v>
                </c:pt>
                <c:pt idx="23">
                  <c:v>42432</c:v>
                </c:pt>
                <c:pt idx="24">
                  <c:v>42436</c:v>
                </c:pt>
                <c:pt idx="25">
                  <c:v>42438</c:v>
                </c:pt>
                <c:pt idx="26">
                  <c:v>42439</c:v>
                </c:pt>
                <c:pt idx="27">
                  <c:v>42443</c:v>
                </c:pt>
                <c:pt idx="28">
                  <c:v>42445</c:v>
                </c:pt>
                <c:pt idx="29">
                  <c:v>42446</c:v>
                </c:pt>
                <c:pt idx="30">
                  <c:v>42452</c:v>
                </c:pt>
                <c:pt idx="31">
                  <c:v>42453</c:v>
                </c:pt>
                <c:pt idx="32">
                  <c:v>42459</c:v>
                </c:pt>
                <c:pt idx="33">
                  <c:v>42460</c:v>
                </c:pt>
                <c:pt idx="34">
                  <c:v>42464</c:v>
                </c:pt>
                <c:pt idx="35">
                  <c:v>42473</c:v>
                </c:pt>
                <c:pt idx="36">
                  <c:v>42480</c:v>
                </c:pt>
                <c:pt idx="37">
                  <c:v>42485</c:v>
                </c:pt>
                <c:pt idx="38">
                  <c:v>42487</c:v>
                </c:pt>
                <c:pt idx="39">
                  <c:v>42492</c:v>
                </c:pt>
                <c:pt idx="40">
                  <c:v>42499</c:v>
                </c:pt>
                <c:pt idx="41">
                  <c:v>42501</c:v>
                </c:pt>
                <c:pt idx="42">
                  <c:v>42502</c:v>
                </c:pt>
                <c:pt idx="43">
                  <c:v>42506</c:v>
                </c:pt>
                <c:pt idx="44">
                  <c:v>42508</c:v>
                </c:pt>
                <c:pt idx="45">
                  <c:v>42509</c:v>
                </c:pt>
                <c:pt idx="46">
                  <c:v>42513</c:v>
                </c:pt>
                <c:pt idx="47">
                  <c:v>42515</c:v>
                </c:pt>
                <c:pt idx="48">
                  <c:v>42522</c:v>
                </c:pt>
                <c:pt idx="49">
                  <c:v>42528</c:v>
                </c:pt>
                <c:pt idx="50">
                  <c:v>42530</c:v>
                </c:pt>
                <c:pt idx="51">
                  <c:v>42531</c:v>
                </c:pt>
                <c:pt idx="52">
                  <c:v>42564</c:v>
                </c:pt>
                <c:pt idx="53">
                  <c:v>42565</c:v>
                </c:pt>
                <c:pt idx="54">
                  <c:v>42583</c:v>
                </c:pt>
                <c:pt idx="55">
                  <c:v>42585</c:v>
                </c:pt>
                <c:pt idx="56">
                  <c:v>42586</c:v>
                </c:pt>
                <c:pt idx="57">
                  <c:v>42590</c:v>
                </c:pt>
                <c:pt idx="58">
                  <c:v>42591</c:v>
                </c:pt>
                <c:pt idx="59">
                  <c:v>42592</c:v>
                </c:pt>
                <c:pt idx="60">
                  <c:v>42593</c:v>
                </c:pt>
                <c:pt idx="61">
                  <c:v>42597</c:v>
                </c:pt>
                <c:pt idx="62">
                  <c:v>42599</c:v>
                </c:pt>
                <c:pt idx="63">
                  <c:v>42604</c:v>
                </c:pt>
                <c:pt idx="64">
                  <c:v>42606</c:v>
                </c:pt>
                <c:pt idx="65">
                  <c:v>42607</c:v>
                </c:pt>
                <c:pt idx="66">
                  <c:v>42611</c:v>
                </c:pt>
                <c:pt idx="67">
                  <c:v>42613</c:v>
                </c:pt>
                <c:pt idx="68">
                  <c:v>42614</c:v>
                </c:pt>
                <c:pt idx="69">
                  <c:v>42618</c:v>
                </c:pt>
                <c:pt idx="70">
                  <c:v>42620</c:v>
                </c:pt>
                <c:pt idx="71">
                  <c:v>42625</c:v>
                </c:pt>
                <c:pt idx="72">
                  <c:v>42627</c:v>
                </c:pt>
                <c:pt idx="73">
                  <c:v>42634</c:v>
                </c:pt>
                <c:pt idx="74">
                  <c:v>42639</c:v>
                </c:pt>
                <c:pt idx="75">
                  <c:v>42641</c:v>
                </c:pt>
                <c:pt idx="76">
                  <c:v>42642</c:v>
                </c:pt>
                <c:pt idx="77">
                  <c:v>42646</c:v>
                </c:pt>
                <c:pt idx="78">
                  <c:v>42647</c:v>
                </c:pt>
                <c:pt idx="79">
                  <c:v>42648</c:v>
                </c:pt>
                <c:pt idx="80">
                  <c:v>42653</c:v>
                </c:pt>
                <c:pt idx="81">
                  <c:v>42655</c:v>
                </c:pt>
                <c:pt idx="82">
                  <c:v>42660</c:v>
                </c:pt>
                <c:pt idx="83">
                  <c:v>42662</c:v>
                </c:pt>
                <c:pt idx="84">
                  <c:v>42664</c:v>
                </c:pt>
                <c:pt idx="85">
                  <c:v>42664</c:v>
                </c:pt>
                <c:pt idx="86">
                  <c:v>42664</c:v>
                </c:pt>
                <c:pt idx="87">
                  <c:v>42667</c:v>
                </c:pt>
                <c:pt idx="88">
                  <c:v>42669</c:v>
                </c:pt>
                <c:pt idx="89">
                  <c:v>42670</c:v>
                </c:pt>
                <c:pt idx="90">
                  <c:v>42674</c:v>
                </c:pt>
                <c:pt idx="91">
                  <c:v>42683</c:v>
                </c:pt>
                <c:pt idx="92">
                  <c:v>42688</c:v>
                </c:pt>
                <c:pt idx="93">
                  <c:v>42688</c:v>
                </c:pt>
                <c:pt idx="94">
                  <c:v>42690</c:v>
                </c:pt>
                <c:pt idx="95">
                  <c:v>42690</c:v>
                </c:pt>
                <c:pt idx="96">
                  <c:v>42695</c:v>
                </c:pt>
                <c:pt idx="97">
                  <c:v>42697</c:v>
                </c:pt>
                <c:pt idx="98">
                  <c:v>42698</c:v>
                </c:pt>
                <c:pt idx="99">
                  <c:v>42702</c:v>
                </c:pt>
                <c:pt idx="100">
                  <c:v>42704</c:v>
                </c:pt>
                <c:pt idx="101">
                  <c:v>42709</c:v>
                </c:pt>
                <c:pt idx="102">
                  <c:v>42711</c:v>
                </c:pt>
              </c:numCache>
            </c:numRef>
          </c:xVal>
          <c:yVal>
            <c:numRef>
              <c:f>Data!$HQ$5:$HQ$107</c:f>
              <c:numCache>
                <c:formatCode>0.000</c:formatCode>
                <c:ptCount val="103"/>
                <c:pt idx="0">
                  <c:v>0.99832911734991914</c:v>
                </c:pt>
                <c:pt idx="1">
                  <c:v>0.99928054065241445</c:v>
                </c:pt>
                <c:pt idx="2">
                  <c:v>1.0002507754187939</c:v>
                </c:pt>
                <c:pt idx="3">
                  <c:v>0.99953661260644988</c:v>
                </c:pt>
                <c:pt idx="4">
                  <c:v>0.99928536547443647</c:v>
                </c:pt>
                <c:pt idx="5">
                  <c:v>0.9986641715518525</c:v>
                </c:pt>
                <c:pt idx="6">
                  <c:v>0.9995827064888787</c:v>
                </c:pt>
                <c:pt idx="7">
                  <c:v>1.0000507155689475</c:v>
                </c:pt>
                <c:pt idx="8">
                  <c:v>1.005561328343721</c:v>
                </c:pt>
                <c:pt idx="9">
                  <c:v>0.99917664829807651</c:v>
                </c:pt>
                <c:pt idx="10">
                  <c:v>1.0003044160709398</c:v>
                </c:pt>
                <c:pt idx="11">
                  <c:v>0.99928319752731587</c:v>
                </c:pt>
                <c:pt idx="12">
                  <c:v>1.001012763903453</c:v>
                </c:pt>
                <c:pt idx="13">
                  <c:v>0.99941521916021203</c:v>
                </c:pt>
                <c:pt idx="14">
                  <c:v>0.99884291966649441</c:v>
                </c:pt>
                <c:pt idx="15">
                  <c:v>0.99897835499159415</c:v>
                </c:pt>
                <c:pt idx="16">
                  <c:v>1.0014604093126429</c:v>
                </c:pt>
                <c:pt idx="17">
                  <c:v>1.0000832347362276</c:v>
                </c:pt>
                <c:pt idx="18">
                  <c:v>1.000444277856557</c:v>
                </c:pt>
                <c:pt idx="19">
                  <c:v>1.0003248420712563</c:v>
                </c:pt>
                <c:pt idx="20">
                  <c:v>0.99980810729085801</c:v>
                </c:pt>
                <c:pt idx="21">
                  <c:v>0.9986279112754155</c:v>
                </c:pt>
                <c:pt idx="22">
                  <c:v>1.0004499196844039</c:v>
                </c:pt>
                <c:pt idx="23">
                  <c:v>1.0000140618674498</c:v>
                </c:pt>
                <c:pt idx="24">
                  <c:v>0.99984642937365331</c:v>
                </c:pt>
                <c:pt idx="25">
                  <c:v>0.99878448997209246</c:v>
                </c:pt>
                <c:pt idx="26">
                  <c:v>0.99852925180404239</c:v>
                </c:pt>
                <c:pt idx="27">
                  <c:v>1.0005798090742624</c:v>
                </c:pt>
                <c:pt idx="28">
                  <c:v>1.0016321507829238</c:v>
                </c:pt>
                <c:pt idx="29">
                  <c:v>1.0000860079785132</c:v>
                </c:pt>
                <c:pt idx="30">
                  <c:v>1.0013233698842963</c:v>
                </c:pt>
                <c:pt idx="31">
                  <c:v>0.99987504773153379</c:v>
                </c:pt>
                <c:pt idx="32">
                  <c:v>0.99974481478997068</c:v>
                </c:pt>
                <c:pt idx="33">
                  <c:v>0.99965887346568183</c:v>
                </c:pt>
                <c:pt idx="34">
                  <c:v>1.0001045262438535</c:v>
                </c:pt>
                <c:pt idx="35">
                  <c:v>0.99925681243998532</c:v>
                </c:pt>
                <c:pt idx="36">
                  <c:v>0.99897188803559334</c:v>
                </c:pt>
                <c:pt idx="37">
                  <c:v>0.99918804017336882</c:v>
                </c:pt>
                <c:pt idx="38">
                  <c:v>1.0004116146932545</c:v>
                </c:pt>
                <c:pt idx="39">
                  <c:v>1.0014315173883674</c:v>
                </c:pt>
                <c:pt idx="40">
                  <c:v>0.99915321533822554</c:v>
                </c:pt>
                <c:pt idx="41">
                  <c:v>1.0000339393425117</c:v>
                </c:pt>
                <c:pt idx="42">
                  <c:v>1.0015911890550997</c:v>
                </c:pt>
                <c:pt idx="43">
                  <c:v>0.99992013839004013</c:v>
                </c:pt>
                <c:pt idx="44">
                  <c:v>0.99984138566093361</c:v>
                </c:pt>
                <c:pt idx="45">
                  <c:v>1.0020948663459706</c:v>
                </c:pt>
                <c:pt idx="46">
                  <c:v>0.99984748607179197</c:v>
                </c:pt>
                <c:pt idx="47">
                  <c:v>0.99997571362164661</c:v>
                </c:pt>
                <c:pt idx="48">
                  <c:v>0.99966829260395551</c:v>
                </c:pt>
                <c:pt idx="49">
                  <c:v>0.99909314298215679</c:v>
                </c:pt>
                <c:pt idx="50">
                  <c:v>1.0010007058973223</c:v>
                </c:pt>
                <c:pt idx="51">
                  <c:v>0.99958766369064045</c:v>
                </c:pt>
                <c:pt idx="52">
                  <c:v>1.0033219952206291</c:v>
                </c:pt>
                <c:pt idx="53">
                  <c:v>1.0032806605791009</c:v>
                </c:pt>
                <c:pt idx="54">
                  <c:v>1.006562066003984</c:v>
                </c:pt>
                <c:pt idx="55">
                  <c:v>1.0047500181930047</c:v>
                </c:pt>
                <c:pt idx="56">
                  <c:v>1.0018980688986188</c:v>
                </c:pt>
                <c:pt idx="57">
                  <c:v>1.0037983811197366</c:v>
                </c:pt>
                <c:pt idx="58">
                  <c:v>1.0010735022435107</c:v>
                </c:pt>
                <c:pt idx="59">
                  <c:v>1.0020824918871372</c:v>
                </c:pt>
                <c:pt idx="60">
                  <c:v>0.99945100144593124</c:v>
                </c:pt>
                <c:pt idx="61">
                  <c:v>1.0029100806395534</c:v>
                </c:pt>
                <c:pt idx="62">
                  <c:v>1.0013319771670337</c:v>
                </c:pt>
                <c:pt idx="63">
                  <c:v>1.0007488180572601</c:v>
                </c:pt>
                <c:pt idx="64">
                  <c:v>1.0020739075812732</c:v>
                </c:pt>
                <c:pt idx="65">
                  <c:v>1.0019267815736306</c:v>
                </c:pt>
                <c:pt idx="66">
                  <c:v>0.99905477622133421</c:v>
                </c:pt>
                <c:pt idx="67">
                  <c:v>1.000480553560982</c:v>
                </c:pt>
                <c:pt idx="68">
                  <c:v>1.0003548751134681</c:v>
                </c:pt>
                <c:pt idx="69">
                  <c:v>1.0004430586607371</c:v>
                </c:pt>
                <c:pt idx="70">
                  <c:v>1.0005680276469622</c:v>
                </c:pt>
                <c:pt idx="71">
                  <c:v>1.0008291559036528</c:v>
                </c:pt>
                <c:pt idx="72">
                  <c:v>0.99975225781556609</c:v>
                </c:pt>
                <c:pt idx="73">
                  <c:v>0.99912318763135766</c:v>
                </c:pt>
                <c:pt idx="74">
                  <c:v>0.9999337857092544</c:v>
                </c:pt>
                <c:pt idx="75">
                  <c:v>0.99898234910369288</c:v>
                </c:pt>
                <c:pt idx="76">
                  <c:v>1.0016092433544259</c:v>
                </c:pt>
                <c:pt idx="77">
                  <c:v>0.99985654889146525</c:v>
                </c:pt>
                <c:pt idx="78">
                  <c:v>0.99999244957576749</c:v>
                </c:pt>
                <c:pt idx="79">
                  <c:v>0.99917732621789779</c:v>
                </c:pt>
                <c:pt idx="80">
                  <c:v>1.0003179851570652</c:v>
                </c:pt>
                <c:pt idx="81">
                  <c:v>0.99970863846145175</c:v>
                </c:pt>
                <c:pt idx="82">
                  <c:v>1.0010221772181247</c:v>
                </c:pt>
                <c:pt idx="83">
                  <c:v>0.99846910751098394</c:v>
                </c:pt>
                <c:pt idx="84">
                  <c:v>0.99817251376711102</c:v>
                </c:pt>
                <c:pt idx="85">
                  <c:v>0.99874759428725068</c:v>
                </c:pt>
                <c:pt idx="86">
                  <c:v>0.99700452201439327</c:v>
                </c:pt>
                <c:pt idx="87">
                  <c:v>0.99666542439458949</c:v>
                </c:pt>
                <c:pt idx="88">
                  <c:v>0.99861390041626141</c:v>
                </c:pt>
                <c:pt idx="89">
                  <c:v>0.99895530754595985</c:v>
                </c:pt>
                <c:pt idx="90">
                  <c:v>0.99610321165939142</c:v>
                </c:pt>
                <c:pt idx="91">
                  <c:v>0.9973295547042188</c:v>
                </c:pt>
                <c:pt idx="92">
                  <c:v>0.99933160676704158</c:v>
                </c:pt>
                <c:pt idx="93">
                  <c:v>0.99933160676704158</c:v>
                </c:pt>
                <c:pt idx="94">
                  <c:v>0.99918238684992777</c:v>
                </c:pt>
                <c:pt idx="95">
                  <c:v>0.99918238684992777</c:v>
                </c:pt>
                <c:pt idx="96">
                  <c:v>0.99622388125724148</c:v>
                </c:pt>
                <c:pt idx="97">
                  <c:v>0.99954701903220666</c:v>
                </c:pt>
                <c:pt idx="98">
                  <c:v>0.99873899833892787</c:v>
                </c:pt>
                <c:pt idx="99">
                  <c:v>0.99864118882179986</c:v>
                </c:pt>
                <c:pt idx="100">
                  <c:v>0.99866216160534471</c:v>
                </c:pt>
                <c:pt idx="101">
                  <c:v>0.99725948577400592</c:v>
                </c:pt>
                <c:pt idx="102">
                  <c:v>0.99742199478276616</c:v>
                </c:pt>
              </c:numCache>
            </c:numRef>
          </c:yVal>
          <c:smooth val="0"/>
        </c:ser>
        <c:ser>
          <c:idx val="1"/>
          <c:order val="2"/>
          <c:tx>
            <c:v>Max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chemeClr val="accent3"/>
              </a:solidFill>
              <a:ln w="19050">
                <a:solidFill>
                  <a:schemeClr val="tx1"/>
                </a:solidFill>
              </a:ln>
            </c:spPr>
          </c:marker>
          <c:trendline>
            <c:spPr>
              <a:ln w="50800">
                <a:solidFill>
                  <a:schemeClr val="accent3"/>
                </a:solidFill>
              </a:ln>
            </c:spPr>
            <c:trendlineType val="movingAvg"/>
            <c:period val="5"/>
            <c:dispRSqr val="0"/>
            <c:dispEq val="0"/>
          </c:trendline>
          <c:xVal>
            <c:numRef>
              <c:f>Data!$C$5:$C$107</c:f>
              <c:numCache>
                <c:formatCode>m/d/yyyy</c:formatCode>
                <c:ptCount val="103"/>
                <c:pt idx="0">
                  <c:v>42373</c:v>
                </c:pt>
                <c:pt idx="1">
                  <c:v>42380</c:v>
                </c:pt>
                <c:pt idx="2">
                  <c:v>42382</c:v>
                </c:pt>
                <c:pt idx="3">
                  <c:v>42383</c:v>
                </c:pt>
                <c:pt idx="4">
                  <c:v>42389</c:v>
                </c:pt>
                <c:pt idx="5">
                  <c:v>42390</c:v>
                </c:pt>
                <c:pt idx="6">
                  <c:v>42394</c:v>
                </c:pt>
                <c:pt idx="7">
                  <c:v>42396</c:v>
                </c:pt>
                <c:pt idx="8">
                  <c:v>42397</c:v>
                </c:pt>
                <c:pt idx="9">
                  <c:v>42401</c:v>
                </c:pt>
                <c:pt idx="10">
                  <c:v>42403</c:v>
                </c:pt>
                <c:pt idx="11">
                  <c:v>42404</c:v>
                </c:pt>
                <c:pt idx="12">
                  <c:v>42408</c:v>
                </c:pt>
                <c:pt idx="13">
                  <c:v>42410</c:v>
                </c:pt>
                <c:pt idx="14">
                  <c:v>42411</c:v>
                </c:pt>
                <c:pt idx="15">
                  <c:v>42415</c:v>
                </c:pt>
                <c:pt idx="16">
                  <c:v>42417</c:v>
                </c:pt>
                <c:pt idx="17">
                  <c:v>42418</c:v>
                </c:pt>
                <c:pt idx="18">
                  <c:v>42422</c:v>
                </c:pt>
                <c:pt idx="19">
                  <c:v>42424</c:v>
                </c:pt>
                <c:pt idx="20">
                  <c:v>42425</c:v>
                </c:pt>
                <c:pt idx="21">
                  <c:v>42429</c:v>
                </c:pt>
                <c:pt idx="22">
                  <c:v>42431</c:v>
                </c:pt>
                <c:pt idx="23">
                  <c:v>42432</c:v>
                </c:pt>
                <c:pt idx="24">
                  <c:v>42436</c:v>
                </c:pt>
                <c:pt idx="25">
                  <c:v>42438</c:v>
                </c:pt>
                <c:pt idx="26">
                  <c:v>42439</c:v>
                </c:pt>
                <c:pt idx="27">
                  <c:v>42443</c:v>
                </c:pt>
                <c:pt idx="28">
                  <c:v>42445</c:v>
                </c:pt>
                <c:pt idx="29">
                  <c:v>42446</c:v>
                </c:pt>
                <c:pt idx="30">
                  <c:v>42452</c:v>
                </c:pt>
                <c:pt idx="31">
                  <c:v>42453</c:v>
                </c:pt>
                <c:pt idx="32">
                  <c:v>42459</c:v>
                </c:pt>
                <c:pt idx="33">
                  <c:v>42460</c:v>
                </c:pt>
                <c:pt idx="34">
                  <c:v>42464</c:v>
                </c:pt>
                <c:pt idx="35">
                  <c:v>42473</c:v>
                </c:pt>
                <c:pt idx="36">
                  <c:v>42480</c:v>
                </c:pt>
                <c:pt idx="37">
                  <c:v>42485</c:v>
                </c:pt>
                <c:pt idx="38">
                  <c:v>42487</c:v>
                </c:pt>
                <c:pt idx="39">
                  <c:v>42492</c:v>
                </c:pt>
                <c:pt idx="40">
                  <c:v>42499</c:v>
                </c:pt>
                <c:pt idx="41">
                  <c:v>42501</c:v>
                </c:pt>
                <c:pt idx="42">
                  <c:v>42502</c:v>
                </c:pt>
                <c:pt idx="43">
                  <c:v>42506</c:v>
                </c:pt>
                <c:pt idx="44">
                  <c:v>42508</c:v>
                </c:pt>
                <c:pt idx="45">
                  <c:v>42509</c:v>
                </c:pt>
                <c:pt idx="46">
                  <c:v>42513</c:v>
                </c:pt>
                <c:pt idx="47">
                  <c:v>42515</c:v>
                </c:pt>
                <c:pt idx="48">
                  <c:v>42522</c:v>
                </c:pt>
                <c:pt idx="49">
                  <c:v>42528</c:v>
                </c:pt>
                <c:pt idx="50">
                  <c:v>42530</c:v>
                </c:pt>
                <c:pt idx="51">
                  <c:v>42531</c:v>
                </c:pt>
                <c:pt idx="52">
                  <c:v>42564</c:v>
                </c:pt>
                <c:pt idx="53">
                  <c:v>42565</c:v>
                </c:pt>
                <c:pt idx="54">
                  <c:v>42583</c:v>
                </c:pt>
                <c:pt idx="55">
                  <c:v>42585</c:v>
                </c:pt>
                <c:pt idx="56">
                  <c:v>42586</c:v>
                </c:pt>
                <c:pt idx="57">
                  <c:v>42590</c:v>
                </c:pt>
                <c:pt idx="58">
                  <c:v>42591</c:v>
                </c:pt>
                <c:pt idx="59">
                  <c:v>42592</c:v>
                </c:pt>
                <c:pt idx="60">
                  <c:v>42593</c:v>
                </c:pt>
                <c:pt idx="61">
                  <c:v>42597</c:v>
                </c:pt>
                <c:pt idx="62">
                  <c:v>42599</c:v>
                </c:pt>
                <c:pt idx="63">
                  <c:v>42604</c:v>
                </c:pt>
                <c:pt idx="64">
                  <c:v>42606</c:v>
                </c:pt>
                <c:pt idx="65">
                  <c:v>42607</c:v>
                </c:pt>
                <c:pt idx="66">
                  <c:v>42611</c:v>
                </c:pt>
                <c:pt idx="67">
                  <c:v>42613</c:v>
                </c:pt>
                <c:pt idx="68">
                  <c:v>42614</c:v>
                </c:pt>
                <c:pt idx="69">
                  <c:v>42618</c:v>
                </c:pt>
                <c:pt idx="70">
                  <c:v>42620</c:v>
                </c:pt>
                <c:pt idx="71">
                  <c:v>42625</c:v>
                </c:pt>
                <c:pt idx="72">
                  <c:v>42627</c:v>
                </c:pt>
                <c:pt idx="73">
                  <c:v>42634</c:v>
                </c:pt>
                <c:pt idx="74">
                  <c:v>42639</c:v>
                </c:pt>
                <c:pt idx="75">
                  <c:v>42641</c:v>
                </c:pt>
                <c:pt idx="76">
                  <c:v>42642</c:v>
                </c:pt>
                <c:pt idx="77">
                  <c:v>42646</c:v>
                </c:pt>
                <c:pt idx="78">
                  <c:v>42647</c:v>
                </c:pt>
                <c:pt idx="79">
                  <c:v>42648</c:v>
                </c:pt>
                <c:pt idx="80">
                  <c:v>42653</c:v>
                </c:pt>
                <c:pt idx="81">
                  <c:v>42655</c:v>
                </c:pt>
                <c:pt idx="82">
                  <c:v>42660</c:v>
                </c:pt>
                <c:pt idx="83">
                  <c:v>42662</c:v>
                </c:pt>
                <c:pt idx="84">
                  <c:v>42664</c:v>
                </c:pt>
                <c:pt idx="85">
                  <c:v>42664</c:v>
                </c:pt>
                <c:pt idx="86">
                  <c:v>42664</c:v>
                </c:pt>
                <c:pt idx="87">
                  <c:v>42667</c:v>
                </c:pt>
                <c:pt idx="88">
                  <c:v>42669</c:v>
                </c:pt>
                <c:pt idx="89">
                  <c:v>42670</c:v>
                </c:pt>
                <c:pt idx="90">
                  <c:v>42674</c:v>
                </c:pt>
                <c:pt idx="91">
                  <c:v>42683</c:v>
                </c:pt>
                <c:pt idx="92">
                  <c:v>42688</c:v>
                </c:pt>
                <c:pt idx="93">
                  <c:v>42688</c:v>
                </c:pt>
                <c:pt idx="94">
                  <c:v>42690</c:v>
                </c:pt>
                <c:pt idx="95">
                  <c:v>42690</c:v>
                </c:pt>
                <c:pt idx="96">
                  <c:v>42695</c:v>
                </c:pt>
                <c:pt idx="97">
                  <c:v>42697</c:v>
                </c:pt>
                <c:pt idx="98">
                  <c:v>42698</c:v>
                </c:pt>
                <c:pt idx="99">
                  <c:v>42702</c:v>
                </c:pt>
                <c:pt idx="100">
                  <c:v>42704</c:v>
                </c:pt>
                <c:pt idx="101">
                  <c:v>42709</c:v>
                </c:pt>
                <c:pt idx="102">
                  <c:v>42711</c:v>
                </c:pt>
              </c:numCache>
            </c:numRef>
          </c:xVal>
          <c:yVal>
            <c:numRef>
              <c:f>Data!$HR$5:$HR$107</c:f>
              <c:numCache>
                <c:formatCode>0.000</c:formatCode>
                <c:ptCount val="103"/>
                <c:pt idx="0">
                  <c:v>1.0014751827445929</c:v>
                </c:pt>
                <c:pt idx="1">
                  <c:v>1.0025474632626967</c:v>
                </c:pt>
                <c:pt idx="2">
                  <c:v>1.0026241282312836</c:v>
                </c:pt>
                <c:pt idx="3">
                  <c:v>1.0021880000418906</c:v>
                </c:pt>
                <c:pt idx="4">
                  <c:v>1.0011117240666219</c:v>
                </c:pt>
                <c:pt idx="5">
                  <c:v>1.0007202678012732</c:v>
                </c:pt>
                <c:pt idx="6">
                  <c:v>1.0025172420102504</c:v>
                </c:pt>
                <c:pt idx="7">
                  <c:v>1.002236285878356</c:v>
                </c:pt>
                <c:pt idx="8">
                  <c:v>1.0355906227059319</c:v>
                </c:pt>
                <c:pt idx="9">
                  <c:v>1.0015340905575134</c:v>
                </c:pt>
                <c:pt idx="10">
                  <c:v>1.002356409750738</c:v>
                </c:pt>
                <c:pt idx="11">
                  <c:v>1.001463327211616</c:v>
                </c:pt>
                <c:pt idx="12">
                  <c:v>1.0037527265675099</c:v>
                </c:pt>
                <c:pt idx="13">
                  <c:v>1.0018804507204122</c:v>
                </c:pt>
                <c:pt idx="14">
                  <c:v>1.0013805495825483</c:v>
                </c:pt>
                <c:pt idx="15">
                  <c:v>1.0006595028968848</c:v>
                </c:pt>
                <c:pt idx="16">
                  <c:v>1.007119415687028</c:v>
                </c:pt>
                <c:pt idx="17">
                  <c:v>1.0022591560464305</c:v>
                </c:pt>
                <c:pt idx="18">
                  <c:v>1.003778281057387</c:v>
                </c:pt>
                <c:pt idx="19">
                  <c:v>1.0017068559691007</c:v>
                </c:pt>
                <c:pt idx="20">
                  <c:v>1.0028355832171487</c:v>
                </c:pt>
                <c:pt idx="21">
                  <c:v>1.0008831333786541</c:v>
                </c:pt>
                <c:pt idx="22">
                  <c:v>1.0035966877886899</c:v>
                </c:pt>
                <c:pt idx="23">
                  <c:v>1.0025606894720933</c:v>
                </c:pt>
                <c:pt idx="24">
                  <c:v>1.001794363718024</c:v>
                </c:pt>
                <c:pt idx="25">
                  <c:v>1.0007249662295401</c:v>
                </c:pt>
                <c:pt idx="26">
                  <c:v>1.0003915142509818</c:v>
                </c:pt>
                <c:pt idx="27">
                  <c:v>1.0021573139773572</c:v>
                </c:pt>
                <c:pt idx="28">
                  <c:v>1.0040912604175298</c:v>
                </c:pt>
                <c:pt idx="29">
                  <c:v>1.0031156178588769</c:v>
                </c:pt>
                <c:pt idx="30">
                  <c:v>1.0031292665900244</c:v>
                </c:pt>
                <c:pt idx="31">
                  <c:v>1.0027182809204784</c:v>
                </c:pt>
                <c:pt idx="32">
                  <c:v>1.0014724861357944</c:v>
                </c:pt>
                <c:pt idx="33">
                  <c:v>1.001038325164928</c:v>
                </c:pt>
                <c:pt idx="34">
                  <c:v>1.0025280308132325</c:v>
                </c:pt>
                <c:pt idx="35">
                  <c:v>1.0025950418810186</c:v>
                </c:pt>
                <c:pt idx="36">
                  <c:v>1.0006554562046586</c:v>
                </c:pt>
                <c:pt idx="37">
                  <c:v>1.0021041327517337</c:v>
                </c:pt>
                <c:pt idx="38">
                  <c:v>1.0060118315572113</c:v>
                </c:pt>
                <c:pt idx="39">
                  <c:v>1.0037203015583713</c:v>
                </c:pt>
                <c:pt idx="40">
                  <c:v>1.0012472041724276</c:v>
                </c:pt>
                <c:pt idx="41">
                  <c:v>1.0025432169251598</c:v>
                </c:pt>
                <c:pt idx="42">
                  <c:v>1.0036937964639332</c:v>
                </c:pt>
                <c:pt idx="43">
                  <c:v>1.0014625093697582</c:v>
                </c:pt>
                <c:pt idx="44">
                  <c:v>1.0022455379281758</c:v>
                </c:pt>
                <c:pt idx="45">
                  <c:v>1.0043387269157757</c:v>
                </c:pt>
                <c:pt idx="46">
                  <c:v>1.0026612049432222</c:v>
                </c:pt>
                <c:pt idx="47">
                  <c:v>1.0021805106122019</c:v>
                </c:pt>
                <c:pt idx="48">
                  <c:v>1.0017957201541037</c:v>
                </c:pt>
                <c:pt idx="49">
                  <c:v>1.0026914873873223</c:v>
                </c:pt>
                <c:pt idx="50">
                  <c:v>1.004424134317504</c:v>
                </c:pt>
                <c:pt idx="51">
                  <c:v>1.0019829311940134</c:v>
                </c:pt>
                <c:pt idx="52">
                  <c:v>1.0096762225288984</c:v>
                </c:pt>
                <c:pt idx="53">
                  <c:v>1.0077245269528017</c:v>
                </c:pt>
                <c:pt idx="54">
                  <c:v>1.0098886504626277</c:v>
                </c:pt>
                <c:pt idx="55">
                  <c:v>1.0077490143991457</c:v>
                </c:pt>
                <c:pt idx="56">
                  <c:v>1.0052516731388632</c:v>
                </c:pt>
                <c:pt idx="57">
                  <c:v>1.0068166007695156</c:v>
                </c:pt>
                <c:pt idx="58">
                  <c:v>1.0054514877293603</c:v>
                </c:pt>
                <c:pt idx="59">
                  <c:v>1.0048778104904177</c:v>
                </c:pt>
                <c:pt idx="60">
                  <c:v>1.0023673078133315</c:v>
                </c:pt>
                <c:pt idx="61">
                  <c:v>1.0060087041659711</c:v>
                </c:pt>
                <c:pt idx="62">
                  <c:v>1.0049526997765406</c:v>
                </c:pt>
                <c:pt idx="63">
                  <c:v>1.0032268716034431</c:v>
                </c:pt>
                <c:pt idx="64">
                  <c:v>1.0058571833873373</c:v>
                </c:pt>
                <c:pt idx="65">
                  <c:v>1.0043738354764231</c:v>
                </c:pt>
                <c:pt idx="66">
                  <c:v>1.00245974407281</c:v>
                </c:pt>
                <c:pt idx="67">
                  <c:v>1.0045097768489115</c:v>
                </c:pt>
                <c:pt idx="68">
                  <c:v>1.0028233267308659</c:v>
                </c:pt>
                <c:pt idx="69">
                  <c:v>1.0043993759535754</c:v>
                </c:pt>
                <c:pt idx="70">
                  <c:v>1.0033407423255616</c:v>
                </c:pt>
                <c:pt idx="71">
                  <c:v>1.0035274487310277</c:v>
                </c:pt>
                <c:pt idx="72">
                  <c:v>1.0032507456425197</c:v>
                </c:pt>
                <c:pt idx="73">
                  <c:v>1.0015692095865736</c:v>
                </c:pt>
                <c:pt idx="74">
                  <c:v>1.0024895263941465</c:v>
                </c:pt>
                <c:pt idx="75">
                  <c:v>1.002307526226516</c:v>
                </c:pt>
                <c:pt idx="76">
                  <c:v>1.0042344801207543</c:v>
                </c:pt>
                <c:pt idx="77">
                  <c:v>1.0016467890021901</c:v>
                </c:pt>
                <c:pt idx="78">
                  <c:v>1.0050108974267082</c:v>
                </c:pt>
                <c:pt idx="79">
                  <c:v>1.0007469041439974</c:v>
                </c:pt>
                <c:pt idx="80">
                  <c:v>1.0027239196189635</c:v>
                </c:pt>
                <c:pt idx="81">
                  <c:v>1.0025473052936495</c:v>
                </c:pt>
                <c:pt idx="82">
                  <c:v>1.0045032302533745</c:v>
                </c:pt>
                <c:pt idx="83">
                  <c:v>1.0016807389663007</c:v>
                </c:pt>
                <c:pt idx="84">
                  <c:v>1.0073161911531807</c:v>
                </c:pt>
                <c:pt idx="85">
                  <c:v>1.0033746458936805</c:v>
                </c:pt>
                <c:pt idx="86">
                  <c:v>0.99991643861008794</c:v>
                </c:pt>
                <c:pt idx="87">
                  <c:v>0.99901322866437814</c:v>
                </c:pt>
                <c:pt idx="88">
                  <c:v>1.0038453476726115</c:v>
                </c:pt>
                <c:pt idx="89">
                  <c:v>1.0036632539793877</c:v>
                </c:pt>
                <c:pt idx="90">
                  <c:v>0.99866520990809149</c:v>
                </c:pt>
                <c:pt idx="91">
                  <c:v>0.99925342883863277</c:v>
                </c:pt>
                <c:pt idx="92">
                  <c:v>1.0016682184025083</c:v>
                </c:pt>
                <c:pt idx="93">
                  <c:v>1.0016682184025083</c:v>
                </c:pt>
                <c:pt idx="94">
                  <c:v>1.0015373804712144</c:v>
                </c:pt>
                <c:pt idx="95">
                  <c:v>1.0015373804712144</c:v>
                </c:pt>
                <c:pt idx="96">
                  <c:v>0.99946703424218675</c:v>
                </c:pt>
                <c:pt idx="97">
                  <c:v>1.0040978423633848</c:v>
                </c:pt>
                <c:pt idx="98">
                  <c:v>1.0007373321409407</c:v>
                </c:pt>
                <c:pt idx="99">
                  <c:v>1.0010941219365095</c:v>
                </c:pt>
                <c:pt idx="100">
                  <c:v>1.0016398826261932</c:v>
                </c:pt>
                <c:pt idx="101">
                  <c:v>1.0010971815369096</c:v>
                </c:pt>
                <c:pt idx="102">
                  <c:v>1.002045851167904</c:v>
                </c:pt>
              </c:numCache>
            </c:numRef>
          </c:yVal>
          <c:smooth val="0"/>
        </c:ser>
        <c:ser>
          <c:idx val="2"/>
          <c:order val="3"/>
          <c:tx>
            <c:v>Åtgärdsnivå</c:v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Övrigt!$G$26:$G$27</c:f>
              <c:numCache>
                <c:formatCode>m/d/yyyy</c:formatCode>
                <c:ptCount val="2"/>
                <c:pt idx="0">
                  <c:v>42620</c:v>
                </c:pt>
                <c:pt idx="1">
                  <c:v>42711</c:v>
                </c:pt>
              </c:numCache>
            </c:numRef>
          </c:xVal>
          <c:yVal>
            <c:numRef>
              <c:f>Övrigt!$H$26:$H$27</c:f>
              <c:numCache>
                <c:formatCode>General</c:formatCode>
                <c:ptCount val="2"/>
                <c:pt idx="0">
                  <c:v>0.98</c:v>
                </c:pt>
                <c:pt idx="1">
                  <c:v>0.98</c:v>
                </c:pt>
              </c:numCache>
            </c:numRef>
          </c:yVal>
          <c:smooth val="0"/>
        </c:ser>
        <c:ser>
          <c:idx val="4"/>
          <c:order val="4"/>
          <c:spPr>
            <a:ln w="381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Övrigt!$G$29:$G$30</c:f>
              <c:numCache>
                <c:formatCode>m/d/yyyy</c:formatCode>
                <c:ptCount val="2"/>
                <c:pt idx="0">
                  <c:v>42620</c:v>
                </c:pt>
                <c:pt idx="1">
                  <c:v>42711</c:v>
                </c:pt>
              </c:numCache>
            </c:numRef>
          </c:xVal>
          <c:yVal>
            <c:numRef>
              <c:f>Övrigt!$H$29:$H$30</c:f>
              <c:numCache>
                <c:formatCode>General</c:formatCode>
                <c:ptCount val="2"/>
                <c:pt idx="0">
                  <c:v>1.02</c:v>
                </c:pt>
                <c:pt idx="1">
                  <c:v>1.02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05952"/>
        <c:axId val="97007488"/>
      </c:scatterChart>
      <c:valAx>
        <c:axId val="97005952"/>
        <c:scaling>
          <c:orientation val="minMax"/>
          <c:min val="42620"/>
        </c:scaling>
        <c:delete val="0"/>
        <c:axPos val="b"/>
        <c:numFmt formatCode="[$-41D]mmm/yy;@" sourceLinked="0"/>
        <c:majorTickMark val="out"/>
        <c:minorTickMark val="none"/>
        <c:tickLblPos val="nextTo"/>
        <c:txPr>
          <a:bodyPr rot="-1860000"/>
          <a:lstStyle/>
          <a:p>
            <a:pPr>
              <a:defRPr/>
            </a:pPr>
            <a:endParaRPr lang="sv-SE"/>
          </a:p>
        </c:txPr>
        <c:crossAx val="97007488"/>
        <c:crosses val="autoZero"/>
        <c:crossBetween val="midCat"/>
      </c:valAx>
      <c:valAx>
        <c:axId val="97007488"/>
        <c:scaling>
          <c:orientation val="minMax"/>
          <c:max val="1.03"/>
          <c:min val="0.97000000000000008"/>
        </c:scaling>
        <c:delete val="0"/>
        <c:axPos val="l"/>
        <c:numFmt formatCode="0%" sourceLinked="0"/>
        <c:majorTickMark val="out"/>
        <c:minorTickMark val="none"/>
        <c:tickLblPos val="nextTo"/>
        <c:crossAx val="97005952"/>
        <c:crosses val="autoZero"/>
        <c:crossBetween val="midCat"/>
        <c:majorUnit val="1.0000000000000002E-2"/>
        <c:minorUnit val="1.0000000000000002E-2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67232</xdr:colOff>
      <xdr:row>12</xdr:row>
      <xdr:rowOff>22412</xdr:rowOff>
    </xdr:from>
    <xdr:to>
      <xdr:col>6</xdr:col>
      <xdr:colOff>156883</xdr:colOff>
      <xdr:row>18</xdr:row>
      <xdr:rowOff>0</xdr:rowOff>
    </xdr:to>
    <xdr:grpSp>
      <xdr:nvGrpSpPr>
        <xdr:cNvPr id="4" name="Grupp 3"/>
        <xdr:cNvGrpSpPr/>
      </xdr:nvGrpSpPr>
      <xdr:grpSpPr>
        <a:xfrm>
          <a:off x="560291" y="2711824"/>
          <a:ext cx="4504768" cy="1725705"/>
          <a:chOff x="9022773" y="987136"/>
          <a:chExt cx="6702136" cy="1939637"/>
        </a:xfrm>
      </xdr:grpSpPr>
      <xdr:grpSp>
        <xdr:nvGrpSpPr>
          <xdr:cNvPr id="53" name="Grupp 52"/>
          <xdr:cNvGrpSpPr/>
        </xdr:nvGrpSpPr>
        <xdr:grpSpPr>
          <a:xfrm>
            <a:off x="9184265" y="1125682"/>
            <a:ext cx="6379153" cy="1662545"/>
            <a:chOff x="3439232" y="915715"/>
            <a:chExt cx="4361962" cy="1269628"/>
          </a:xfrm>
          <a:solidFill>
            <a:schemeClr val="bg1">
              <a:lumMod val="95000"/>
            </a:schemeClr>
          </a:solidFill>
        </xdr:grpSpPr>
        <xdr:grpSp>
          <xdr:nvGrpSpPr>
            <xdr:cNvPr id="35" name="Grupp 34"/>
            <xdr:cNvGrpSpPr/>
          </xdr:nvGrpSpPr>
          <xdr:grpSpPr>
            <a:xfrm>
              <a:off x="3439232" y="915715"/>
              <a:ext cx="360000" cy="1269628"/>
              <a:chOff x="3440206" y="885263"/>
              <a:chExt cx="360000" cy="1245267"/>
            </a:xfrm>
            <a:grpFill/>
          </xdr:grpSpPr>
          <xdr:sp macro="" textlink="">
            <xdr:nvSpPr>
              <xdr:cNvPr id="8" name="textruta 7"/>
              <xdr:cNvSpPr txBox="1">
                <a:spLocks noChangeAspect="1"/>
              </xdr:cNvSpPr>
            </xdr:nvSpPr>
            <xdr:spPr>
              <a:xfrm>
                <a:off x="3440206" y="885263"/>
                <a:ext cx="360000" cy="360000"/>
              </a:xfrm>
              <a:prstGeom prst="rect">
                <a:avLst/>
              </a:prstGeom>
              <a:grp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 anchorCtr="0"/>
              <a:lstStyle/>
              <a:p>
                <a:pPr algn="ctr"/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1</a:t>
                </a:r>
                <a:r>
                  <a:rPr lang="sv-SE" sz="1100" baseline="0">
                    <a:latin typeface="Arial" panose="020B0604020202020204" pitchFamily="34" charset="0"/>
                    <a:cs typeface="Arial" panose="020B0604020202020204" pitchFamily="34" charset="0"/>
                  </a:rPr>
                  <a:t> </a:t>
                </a:r>
                <a:br>
                  <a:rPr lang="sv-SE" sz="1100" baseline="0">
                    <a:latin typeface="Arial" panose="020B0604020202020204" pitchFamily="34" charset="0"/>
                    <a:cs typeface="Arial" panose="020B0604020202020204" pitchFamily="34" charset="0"/>
                  </a:rPr>
                </a:br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(</a:t>
                </a:r>
                <a:r>
                  <a:rPr lang="sv-SE" sz="1100" baseline="0">
                    <a:latin typeface="Arial" panose="020B0604020202020204" pitchFamily="34" charset="0"/>
                    <a:cs typeface="Arial" panose="020B0604020202020204" pitchFamily="34" charset="0"/>
                  </a:rPr>
                  <a:t>1)</a:t>
                </a:r>
              </a:p>
            </xdr:txBody>
          </xdr:sp>
          <xdr:sp macro="" textlink="">
            <xdr:nvSpPr>
              <xdr:cNvPr id="9" name="textruta 8"/>
              <xdr:cNvSpPr txBox="1">
                <a:spLocks noChangeAspect="1"/>
              </xdr:cNvSpPr>
            </xdr:nvSpPr>
            <xdr:spPr>
              <a:xfrm>
                <a:off x="3440206" y="1327896"/>
                <a:ext cx="360000" cy="360000"/>
              </a:xfrm>
              <a:prstGeom prst="rect">
                <a:avLst/>
              </a:prstGeom>
              <a:grp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 anchorCtr="0"/>
              <a:lstStyle/>
              <a:p>
                <a:pPr algn="ctr"/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3 (10)</a:t>
                </a:r>
              </a:p>
            </xdr:txBody>
          </xdr:sp>
          <xdr:sp macro="" textlink="">
            <xdr:nvSpPr>
              <xdr:cNvPr id="10" name="textruta 9"/>
              <xdr:cNvSpPr txBox="1">
                <a:spLocks noChangeAspect="1"/>
              </xdr:cNvSpPr>
            </xdr:nvSpPr>
            <xdr:spPr>
              <a:xfrm>
                <a:off x="3440206" y="1770530"/>
                <a:ext cx="360000" cy="360000"/>
              </a:xfrm>
              <a:prstGeom prst="rect">
                <a:avLst/>
              </a:prstGeom>
              <a:grp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 anchorCtr="0"/>
              <a:lstStyle/>
              <a:p>
                <a:pPr algn="ctr"/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7</a:t>
                </a:r>
                <a:r>
                  <a:rPr lang="sv-SE" sz="1100" baseline="0">
                    <a:latin typeface="Arial" panose="020B0604020202020204" pitchFamily="34" charset="0"/>
                    <a:cs typeface="Arial" panose="020B0604020202020204" pitchFamily="34" charset="0"/>
                  </a:rPr>
                  <a:t> </a:t>
                </a:r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(19)</a:t>
                </a:r>
              </a:p>
            </xdr:txBody>
          </xdr:sp>
        </xdr:grpSp>
        <xdr:sp macro="" textlink="">
          <xdr:nvSpPr>
            <xdr:cNvPr id="12" name="textruta 11"/>
            <xdr:cNvSpPr txBox="1">
              <a:spLocks noChangeAspect="1"/>
            </xdr:cNvSpPr>
          </xdr:nvSpPr>
          <xdr:spPr>
            <a:xfrm>
              <a:off x="3941913" y="1368094"/>
              <a:ext cx="360000" cy="364871"/>
            </a:xfrm>
            <a:prstGeom prst="rect">
              <a:avLst/>
            </a:prstGeom>
            <a:grpFill/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0"/>
            <a:lstStyle/>
            <a:p>
              <a:pPr algn="ctr"/>
              <a:r>
                <a:rPr lang="sv-SE" sz="1100">
                  <a:latin typeface="Arial" panose="020B0604020202020204" pitchFamily="34" charset="0"/>
                  <a:cs typeface="Arial" panose="020B0604020202020204" pitchFamily="34" charset="0"/>
                </a:rPr>
                <a:t>4 (11)</a:t>
              </a:r>
            </a:p>
          </xdr:txBody>
        </xdr:sp>
        <xdr:grpSp>
          <xdr:nvGrpSpPr>
            <xdr:cNvPr id="36" name="Grupp 35"/>
            <xdr:cNvGrpSpPr/>
          </xdr:nvGrpSpPr>
          <xdr:grpSpPr>
            <a:xfrm>
              <a:off x="4444594" y="915715"/>
              <a:ext cx="355129" cy="1269628"/>
              <a:chOff x="4594411" y="885264"/>
              <a:chExt cx="360000" cy="1245267"/>
            </a:xfrm>
            <a:grpFill/>
          </xdr:grpSpPr>
          <xdr:sp macro="" textlink="">
            <xdr:nvSpPr>
              <xdr:cNvPr id="14" name="textruta 13"/>
              <xdr:cNvSpPr txBox="1">
                <a:spLocks noChangeAspect="1"/>
              </xdr:cNvSpPr>
            </xdr:nvSpPr>
            <xdr:spPr>
              <a:xfrm>
                <a:off x="4594411" y="885264"/>
                <a:ext cx="360000" cy="360000"/>
              </a:xfrm>
              <a:prstGeom prst="rect">
                <a:avLst/>
              </a:prstGeom>
              <a:grp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 anchorCtr="0"/>
              <a:lstStyle/>
              <a:p>
                <a:pPr algn="ctr"/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2</a:t>
                </a:r>
                <a:b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</a:br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(3)</a:t>
                </a:r>
              </a:p>
            </xdr:txBody>
          </xdr:sp>
          <xdr:sp macro="" textlink="">
            <xdr:nvSpPr>
              <xdr:cNvPr id="15" name="textruta 14"/>
              <xdr:cNvSpPr txBox="1">
                <a:spLocks noChangeAspect="1"/>
              </xdr:cNvSpPr>
            </xdr:nvSpPr>
            <xdr:spPr>
              <a:xfrm>
                <a:off x="4594411" y="1327898"/>
                <a:ext cx="360000" cy="360000"/>
              </a:xfrm>
              <a:prstGeom prst="rect">
                <a:avLst/>
              </a:prstGeom>
              <a:grp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 anchorCtr="0"/>
              <a:lstStyle/>
              <a:p>
                <a:pPr algn="ctr"/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5</a:t>
                </a:r>
                <a:r>
                  <a:rPr lang="sv-SE" sz="1100" baseline="0">
                    <a:latin typeface="Arial" panose="020B0604020202020204" pitchFamily="34" charset="0"/>
                    <a:cs typeface="Arial" panose="020B0604020202020204" pitchFamily="34" charset="0"/>
                  </a:rPr>
                  <a:t> </a:t>
                </a:r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(12)</a:t>
                </a:r>
              </a:p>
            </xdr:txBody>
          </xdr:sp>
          <xdr:sp macro="" textlink="">
            <xdr:nvSpPr>
              <xdr:cNvPr id="16" name="textruta 15"/>
              <xdr:cNvSpPr txBox="1">
                <a:spLocks noChangeAspect="1"/>
              </xdr:cNvSpPr>
            </xdr:nvSpPr>
            <xdr:spPr>
              <a:xfrm>
                <a:off x="4594411" y="1770531"/>
                <a:ext cx="360000" cy="360000"/>
              </a:xfrm>
              <a:prstGeom prst="rect">
                <a:avLst/>
              </a:prstGeom>
              <a:grp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 anchorCtr="0"/>
              <a:lstStyle/>
              <a:p>
                <a:pPr algn="ctr"/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8 (21)</a:t>
                </a:r>
              </a:p>
            </xdr:txBody>
          </xdr:sp>
        </xdr:grpSp>
        <xdr:grpSp>
          <xdr:nvGrpSpPr>
            <xdr:cNvPr id="37" name="Grupp 36"/>
            <xdr:cNvGrpSpPr/>
          </xdr:nvGrpSpPr>
          <xdr:grpSpPr>
            <a:xfrm>
              <a:off x="5445085" y="915715"/>
              <a:ext cx="355129" cy="1269628"/>
              <a:chOff x="4594411" y="885264"/>
              <a:chExt cx="360000" cy="1245267"/>
            </a:xfrm>
            <a:grpFill/>
          </xdr:grpSpPr>
          <xdr:sp macro="" textlink="">
            <xdr:nvSpPr>
              <xdr:cNvPr id="38" name="textruta 37"/>
              <xdr:cNvSpPr txBox="1">
                <a:spLocks noChangeAspect="1"/>
              </xdr:cNvSpPr>
            </xdr:nvSpPr>
            <xdr:spPr>
              <a:xfrm>
                <a:off x="4594411" y="885264"/>
                <a:ext cx="360000" cy="360000"/>
              </a:xfrm>
              <a:prstGeom prst="rect">
                <a:avLst/>
              </a:prstGeom>
              <a:grp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 anchorCtr="0"/>
              <a:lstStyle/>
              <a:p>
                <a:pPr algn="ctr"/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9 </a:t>
                </a:r>
                <a:b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</a:br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(5)</a:t>
                </a:r>
              </a:p>
            </xdr:txBody>
          </xdr:sp>
          <xdr:sp macro="" textlink="">
            <xdr:nvSpPr>
              <xdr:cNvPr id="39" name="textruta 38"/>
              <xdr:cNvSpPr txBox="1">
                <a:spLocks noChangeAspect="1"/>
              </xdr:cNvSpPr>
            </xdr:nvSpPr>
            <xdr:spPr>
              <a:xfrm>
                <a:off x="4594411" y="1327898"/>
                <a:ext cx="360000" cy="360000"/>
              </a:xfrm>
              <a:prstGeom prst="rect">
                <a:avLst/>
              </a:prstGeom>
              <a:grp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 anchorCtr="0"/>
              <a:lstStyle/>
              <a:p>
                <a:pPr algn="ctr"/>
                <a:r>
                  <a:rPr lang="sv-SE" sz="1100" baseline="0">
                    <a:latin typeface="Arial" panose="020B0604020202020204" pitchFamily="34" charset="0"/>
                    <a:cs typeface="Arial" panose="020B0604020202020204" pitchFamily="34" charset="0"/>
                  </a:rPr>
                  <a:t>10 </a:t>
                </a:r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(14)</a:t>
                </a:r>
              </a:p>
            </xdr:txBody>
          </xdr:sp>
          <xdr:sp macro="" textlink="">
            <xdr:nvSpPr>
              <xdr:cNvPr id="40" name="textruta 39"/>
              <xdr:cNvSpPr txBox="1">
                <a:spLocks noChangeAspect="1"/>
              </xdr:cNvSpPr>
            </xdr:nvSpPr>
            <xdr:spPr>
              <a:xfrm>
                <a:off x="4594411" y="1770531"/>
                <a:ext cx="360000" cy="360000"/>
              </a:xfrm>
              <a:prstGeom prst="rect">
                <a:avLst/>
              </a:prstGeom>
              <a:grp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 anchorCtr="0"/>
              <a:lstStyle/>
              <a:p>
                <a:pPr algn="ctr"/>
                <a:r>
                  <a:rPr lang="sv-SE" sz="1100" baseline="0">
                    <a:latin typeface="Arial" panose="020B0604020202020204" pitchFamily="34" charset="0"/>
                    <a:cs typeface="Arial" panose="020B0604020202020204" pitchFamily="34" charset="0"/>
                  </a:rPr>
                  <a:t>12 </a:t>
                </a:r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(23)</a:t>
                </a:r>
              </a:p>
            </xdr:txBody>
          </xdr:sp>
        </xdr:grpSp>
        <xdr:sp macro="" textlink="">
          <xdr:nvSpPr>
            <xdr:cNvPr id="41" name="textruta 40"/>
            <xdr:cNvSpPr txBox="1">
              <a:spLocks noChangeAspect="1"/>
            </xdr:cNvSpPr>
          </xdr:nvSpPr>
          <xdr:spPr>
            <a:xfrm>
              <a:off x="4942404" y="1368094"/>
              <a:ext cx="360000" cy="364871"/>
            </a:xfrm>
            <a:prstGeom prst="rect">
              <a:avLst/>
            </a:prstGeom>
            <a:grpFill/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0"/>
            <a:lstStyle/>
            <a:p>
              <a:pPr algn="ctr"/>
              <a:r>
                <a:rPr lang="sv-SE" sz="1100">
                  <a:latin typeface="Arial" panose="020B0604020202020204" pitchFamily="34" charset="0"/>
                  <a:cs typeface="Arial" panose="020B0604020202020204" pitchFamily="34" charset="0"/>
                </a:rPr>
                <a:t>6 (13)</a:t>
              </a:r>
            </a:p>
          </xdr:txBody>
        </xdr:sp>
        <xdr:sp macro="" textlink="">
          <xdr:nvSpPr>
            <xdr:cNvPr id="42" name="textruta 41"/>
            <xdr:cNvSpPr txBox="1">
              <a:spLocks noChangeAspect="1"/>
            </xdr:cNvSpPr>
          </xdr:nvSpPr>
          <xdr:spPr>
            <a:xfrm>
              <a:off x="5942895" y="1368094"/>
              <a:ext cx="360000" cy="364871"/>
            </a:xfrm>
            <a:prstGeom prst="rect">
              <a:avLst/>
            </a:prstGeom>
            <a:grpFill/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0"/>
            <a:lstStyle/>
            <a:p>
              <a:pPr algn="ctr"/>
              <a:r>
                <a:rPr lang="sv-SE" sz="1100">
                  <a:latin typeface="Arial" panose="020B0604020202020204" pitchFamily="34" charset="0"/>
                  <a:cs typeface="Arial" panose="020B0604020202020204" pitchFamily="34" charset="0"/>
                </a:rPr>
                <a:t>11 (15)</a:t>
              </a:r>
            </a:p>
          </xdr:txBody>
        </xdr:sp>
        <xdr:grpSp>
          <xdr:nvGrpSpPr>
            <xdr:cNvPr id="43" name="Grupp 42"/>
            <xdr:cNvGrpSpPr/>
          </xdr:nvGrpSpPr>
          <xdr:grpSpPr>
            <a:xfrm>
              <a:off x="6445576" y="915715"/>
              <a:ext cx="355129" cy="1269628"/>
              <a:chOff x="4594411" y="885264"/>
              <a:chExt cx="360000" cy="1245267"/>
            </a:xfrm>
            <a:grpFill/>
          </xdr:grpSpPr>
          <xdr:sp macro="" textlink="">
            <xdr:nvSpPr>
              <xdr:cNvPr id="44" name="textruta 43"/>
              <xdr:cNvSpPr txBox="1">
                <a:spLocks noChangeAspect="1"/>
              </xdr:cNvSpPr>
            </xdr:nvSpPr>
            <xdr:spPr>
              <a:xfrm>
                <a:off x="4594411" y="885264"/>
                <a:ext cx="360000" cy="360000"/>
              </a:xfrm>
              <a:prstGeom prst="rect">
                <a:avLst/>
              </a:prstGeom>
              <a:grp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 anchorCtr="0"/>
              <a:lstStyle/>
              <a:p>
                <a:pPr algn="ctr"/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13 (7)</a:t>
                </a:r>
              </a:p>
            </xdr:txBody>
          </xdr:sp>
          <xdr:sp macro="" textlink="">
            <xdr:nvSpPr>
              <xdr:cNvPr id="45" name="textruta 44"/>
              <xdr:cNvSpPr txBox="1">
                <a:spLocks noChangeAspect="1"/>
              </xdr:cNvSpPr>
            </xdr:nvSpPr>
            <xdr:spPr>
              <a:xfrm>
                <a:off x="4594411" y="1327898"/>
                <a:ext cx="360000" cy="360000"/>
              </a:xfrm>
              <a:prstGeom prst="rect">
                <a:avLst/>
              </a:prstGeom>
              <a:grp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 anchorCtr="0"/>
              <a:lstStyle/>
              <a:p>
                <a:pPr algn="ctr"/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15 (16)</a:t>
                </a:r>
              </a:p>
            </xdr:txBody>
          </xdr:sp>
          <xdr:sp macro="" textlink="">
            <xdr:nvSpPr>
              <xdr:cNvPr id="46" name="textruta 45"/>
              <xdr:cNvSpPr txBox="1">
                <a:spLocks noChangeAspect="1"/>
              </xdr:cNvSpPr>
            </xdr:nvSpPr>
            <xdr:spPr>
              <a:xfrm>
                <a:off x="4594411" y="1770531"/>
                <a:ext cx="360000" cy="360000"/>
              </a:xfrm>
              <a:prstGeom prst="rect">
                <a:avLst/>
              </a:prstGeom>
              <a:grp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 anchorCtr="0"/>
              <a:lstStyle/>
              <a:p>
                <a:pPr algn="ctr"/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18 (25)</a:t>
                </a:r>
              </a:p>
            </xdr:txBody>
          </xdr:sp>
        </xdr:grpSp>
        <xdr:sp macro="" textlink="">
          <xdr:nvSpPr>
            <xdr:cNvPr id="47" name="textruta 46"/>
            <xdr:cNvSpPr txBox="1">
              <a:spLocks noChangeAspect="1"/>
            </xdr:cNvSpPr>
          </xdr:nvSpPr>
          <xdr:spPr>
            <a:xfrm>
              <a:off x="6943386" y="1368094"/>
              <a:ext cx="360000" cy="364871"/>
            </a:xfrm>
            <a:prstGeom prst="rect">
              <a:avLst/>
            </a:prstGeom>
            <a:grpFill/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0"/>
            <a:lstStyle/>
            <a:p>
              <a:pPr algn="ctr"/>
              <a:r>
                <a:rPr lang="sv-SE" sz="1100">
                  <a:latin typeface="Arial" panose="020B0604020202020204" pitchFamily="34" charset="0"/>
                  <a:cs typeface="Arial" panose="020B0604020202020204" pitchFamily="34" charset="0"/>
                </a:rPr>
                <a:t>16 (17)</a:t>
              </a:r>
            </a:p>
          </xdr:txBody>
        </xdr:sp>
        <xdr:grpSp>
          <xdr:nvGrpSpPr>
            <xdr:cNvPr id="48" name="Grupp 47"/>
            <xdr:cNvGrpSpPr/>
          </xdr:nvGrpSpPr>
          <xdr:grpSpPr>
            <a:xfrm>
              <a:off x="7446065" y="915715"/>
              <a:ext cx="355129" cy="1269628"/>
              <a:chOff x="4594411" y="885264"/>
              <a:chExt cx="360000" cy="1245267"/>
            </a:xfrm>
            <a:grpFill/>
          </xdr:grpSpPr>
          <xdr:sp macro="" textlink="">
            <xdr:nvSpPr>
              <xdr:cNvPr id="49" name="textruta 48"/>
              <xdr:cNvSpPr txBox="1">
                <a:spLocks noChangeAspect="1"/>
              </xdr:cNvSpPr>
            </xdr:nvSpPr>
            <xdr:spPr>
              <a:xfrm>
                <a:off x="4594411" y="885264"/>
                <a:ext cx="360000" cy="360000"/>
              </a:xfrm>
              <a:prstGeom prst="rect">
                <a:avLst/>
              </a:prstGeom>
              <a:grp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 anchorCtr="0"/>
              <a:lstStyle/>
              <a:p>
                <a:pPr algn="ctr"/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14 (9)</a:t>
                </a:r>
              </a:p>
            </xdr:txBody>
          </xdr:sp>
          <xdr:sp macro="" textlink="">
            <xdr:nvSpPr>
              <xdr:cNvPr id="50" name="textruta 49"/>
              <xdr:cNvSpPr txBox="1">
                <a:spLocks noChangeAspect="1"/>
              </xdr:cNvSpPr>
            </xdr:nvSpPr>
            <xdr:spPr>
              <a:xfrm>
                <a:off x="4594411" y="1327898"/>
                <a:ext cx="360000" cy="360000"/>
              </a:xfrm>
              <a:prstGeom prst="rect">
                <a:avLst/>
              </a:prstGeom>
              <a:grp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 anchorCtr="0"/>
              <a:lstStyle/>
              <a:p>
                <a:pPr algn="ctr"/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17 (18)</a:t>
                </a:r>
              </a:p>
            </xdr:txBody>
          </xdr:sp>
          <xdr:sp macro="" textlink="">
            <xdr:nvSpPr>
              <xdr:cNvPr id="51" name="textruta 50"/>
              <xdr:cNvSpPr txBox="1">
                <a:spLocks noChangeAspect="1"/>
              </xdr:cNvSpPr>
            </xdr:nvSpPr>
            <xdr:spPr>
              <a:xfrm>
                <a:off x="4594411" y="1770531"/>
                <a:ext cx="360000" cy="360000"/>
              </a:xfrm>
              <a:prstGeom prst="rect">
                <a:avLst/>
              </a:prstGeom>
              <a:grp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 anchorCtr="0"/>
              <a:lstStyle/>
              <a:p>
                <a:pPr algn="ctr"/>
                <a:r>
                  <a:rPr lang="sv-SE" sz="1100">
                    <a:latin typeface="Arial" panose="020B0604020202020204" pitchFamily="34" charset="0"/>
                    <a:cs typeface="Arial" panose="020B0604020202020204" pitchFamily="34" charset="0"/>
                  </a:rPr>
                  <a:t>19 (27)</a:t>
                </a:r>
              </a:p>
            </xdr:txBody>
          </xdr:sp>
        </xdr:grpSp>
      </xdr:grpSp>
      <xdr:sp macro="" textlink="">
        <xdr:nvSpPr>
          <xdr:cNvPr id="3" name="Rektangel 2"/>
          <xdr:cNvSpPr/>
        </xdr:nvSpPr>
        <xdr:spPr>
          <a:xfrm>
            <a:off x="9022773" y="987136"/>
            <a:ext cx="6702136" cy="1939637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</xdr:grpSp>
    <xdr:clientData/>
  </xdr:twoCellAnchor>
  <xdr:twoCellAnchor>
    <xdr:from>
      <xdr:col>2</xdr:col>
      <xdr:colOff>56028</xdr:colOff>
      <xdr:row>21</xdr:row>
      <xdr:rowOff>201704</xdr:rowOff>
    </xdr:from>
    <xdr:to>
      <xdr:col>11</xdr:col>
      <xdr:colOff>143116</xdr:colOff>
      <xdr:row>36</xdr:row>
      <xdr:rowOff>158116</xdr:rowOff>
    </xdr:to>
    <xdr:graphicFrame macro="">
      <xdr:nvGraphicFramePr>
        <xdr:cNvPr id="32" name="Diagram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347382</xdr:colOff>
      <xdr:row>21</xdr:row>
      <xdr:rowOff>201704</xdr:rowOff>
    </xdr:from>
    <xdr:to>
      <xdr:col>23</xdr:col>
      <xdr:colOff>535324</xdr:colOff>
      <xdr:row>36</xdr:row>
      <xdr:rowOff>158116</xdr:rowOff>
    </xdr:to>
    <xdr:graphicFrame macro="">
      <xdr:nvGraphicFramePr>
        <xdr:cNvPr id="33" name="Diagram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552823</xdr:colOff>
      <xdr:row>5</xdr:row>
      <xdr:rowOff>89648</xdr:rowOff>
    </xdr:from>
    <xdr:to>
      <xdr:col>24</xdr:col>
      <xdr:colOff>1135</xdr:colOff>
      <xdr:row>20</xdr:row>
      <xdr:rowOff>248335</xdr:rowOff>
    </xdr:to>
    <xdr:pic>
      <xdr:nvPicPr>
        <xdr:cNvPr id="2" name="screenShot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7723" y="1146923"/>
          <a:ext cx="11202162" cy="410203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8" name="SummaryTable" displayName="SummaryTable" ref="C39:V45" totalsRowShown="0" headerRowDxfId="484" dataDxfId="482" headerRowBorderDxfId="483" tableBorderDxfId="481" headerRowCellStyle="Färg1">
  <autoFilter ref="C39:V45"/>
  <tableColumns count="20">
    <tableColumn id="1" name="Parameter / Detektor" dataDxfId="480"/>
    <tableColumn id="4" name="1" dataDxfId="479"/>
    <tableColumn id="5" name="2" dataDxfId="478"/>
    <tableColumn id="6" name="3" dataDxfId="477"/>
    <tableColumn id="7" name="4" dataDxfId="476"/>
    <tableColumn id="8" name="5" dataDxfId="475"/>
    <tableColumn id="9" name="6" dataDxfId="474"/>
    <tableColumn id="10" name="7" dataDxfId="473"/>
    <tableColumn id="11" name="8" dataDxfId="472"/>
    <tableColumn id="12" name="9" dataDxfId="471"/>
    <tableColumn id="13" name="10" dataDxfId="470"/>
    <tableColumn id="14" name="11" dataDxfId="469"/>
    <tableColumn id="15" name="12" dataDxfId="468"/>
    <tableColumn id="16" name="13" dataDxfId="467"/>
    <tableColumn id="17" name="14" dataDxfId="466"/>
    <tableColumn id="18" name="15" dataDxfId="465"/>
    <tableColumn id="19" name="16" dataDxfId="464"/>
    <tableColumn id="20" name="17" dataDxfId="463"/>
    <tableColumn id="21" name="18" dataDxfId="462"/>
    <tableColumn id="22" name="19" dataDxfId="46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7" name="DataTable" displayName="DataTable" ref="B4:HS107" totalsRowShown="0" headerRowDxfId="460" dataDxfId="459">
  <autoFilter ref="B4:HS107"/>
  <sortState ref="B5:HS81">
    <sortCondition ref="C5:C81"/>
  </sortState>
  <tableColumns count="226">
    <tableColumn id="542" name="Station Name" dataDxfId="458" totalsRowDxfId="457"/>
    <tableColumn id="2" name="Datum" dataDxfId="456" totalsRowDxfId="455"/>
    <tableColumn id="3" name="Tid" dataDxfId="454" totalsRowDxfId="453"/>
    <tableColumn id="4" name="Kollimator" dataDxfId="452" totalsRowDxfId="451"/>
    <tableColumn id="5" name="E_low (keV)" dataDxfId="450" totalsRowDxfId="449"/>
    <tableColumn id="6" name="E_high (keV)" dataDxfId="448" totalsRowDxfId="447"/>
    <tableColumn id="1" name="Insamlingstid (min)" dataDxfId="446" totalsRowDxfId="445"/>
    <tableColumn id="8" name="Strålkälla" dataDxfId="444" totalsRowDxfId="443">
      <calculatedColumnFormula>MATCH(DataTable[[#This Row],[Datum]],Övrigt!$D$10:$M$10,1)</calculatedColumnFormula>
    </tableColumn>
    <tableColumn id="140" name="Blank" dataDxfId="442" totalsRowDxfId="441"/>
    <tableColumn id="306" name="Min_1" dataDxfId="440" totalsRowDxfId="439"/>
    <tableColumn id="305" name="Max_1" dataDxfId="438" totalsRowDxfId="437"/>
    <tableColumn id="141" name="IU_1" dataDxfId="436" totalsRowDxfId="435"/>
    <tableColumn id="142" name="IU_GE_1" dataDxfId="434" totalsRowDxfId="433"/>
    <tableColumn id="143" name="stdev_1" dataDxfId="432" totalsRowDxfId="431"/>
    <tableColumn id="144" name="nCounts_1" dataDxfId="430" totalsRowDxfId="429"/>
    <tableColumn id="145" name="acqTime_1" dataDxfId="428" totalsRowDxfId="427"/>
    <tableColumn id="146" name="nLow_1" dataDxfId="426" totalsRowDxfId="425"/>
    <tableColumn id="147" name="nHigh_1" dataDxfId="424" totalsRowDxfId="423"/>
    <tableColumn id="148" name="Sens_1" dataDxfId="422" totalsRowDxfId="421"/>
    <tableColumn id="15" name="RelSens_1" dataDxfId="420" totalsRowDxfId="419">
      <calculatedColumnFormula>DataTable[[#This Row],[Sens_1]]/AVERAGEIF(DataTable[Strålkälla],DataTable[[#This Row],[Strålkälla]],DataTable[Sens_1])</calculatedColumnFormula>
    </tableColumn>
    <tableColumn id="307" name="Min_2" dataDxfId="418" totalsRowDxfId="417"/>
    <tableColumn id="308" name="Max_2" dataDxfId="416" totalsRowDxfId="415"/>
    <tableColumn id="309" name="IU_2" dataDxfId="414" totalsRowDxfId="413"/>
    <tableColumn id="310" name="IU_GE_2" dataDxfId="412" totalsRowDxfId="411"/>
    <tableColumn id="311" name="stdev_2" dataDxfId="410" totalsRowDxfId="409"/>
    <tableColumn id="312" name="nCounts_2" dataDxfId="408" totalsRowDxfId="407"/>
    <tableColumn id="313" name="acqTime_2" dataDxfId="406" totalsRowDxfId="405"/>
    <tableColumn id="314" name="nLow_2" dataDxfId="404" totalsRowDxfId="403"/>
    <tableColumn id="315" name="nHigh_2" dataDxfId="402" totalsRowDxfId="401"/>
    <tableColumn id="316" name="Sens_2" dataDxfId="400" totalsRowDxfId="399"/>
    <tableColumn id="16" name="RelSens_2" dataDxfId="398" totalsRowDxfId="397">
      <calculatedColumnFormula>DataTable[[#This Row],[Sens_2]]/AVERAGEIF(DataTable[Strålkälla],DataTable[[#This Row],[Strålkälla]],DataTable[Sens_2])</calculatedColumnFormula>
    </tableColumn>
    <tableColumn id="317" name="Min_3" dataDxfId="396" totalsRowDxfId="395"/>
    <tableColumn id="318" name="Max_3" dataDxfId="394" totalsRowDxfId="393"/>
    <tableColumn id="319" name="IU_3" dataDxfId="392" totalsRowDxfId="391"/>
    <tableColumn id="320" name="IU_GE_3" dataDxfId="390" totalsRowDxfId="389"/>
    <tableColumn id="321" name="stdev_3" dataDxfId="388" totalsRowDxfId="387"/>
    <tableColumn id="322" name="nCounts_3" dataDxfId="386" totalsRowDxfId="385"/>
    <tableColumn id="323" name="acqTime_3" dataDxfId="384" totalsRowDxfId="383"/>
    <tableColumn id="324" name="nLow_3" dataDxfId="382" totalsRowDxfId="381"/>
    <tableColumn id="325" name="nHigh_3" dataDxfId="380" totalsRowDxfId="379"/>
    <tableColumn id="326" name="Sens_3" dataDxfId="378" totalsRowDxfId="377"/>
    <tableColumn id="17" name="RelSens_3" dataDxfId="376" totalsRowDxfId="375">
      <calculatedColumnFormula>DataTable[[#This Row],[Sens_3]]/AVERAGEIF(DataTable[Strålkälla],DataTable[[#This Row],[Strålkälla]],DataTable[Sens_3])</calculatedColumnFormula>
    </tableColumn>
    <tableColumn id="327" name="Min_4" dataDxfId="374" totalsRowDxfId="373"/>
    <tableColumn id="328" name="Max_4" dataDxfId="372" totalsRowDxfId="371"/>
    <tableColumn id="329" name="IU_4" dataDxfId="370" totalsRowDxfId="369"/>
    <tableColumn id="330" name="IU_GE_4" dataDxfId="368" totalsRowDxfId="367"/>
    <tableColumn id="331" name="stdev_4" dataDxfId="366" totalsRowDxfId="365"/>
    <tableColumn id="332" name="nCounts_4" dataDxfId="364" totalsRowDxfId="363"/>
    <tableColumn id="333" name="acqTime_4" dataDxfId="362" totalsRowDxfId="361"/>
    <tableColumn id="334" name="nLow_4" dataDxfId="360" totalsRowDxfId="359"/>
    <tableColumn id="335" name="nHigh_4" dataDxfId="358" totalsRowDxfId="357"/>
    <tableColumn id="336" name="Sens_4" dataDxfId="356" totalsRowDxfId="355"/>
    <tableColumn id="18" name="RelSens_4" dataDxfId="354" totalsRowDxfId="353">
      <calculatedColumnFormula>DataTable[[#This Row],[Sens_4]]/AVERAGEIF(DataTable[Strålkälla],DataTable[[#This Row],[Strålkälla]],DataTable[Sens_4])</calculatedColumnFormula>
    </tableColumn>
    <tableColumn id="337" name="Min_5" dataDxfId="352" totalsRowDxfId="351"/>
    <tableColumn id="338" name="Max_5" dataDxfId="350" totalsRowDxfId="349"/>
    <tableColumn id="339" name="IU_5" dataDxfId="348" totalsRowDxfId="347"/>
    <tableColumn id="340" name="IU_GE_5" dataDxfId="346" totalsRowDxfId="345"/>
    <tableColumn id="341" name="stdev_5" dataDxfId="344" totalsRowDxfId="343"/>
    <tableColumn id="342" name="nCounts_5" dataDxfId="342" totalsRowDxfId="341"/>
    <tableColumn id="343" name="acqTime_5" dataDxfId="340" totalsRowDxfId="339"/>
    <tableColumn id="344" name="nLow_5" dataDxfId="338" totalsRowDxfId="337"/>
    <tableColumn id="345" name="nHigh_5" dataDxfId="336" totalsRowDxfId="335"/>
    <tableColumn id="346" name="Sens_5" dataDxfId="334" totalsRowDxfId="333"/>
    <tableColumn id="19" name="RelSens_5" dataDxfId="332" totalsRowDxfId="331">
      <calculatedColumnFormula>DataTable[[#This Row],[Sens_5]]/AVERAGEIF(DataTable[Strålkälla],DataTable[[#This Row],[Strålkälla]],DataTable[Sens_5])</calculatedColumnFormula>
    </tableColumn>
    <tableColumn id="347" name="Min_6" dataDxfId="330" totalsRowDxfId="329"/>
    <tableColumn id="348" name="Max_6" dataDxfId="328" totalsRowDxfId="327"/>
    <tableColumn id="349" name="IU_6" dataDxfId="326" totalsRowDxfId="325"/>
    <tableColumn id="350" name="IU_GE_6" dataDxfId="324" totalsRowDxfId="323"/>
    <tableColumn id="351" name="stdev_6" dataDxfId="322" totalsRowDxfId="321"/>
    <tableColumn id="352" name="nCounts_6" dataDxfId="320" totalsRowDxfId="319"/>
    <tableColumn id="353" name="acqTime_6" dataDxfId="318" totalsRowDxfId="317"/>
    <tableColumn id="354" name="nLow_6" dataDxfId="316" totalsRowDxfId="315"/>
    <tableColumn id="355" name="nHigh_6" dataDxfId="314" totalsRowDxfId="313"/>
    <tableColumn id="356" name="Sens_6" dataDxfId="312" totalsRowDxfId="311"/>
    <tableColumn id="20" name="RelSens_6" dataDxfId="310" totalsRowDxfId="309">
      <calculatedColumnFormula>DataTable[[#This Row],[Sens_6]]/AVERAGEIF(DataTable[Strålkälla],DataTable[[#This Row],[Strålkälla]],DataTable[Sens_6])</calculatedColumnFormula>
    </tableColumn>
    <tableColumn id="357" name="Min_7" dataDxfId="308" totalsRowDxfId="307"/>
    <tableColumn id="358" name="Max_7" dataDxfId="306" totalsRowDxfId="305"/>
    <tableColumn id="359" name="IU_7" dataDxfId="304" totalsRowDxfId="303"/>
    <tableColumn id="360" name="IU_GE_7" dataDxfId="302" totalsRowDxfId="301"/>
    <tableColumn id="361" name="stdev_7" dataDxfId="300" totalsRowDxfId="299"/>
    <tableColumn id="362" name="nCounts_7" dataDxfId="298" totalsRowDxfId="297"/>
    <tableColumn id="363" name="acqTime_7" dataDxfId="296" totalsRowDxfId="295"/>
    <tableColumn id="364" name="nLow_7" dataDxfId="294" totalsRowDxfId="293"/>
    <tableColumn id="365" name="nHigh_7" dataDxfId="292" totalsRowDxfId="291"/>
    <tableColumn id="366" name="Sens_7" dataDxfId="290" totalsRowDxfId="289"/>
    <tableColumn id="21" name="RelSens_7" dataDxfId="288" totalsRowDxfId="287">
      <calculatedColumnFormula>DataTable[[#This Row],[Sens_7]]/AVERAGEIF(DataTable[Strålkälla],DataTable[[#This Row],[Strålkälla]],DataTable[Sens_7])</calculatedColumnFormula>
    </tableColumn>
    <tableColumn id="367" name="Min_8" dataDxfId="286" totalsRowDxfId="285"/>
    <tableColumn id="368" name="Max_8" dataDxfId="284" totalsRowDxfId="283"/>
    <tableColumn id="369" name="IU_8" dataDxfId="282" totalsRowDxfId="281"/>
    <tableColumn id="370" name="IU_GE_8" dataDxfId="280" totalsRowDxfId="279"/>
    <tableColumn id="371" name="stdev_8" dataDxfId="278" totalsRowDxfId="277"/>
    <tableColumn id="372" name="nCounts_8" dataDxfId="276" totalsRowDxfId="275"/>
    <tableColumn id="373" name="acqTime_8" dataDxfId="274" totalsRowDxfId="273"/>
    <tableColumn id="374" name="nLow_8" dataDxfId="272" totalsRowDxfId="271"/>
    <tableColumn id="375" name="nHigh_8" dataDxfId="270" totalsRowDxfId="269"/>
    <tableColumn id="376" name="Sens_8" dataDxfId="268" totalsRowDxfId="267"/>
    <tableColumn id="22" name="RelSens_8" dataDxfId="266" totalsRowDxfId="265">
      <calculatedColumnFormula>DataTable[[#This Row],[Sens_8]]/AVERAGEIF(DataTable[Strålkälla],DataTable[[#This Row],[Strålkälla]],DataTable[Sens_8])</calculatedColumnFormula>
    </tableColumn>
    <tableColumn id="377" name="Min_9" dataDxfId="264" totalsRowDxfId="263"/>
    <tableColumn id="378" name="Max_9" dataDxfId="262" totalsRowDxfId="261"/>
    <tableColumn id="379" name="IU_9" dataDxfId="260" totalsRowDxfId="259"/>
    <tableColumn id="380" name="IU_GE_9" dataDxfId="258" totalsRowDxfId="257"/>
    <tableColumn id="381" name="stdev_9" dataDxfId="256" totalsRowDxfId="255"/>
    <tableColumn id="382" name="nCounts_9" dataDxfId="254" totalsRowDxfId="253"/>
    <tableColumn id="383" name="acqTime_9" dataDxfId="252" totalsRowDxfId="251"/>
    <tableColumn id="384" name="nLow_9" dataDxfId="250" totalsRowDxfId="249"/>
    <tableColumn id="385" name="nHigh_9" dataDxfId="248" totalsRowDxfId="247"/>
    <tableColumn id="386" name="Sens_9" dataDxfId="246" totalsRowDxfId="245"/>
    <tableColumn id="23" name="RelSens_9" dataDxfId="244" totalsRowDxfId="243">
      <calculatedColumnFormula>DataTable[[#This Row],[Sens_9]]/AVERAGEIF(DataTable[Strålkälla],DataTable[[#This Row],[Strålkälla]],DataTable[Sens_9])</calculatedColumnFormula>
    </tableColumn>
    <tableColumn id="387" name="Min_10" dataDxfId="242" totalsRowDxfId="241"/>
    <tableColumn id="388" name="Max_10" dataDxfId="240" totalsRowDxfId="239"/>
    <tableColumn id="389" name="IU_10" dataDxfId="238" totalsRowDxfId="237"/>
    <tableColumn id="390" name="IU_GE_10" dataDxfId="236" totalsRowDxfId="235"/>
    <tableColumn id="391" name="stdev_10" dataDxfId="234" totalsRowDxfId="233"/>
    <tableColumn id="392" name="nCounts_10" dataDxfId="232" totalsRowDxfId="231"/>
    <tableColumn id="393" name="acqTime_10" dataDxfId="230" totalsRowDxfId="229"/>
    <tableColumn id="394" name="nLow_10" dataDxfId="228" totalsRowDxfId="227"/>
    <tableColumn id="395" name="nHigh_10" dataDxfId="226" totalsRowDxfId="225"/>
    <tableColumn id="396" name="Sens_10" dataDxfId="224" totalsRowDxfId="223"/>
    <tableColumn id="24" name="RelSens_10" dataDxfId="222" totalsRowDxfId="221">
      <calculatedColumnFormula>DataTable[[#This Row],[Sens_10]]/AVERAGEIF(DataTable[Strålkälla],DataTable[[#This Row],[Strålkälla]],DataTable[Sens_10])</calculatedColumnFormula>
    </tableColumn>
    <tableColumn id="397" name="Min_11" dataDxfId="220" totalsRowDxfId="219"/>
    <tableColumn id="398" name="Max_11" dataDxfId="218" totalsRowDxfId="217"/>
    <tableColumn id="399" name="IU_11" dataDxfId="216" totalsRowDxfId="215"/>
    <tableColumn id="400" name="IU_GE_11" dataDxfId="214" totalsRowDxfId="213"/>
    <tableColumn id="401" name="stdev_11" dataDxfId="212" totalsRowDxfId="211"/>
    <tableColumn id="402" name="nCounts_11" dataDxfId="210" totalsRowDxfId="209"/>
    <tableColumn id="403" name="acqTime_11" dataDxfId="208" totalsRowDxfId="207"/>
    <tableColumn id="404" name="nLow_11" dataDxfId="206" totalsRowDxfId="205"/>
    <tableColumn id="405" name="nHigh_11" dataDxfId="204" totalsRowDxfId="203"/>
    <tableColumn id="406" name="Sens_11" dataDxfId="202" totalsRowDxfId="201"/>
    <tableColumn id="25" name="RelSens_11" dataDxfId="200" totalsRowDxfId="199">
      <calculatedColumnFormula>DataTable[[#This Row],[Sens_11]]/AVERAGEIF(DataTable[Strålkälla],DataTable[[#This Row],[Strålkälla]],DataTable[Sens_11])</calculatedColumnFormula>
    </tableColumn>
    <tableColumn id="407" name="Min_12" dataDxfId="198" totalsRowDxfId="197"/>
    <tableColumn id="408" name="Max_12" dataDxfId="196" totalsRowDxfId="195"/>
    <tableColumn id="409" name="IU_12" dataDxfId="194" totalsRowDxfId="193"/>
    <tableColumn id="410" name="IU_GE_12" dataDxfId="192" totalsRowDxfId="191"/>
    <tableColumn id="411" name="stdev_12" dataDxfId="190" totalsRowDxfId="189"/>
    <tableColumn id="412" name="nCounts_12" dataDxfId="188" totalsRowDxfId="187"/>
    <tableColumn id="413" name="acqTime_12" dataDxfId="186" totalsRowDxfId="185"/>
    <tableColumn id="414" name="nLow_12" dataDxfId="184" totalsRowDxfId="183"/>
    <tableColumn id="415" name="nHigh_12" dataDxfId="182" totalsRowDxfId="181"/>
    <tableColumn id="416" name="Sens_12" dataDxfId="180" totalsRowDxfId="179"/>
    <tableColumn id="26" name="RelSens_12" dataDxfId="178" totalsRowDxfId="177">
      <calculatedColumnFormula>DataTable[[#This Row],[Sens_12]]/AVERAGEIF(DataTable[Strålkälla],DataTable[[#This Row],[Strålkälla]],DataTable[Sens_12])</calculatedColumnFormula>
    </tableColumn>
    <tableColumn id="417" name="Min_13" dataDxfId="176" totalsRowDxfId="175"/>
    <tableColumn id="418" name="Max_13" dataDxfId="174" totalsRowDxfId="173"/>
    <tableColumn id="419" name="IU_13" dataDxfId="172" totalsRowDxfId="171"/>
    <tableColumn id="420" name="IU_GE_13" dataDxfId="170" totalsRowDxfId="169"/>
    <tableColumn id="421" name="stdev_13" dataDxfId="168" totalsRowDxfId="167"/>
    <tableColumn id="422" name="nCounts_13" dataDxfId="166" totalsRowDxfId="165"/>
    <tableColumn id="423" name="acqTime_13" dataDxfId="164" totalsRowDxfId="163"/>
    <tableColumn id="424" name="nLow_13" dataDxfId="162" totalsRowDxfId="161"/>
    <tableColumn id="425" name="nHigh_13" dataDxfId="160" totalsRowDxfId="159"/>
    <tableColumn id="426" name="Sens_13" dataDxfId="158" totalsRowDxfId="157"/>
    <tableColumn id="27" name="RelSens_13" dataDxfId="156" totalsRowDxfId="155">
      <calculatedColumnFormula>DataTable[[#This Row],[Sens_13]]/AVERAGEIF(DataTable[Strålkälla],DataTable[[#This Row],[Strålkälla]],DataTable[Sens_13])</calculatedColumnFormula>
    </tableColumn>
    <tableColumn id="427" name="Min_14" dataDxfId="154" totalsRowDxfId="153"/>
    <tableColumn id="428" name="Max_14" dataDxfId="152" totalsRowDxfId="151"/>
    <tableColumn id="429" name="IU_14" dataDxfId="150" totalsRowDxfId="149"/>
    <tableColumn id="430" name="IU_GE_14" dataDxfId="148" totalsRowDxfId="147"/>
    <tableColumn id="431" name="stdev_14" dataDxfId="146" totalsRowDxfId="145"/>
    <tableColumn id="432" name="nCounts_14" dataDxfId="144" totalsRowDxfId="143"/>
    <tableColumn id="433" name="acqTime_14" dataDxfId="142" totalsRowDxfId="141"/>
    <tableColumn id="434" name="nLow_14" dataDxfId="140" totalsRowDxfId="139"/>
    <tableColumn id="435" name="nHigh_14" dataDxfId="138" totalsRowDxfId="137"/>
    <tableColumn id="436" name="Sens_14" dataDxfId="136" totalsRowDxfId="135"/>
    <tableColumn id="28" name="RelSens_14" dataDxfId="134" totalsRowDxfId="133">
      <calculatedColumnFormula>DataTable[[#This Row],[Sens_14]]/AVERAGEIF(DataTable[Strålkälla],DataTable[[#This Row],[Strålkälla]],DataTable[Sens_14])</calculatedColumnFormula>
    </tableColumn>
    <tableColumn id="437" name="Min_15" dataDxfId="132" totalsRowDxfId="131"/>
    <tableColumn id="438" name="Max_15" dataDxfId="130" totalsRowDxfId="129"/>
    <tableColumn id="439" name="IU_15" dataDxfId="128" totalsRowDxfId="127"/>
    <tableColumn id="440" name="IU_GE_15" dataDxfId="126" totalsRowDxfId="125"/>
    <tableColumn id="441" name="stdev_15" dataDxfId="124" totalsRowDxfId="123"/>
    <tableColumn id="442" name="nCounts_15" dataDxfId="122" totalsRowDxfId="121"/>
    <tableColumn id="443" name="acqTime_15" dataDxfId="120" totalsRowDxfId="119"/>
    <tableColumn id="444" name="nLow_15" dataDxfId="118" totalsRowDxfId="117"/>
    <tableColumn id="445" name="nHigh_15" dataDxfId="116" totalsRowDxfId="115"/>
    <tableColumn id="446" name="Sens_15" dataDxfId="114" totalsRowDxfId="113"/>
    <tableColumn id="29" name="RelSens_15" dataDxfId="112" totalsRowDxfId="111">
      <calculatedColumnFormula>DataTable[[#This Row],[Sens_15]]/AVERAGEIF(DataTable[Strålkälla],DataTable[[#This Row],[Strålkälla]],DataTable[Sens_15])</calculatedColumnFormula>
    </tableColumn>
    <tableColumn id="447" name="Min_16" dataDxfId="110" totalsRowDxfId="109"/>
    <tableColumn id="448" name="Max_16" dataDxfId="108" totalsRowDxfId="107"/>
    <tableColumn id="449" name="IU_16" dataDxfId="106" totalsRowDxfId="105"/>
    <tableColumn id="450" name="IU_GE_16" dataDxfId="104" totalsRowDxfId="103"/>
    <tableColumn id="451" name="stdev_16" dataDxfId="102" totalsRowDxfId="101"/>
    <tableColumn id="452" name="nCounts_16" dataDxfId="100" totalsRowDxfId="99"/>
    <tableColumn id="453" name="acqTime_16" dataDxfId="98" totalsRowDxfId="97"/>
    <tableColumn id="454" name="nLow_16" dataDxfId="96" totalsRowDxfId="95"/>
    <tableColumn id="455" name="nHigh_16" dataDxfId="94" totalsRowDxfId="93"/>
    <tableColumn id="456" name="Sens_16" dataDxfId="92" totalsRowDxfId="91"/>
    <tableColumn id="30" name="RelSens_16" dataDxfId="90" totalsRowDxfId="89">
      <calculatedColumnFormula>DataTable[[#This Row],[Sens_16]]/AVERAGEIF(DataTable[Strålkälla],DataTable[[#This Row],[Strålkälla]],DataTable[Sens_16])</calculatedColumnFormula>
    </tableColumn>
    <tableColumn id="457" name="Min_17" dataDxfId="88" totalsRowDxfId="87"/>
    <tableColumn id="458" name="Max_17" dataDxfId="86" totalsRowDxfId="85"/>
    <tableColumn id="459" name="IU_17" dataDxfId="84" totalsRowDxfId="83"/>
    <tableColumn id="460" name="IU_GE_17" dataDxfId="82" totalsRowDxfId="81"/>
    <tableColumn id="461" name="stdev_17" dataDxfId="80" totalsRowDxfId="79"/>
    <tableColumn id="462" name="nCounts_17" dataDxfId="78" totalsRowDxfId="77"/>
    <tableColumn id="463" name="acqTime_17" dataDxfId="76" totalsRowDxfId="75"/>
    <tableColumn id="464" name="nLow_17" dataDxfId="74" totalsRowDxfId="73"/>
    <tableColumn id="465" name="nHigh_17" dataDxfId="72" totalsRowDxfId="71"/>
    <tableColumn id="466" name="Sens_17" dataDxfId="70" totalsRowDxfId="69"/>
    <tableColumn id="31" name="RelSens_17" dataDxfId="68" totalsRowDxfId="67">
      <calculatedColumnFormula>DataTable[[#This Row],[Sens_17]]/AVERAGEIF(DataTable[Strålkälla],DataTable[[#This Row],[Strålkälla]],DataTable[Sens_17])</calculatedColumnFormula>
    </tableColumn>
    <tableColumn id="467" name="Min_18" dataDxfId="66" totalsRowDxfId="65"/>
    <tableColumn id="468" name="Max_18" dataDxfId="64" totalsRowDxfId="63"/>
    <tableColumn id="469" name="IU_18" dataDxfId="62" totalsRowDxfId="61"/>
    <tableColumn id="470" name="IU_GE_18" dataDxfId="60" totalsRowDxfId="59"/>
    <tableColumn id="471" name="stdev_18" dataDxfId="58" totalsRowDxfId="57"/>
    <tableColumn id="472" name="nCounts_18" dataDxfId="56" totalsRowDxfId="55"/>
    <tableColumn id="473" name="acqTime_18" dataDxfId="54" totalsRowDxfId="53"/>
    <tableColumn id="474" name="nLow_18" dataDxfId="52" totalsRowDxfId="51"/>
    <tableColumn id="475" name="nHigh_18" dataDxfId="50" totalsRowDxfId="49"/>
    <tableColumn id="476" name="Sens_18" dataDxfId="48" totalsRowDxfId="47"/>
    <tableColumn id="32" name="RelSens_18" dataDxfId="46" totalsRowDxfId="45">
      <calculatedColumnFormula>DataTable[[#This Row],[Sens_18]]/AVERAGEIF(DataTable[Strålkälla],DataTable[[#This Row],[Strålkälla]],DataTable[Sens_18])</calculatedColumnFormula>
    </tableColumn>
    <tableColumn id="477" name="Min_19" dataDxfId="44" totalsRowDxfId="43"/>
    <tableColumn id="478" name="Max_19" dataDxfId="42" totalsRowDxfId="41"/>
    <tableColumn id="479" name="IU_19" dataDxfId="40" totalsRowDxfId="39"/>
    <tableColumn id="480" name="IU_GE_19" dataDxfId="38" totalsRowDxfId="37"/>
    <tableColumn id="481" name="stdev_19" dataDxfId="36" totalsRowDxfId="35"/>
    <tableColumn id="482" name="nCounts_19" dataDxfId="34" totalsRowDxfId="33"/>
    <tableColumn id="483" name="acqTime_19" dataDxfId="32" totalsRowDxfId="31"/>
    <tableColumn id="484" name="nLow_19" dataDxfId="30" totalsRowDxfId="29"/>
    <tableColumn id="485" name="nHigh_19" dataDxfId="28" totalsRowDxfId="27"/>
    <tableColumn id="486" name="Sens_19" dataDxfId="26" totalsRowDxfId="25"/>
    <tableColumn id="33" name="RelSens_19" dataDxfId="24" totalsRowDxfId="23">
      <calculatedColumnFormula>DataTable[[#This Row],[Sens_19]]/AVERAGEIF(DataTable[Strålkälla],DataTable[[#This Row],[Strålkälla]],DataTable[Sens_19])</calculatedColumnFormula>
    </tableColumn>
    <tableColumn id="10" name="Max IU" dataDxfId="22" totalsRowDxfId="21">
      <calculatedColumnFormula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calculatedColumnFormula>
    </tableColumn>
    <tableColumn id="11" name="Mean IU" dataDxfId="20" totalsRowDxfId="19">
      <calculatedColumnFormula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calculatedColumnFormula>
    </tableColumn>
    <tableColumn id="12" name="Max IU_GE" dataDxfId="18" totalsRowDxfId="17">
      <calculatedColumnFormula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calculatedColumnFormula>
    </tableColumn>
    <tableColumn id="13" name="Mean IU_GE" dataDxfId="16" totalsRowDxfId="15">
      <calculatedColumnFormula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calculatedColumnFormula>
    </tableColumn>
    <tableColumn id="34" name="Min RelSens" dataDxfId="14" totalsRowDxfId="13">
      <calculatedColumnFormula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calculatedColumnFormula>
    </tableColumn>
    <tableColumn id="35" name="Mean RelSens" dataDxfId="12" totalsRowDxfId="11">
      <calculatedColumnFormula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calculatedColumnFormula>
    </tableColumn>
    <tableColumn id="36" name="Max RelSens" dataDxfId="10" totalsRowDxfId="9">
      <calculatedColumnFormula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calculatedColumnFormula>
    </tableColumn>
    <tableColumn id="7" name="Kommentarer" dataDxfId="8" totalsRow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autoPageBreaks="0" fitToPage="1"/>
  </sheetPr>
  <dimension ref="A1:AA66"/>
  <sheetViews>
    <sheetView showGridLines="0" zoomScale="85" zoomScaleNormal="85" workbookViewId="0">
      <selection activeCell="AF26" sqref="AF26"/>
    </sheetView>
  </sheetViews>
  <sheetFormatPr defaultRowHeight="15" x14ac:dyDescent="0.25"/>
  <cols>
    <col min="1" max="1" width="4.7109375" customWidth="1"/>
    <col min="2" max="2" width="2.7109375" customWidth="1"/>
    <col min="3" max="3" width="35.42578125" customWidth="1"/>
    <col min="4" max="22" width="10.28515625" customWidth="1"/>
    <col min="23" max="23" width="3.140625" customWidth="1"/>
    <col min="24" max="24" width="8.5703125" style="2" customWidth="1"/>
    <col min="25" max="25" width="4.140625" customWidth="1"/>
    <col min="26" max="26" width="9.140625" style="2"/>
  </cols>
  <sheetData>
    <row r="1" spans="1:27" ht="15.75" thickBot="1" x14ac:dyDescent="0.3"/>
    <row r="2" spans="1:27" ht="15" customHeight="1" x14ac:dyDescent="0.25">
      <c r="A2" s="2"/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5"/>
      <c r="Z2" s="7"/>
      <c r="AA2" s="2"/>
    </row>
    <row r="3" spans="1:27" ht="15" customHeight="1" x14ac:dyDescent="0.25">
      <c r="B3" s="6"/>
      <c r="C3" s="53" t="s">
        <v>3</v>
      </c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8"/>
      <c r="Z3" s="7"/>
      <c r="AA3" s="2"/>
    </row>
    <row r="4" spans="1:27" ht="18.75" customHeight="1" x14ac:dyDescent="0.25">
      <c r="A4" s="2"/>
      <c r="B4" s="6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8"/>
      <c r="Z4" s="7"/>
    </row>
    <row r="5" spans="1:27" s="2" customFormat="1" ht="18.75" customHeight="1" x14ac:dyDescent="0.25">
      <c r="B5" s="6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8"/>
      <c r="Z5" s="7"/>
    </row>
    <row r="6" spans="1:27" ht="18.75" x14ac:dyDescent="0.3">
      <c r="B6" s="6"/>
      <c r="C6" s="14" t="s">
        <v>0</v>
      </c>
      <c r="D6" s="7"/>
      <c r="E6" s="54" t="s">
        <v>43</v>
      </c>
      <c r="F6" s="54"/>
      <c r="G6" s="15"/>
      <c r="I6" s="12"/>
      <c r="J6" s="12"/>
      <c r="K6" s="12"/>
      <c r="L6" s="7"/>
      <c r="M6" s="7"/>
      <c r="N6" s="7"/>
      <c r="O6" s="7"/>
      <c r="P6" s="7"/>
      <c r="Q6" s="12"/>
      <c r="R6" s="12"/>
      <c r="S6" s="7"/>
      <c r="T6" s="7"/>
      <c r="U6" s="7"/>
      <c r="V6" s="7"/>
      <c r="W6" s="7"/>
      <c r="X6" s="7"/>
      <c r="Y6" s="8"/>
      <c r="Z6" s="7"/>
    </row>
    <row r="7" spans="1:27" ht="18.75" x14ac:dyDescent="0.3">
      <c r="B7" s="6"/>
      <c r="C7" s="14" t="s">
        <v>1</v>
      </c>
      <c r="D7" s="38"/>
      <c r="E7" s="55">
        <v>42711</v>
      </c>
      <c r="F7" s="55"/>
      <c r="G7" s="15"/>
      <c r="H7" s="15"/>
      <c r="I7" s="12"/>
      <c r="J7" s="12"/>
      <c r="K7" s="12"/>
      <c r="L7" s="7"/>
      <c r="M7" s="7"/>
      <c r="N7" s="7"/>
      <c r="O7" s="7"/>
      <c r="P7" s="7"/>
      <c r="Q7" s="12"/>
      <c r="R7" s="12"/>
      <c r="S7" s="7"/>
      <c r="T7" s="7"/>
      <c r="U7" s="7"/>
      <c r="V7" s="7"/>
      <c r="W7" s="7"/>
      <c r="X7" s="7"/>
      <c r="Y7" s="25"/>
      <c r="Z7" s="18"/>
      <c r="AA7" s="13"/>
    </row>
    <row r="8" spans="1:27" ht="18.75" x14ac:dyDescent="0.3">
      <c r="B8" s="6"/>
      <c r="C8" s="14" t="s">
        <v>2</v>
      </c>
      <c r="D8" s="39"/>
      <c r="E8" s="56">
        <v>0.32250000000000001</v>
      </c>
      <c r="F8" s="56"/>
      <c r="G8" s="15"/>
      <c r="H8" s="15"/>
      <c r="I8" s="7"/>
      <c r="J8" s="7"/>
      <c r="K8" s="7"/>
      <c r="L8" s="7"/>
      <c r="M8" s="7"/>
      <c r="N8" s="7"/>
      <c r="O8" s="7"/>
      <c r="P8" s="7"/>
      <c r="Q8" s="12"/>
      <c r="R8" s="12"/>
      <c r="S8" s="7"/>
      <c r="T8" s="7"/>
      <c r="U8" s="7"/>
      <c r="V8" s="7"/>
      <c r="W8" s="7"/>
      <c r="X8" s="7"/>
      <c r="Y8" s="25"/>
      <c r="Z8" s="18"/>
      <c r="AA8" s="13"/>
    </row>
    <row r="9" spans="1:27" s="2" customFormat="1" ht="18.75" x14ac:dyDescent="0.3">
      <c r="B9" s="6"/>
      <c r="C9" s="14" t="s">
        <v>220</v>
      </c>
      <c r="D9" s="39"/>
      <c r="E9" s="56" t="s">
        <v>217</v>
      </c>
      <c r="F9" s="56"/>
      <c r="G9" s="15"/>
      <c r="H9" s="15"/>
      <c r="I9" s="7"/>
      <c r="J9" s="7"/>
      <c r="K9" s="7"/>
      <c r="L9" s="7"/>
      <c r="M9" s="7"/>
      <c r="N9" s="7"/>
      <c r="O9" s="7"/>
      <c r="P9" s="7"/>
      <c r="Q9" s="12"/>
      <c r="R9" s="12"/>
      <c r="S9" s="7"/>
      <c r="T9" s="7"/>
      <c r="U9" s="7"/>
      <c r="V9" s="7"/>
      <c r="W9" s="7"/>
      <c r="X9" s="7"/>
      <c r="Y9" s="25"/>
      <c r="Z9" s="18"/>
      <c r="AA9" s="13"/>
    </row>
    <row r="10" spans="1:27" s="2" customFormat="1" ht="18.75" x14ac:dyDescent="0.3">
      <c r="B10" s="6"/>
      <c r="C10" s="14" t="s">
        <v>222</v>
      </c>
      <c r="D10" s="39"/>
      <c r="E10" s="52">
        <v>9.9620999999999995</v>
      </c>
      <c r="F10" s="52"/>
      <c r="G10" s="15"/>
      <c r="H10" s="15"/>
      <c r="I10" s="7"/>
      <c r="J10" s="7"/>
      <c r="K10" s="7"/>
      <c r="L10" s="7"/>
      <c r="M10" s="7"/>
      <c r="N10" s="7"/>
      <c r="O10" s="7"/>
      <c r="P10" s="7"/>
      <c r="Q10" s="12"/>
      <c r="R10" s="12"/>
      <c r="S10" s="7"/>
      <c r="T10" s="7"/>
      <c r="U10" s="7"/>
      <c r="V10" s="7"/>
      <c r="W10" s="7"/>
      <c r="X10" s="7"/>
      <c r="Y10" s="25"/>
      <c r="Z10" s="18"/>
      <c r="AA10" s="13"/>
    </row>
    <row r="11" spans="1:27" ht="18.75" x14ac:dyDescent="0.3">
      <c r="B11" s="6"/>
      <c r="C11" s="14"/>
      <c r="D11" s="39"/>
      <c r="E11" s="39"/>
      <c r="F11" s="15"/>
      <c r="G11" s="15"/>
      <c r="H11" s="15"/>
      <c r="I11" s="7"/>
      <c r="J11" s="7"/>
      <c r="K11" s="7"/>
      <c r="L11" s="7"/>
      <c r="M11" s="7"/>
      <c r="N11" s="7"/>
      <c r="O11" s="7"/>
      <c r="P11" s="7"/>
      <c r="Q11" s="12"/>
      <c r="R11" s="12"/>
      <c r="S11" s="7"/>
      <c r="T11" s="7"/>
      <c r="U11" s="7"/>
      <c r="V11" s="7"/>
      <c r="W11" s="7"/>
      <c r="X11" s="7"/>
      <c r="Y11" s="25"/>
      <c r="Z11" s="18"/>
      <c r="AA11" s="13"/>
    </row>
    <row r="12" spans="1:27" ht="18" x14ac:dyDescent="0.25">
      <c r="B12" s="6"/>
      <c r="C12" s="7"/>
      <c r="D12" s="7"/>
      <c r="J12" s="7"/>
      <c r="K12" s="7"/>
      <c r="L12" s="7"/>
      <c r="M12" s="7"/>
      <c r="N12" s="7"/>
      <c r="O12" s="7"/>
      <c r="P12" s="12"/>
      <c r="Q12" s="12"/>
      <c r="R12" s="12"/>
      <c r="X12" s="7"/>
      <c r="Y12" s="25"/>
      <c r="Z12" s="18"/>
      <c r="AA12" s="13"/>
    </row>
    <row r="13" spans="1:27" ht="22.5" customHeight="1" x14ac:dyDescent="0.25"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25"/>
      <c r="Z13" s="18"/>
      <c r="AA13" s="13"/>
    </row>
    <row r="14" spans="1:27" ht="22.5" customHeight="1" x14ac:dyDescent="0.25"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25"/>
      <c r="Z14" s="18"/>
      <c r="AA14" s="13"/>
    </row>
    <row r="15" spans="1:27" ht="22.5" customHeight="1" x14ac:dyDescent="0.25"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8"/>
      <c r="Z15" s="7"/>
    </row>
    <row r="16" spans="1:27" ht="22.5" customHeight="1" x14ac:dyDescent="0.25"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8"/>
      <c r="Z16" s="7"/>
    </row>
    <row r="17" spans="2:26" ht="22.5" customHeight="1" x14ac:dyDescent="0.25"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8"/>
      <c r="Z17" s="7"/>
    </row>
    <row r="18" spans="2:26" ht="22.5" customHeight="1" x14ac:dyDescent="0.25"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8"/>
      <c r="Z18" s="7"/>
    </row>
    <row r="19" spans="2:26" ht="22.5" customHeight="1" x14ac:dyDescent="0.25">
      <c r="B19" s="6"/>
      <c r="C19" s="51" t="s">
        <v>257</v>
      </c>
      <c r="D19" s="51"/>
      <c r="E19" s="51"/>
      <c r="F19" s="51"/>
      <c r="G19" s="42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8"/>
      <c r="Z19" s="7"/>
    </row>
    <row r="20" spans="2:26" ht="22.5" customHeight="1" x14ac:dyDescent="0.25"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8"/>
      <c r="Z20" s="7"/>
    </row>
    <row r="21" spans="2:26" ht="22.5" customHeight="1" x14ac:dyDescent="0.25"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8"/>
      <c r="Z21" s="7"/>
    </row>
    <row r="22" spans="2:26" ht="22.5" customHeight="1" x14ac:dyDescent="0.25"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8"/>
      <c r="Z22" s="7"/>
    </row>
    <row r="23" spans="2:26" ht="22.5" customHeight="1" x14ac:dyDescent="0.25"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12"/>
      <c r="Q23" s="12"/>
      <c r="R23" s="12"/>
      <c r="S23" s="7"/>
      <c r="T23" s="7"/>
      <c r="U23" s="7"/>
      <c r="V23" s="7"/>
      <c r="W23" s="7"/>
      <c r="X23" s="7"/>
      <c r="Y23" s="8"/>
      <c r="Z23" s="7"/>
    </row>
    <row r="24" spans="2:26" ht="22.5" customHeight="1" x14ac:dyDescent="0.25"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8"/>
      <c r="Z24" s="7"/>
    </row>
    <row r="25" spans="2:26" ht="22.5" customHeight="1" x14ac:dyDescent="0.25"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8"/>
      <c r="Z25" s="7"/>
    </row>
    <row r="26" spans="2:26" ht="22.5" customHeight="1" x14ac:dyDescent="0.25"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8"/>
      <c r="Z26" s="7"/>
    </row>
    <row r="27" spans="2:26" ht="22.5" customHeight="1" x14ac:dyDescent="0.25"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8"/>
      <c r="Z27" s="7"/>
    </row>
    <row r="28" spans="2:26" ht="22.5" customHeight="1" x14ac:dyDescent="0.25"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8"/>
      <c r="Z28" s="7"/>
    </row>
    <row r="29" spans="2:26" ht="22.5" customHeight="1" x14ac:dyDescent="0.25"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8"/>
      <c r="Z29" s="7"/>
    </row>
    <row r="30" spans="2:26" s="2" customFormat="1" ht="22.5" customHeight="1" x14ac:dyDescent="0.25"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8"/>
      <c r="Z30" s="7"/>
    </row>
    <row r="31" spans="2:26" s="2" customFormat="1" ht="22.5" customHeight="1" x14ac:dyDescent="0.25"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8"/>
      <c r="Z31" s="7"/>
    </row>
    <row r="32" spans="2:26" ht="22.5" customHeight="1" x14ac:dyDescent="0.25"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8"/>
      <c r="Z32" s="7"/>
    </row>
    <row r="33" spans="2:26" s="2" customFormat="1" ht="22.5" customHeight="1" x14ac:dyDescent="0.25"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8"/>
      <c r="Z33" s="7"/>
    </row>
    <row r="34" spans="2:26" s="2" customFormat="1" ht="22.5" customHeight="1" x14ac:dyDescent="0.25"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8"/>
      <c r="Z34" s="7"/>
    </row>
    <row r="35" spans="2:26" s="2" customFormat="1" ht="22.5" customHeight="1" x14ac:dyDescent="0.25"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8"/>
      <c r="Z35" s="7"/>
    </row>
    <row r="36" spans="2:26" s="2" customFormat="1" ht="22.5" customHeight="1" x14ac:dyDescent="0.25"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8"/>
      <c r="Z36" s="7"/>
    </row>
    <row r="37" spans="2:26" s="2" customFormat="1" ht="22.5" customHeight="1" thickBot="1" x14ac:dyDescent="0.3">
      <c r="B37" s="9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1"/>
      <c r="Z37" s="7"/>
    </row>
    <row r="38" spans="2:26" ht="22.5" customHeight="1" x14ac:dyDescent="0.25"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8"/>
      <c r="Z38" s="7"/>
    </row>
    <row r="39" spans="2:26" ht="20.25" customHeight="1" thickBot="1" x14ac:dyDescent="0.35">
      <c r="B39" s="6"/>
      <c r="C39" s="35" t="s">
        <v>216</v>
      </c>
      <c r="D39" s="43" t="s">
        <v>261</v>
      </c>
      <c r="E39" s="43" t="s">
        <v>262</v>
      </c>
      <c r="F39" s="43" t="s">
        <v>263</v>
      </c>
      <c r="G39" s="43" t="s">
        <v>264</v>
      </c>
      <c r="H39" s="43" t="s">
        <v>265</v>
      </c>
      <c r="I39" s="43" t="s">
        <v>266</v>
      </c>
      <c r="J39" s="43" t="s">
        <v>267</v>
      </c>
      <c r="K39" s="43" t="s">
        <v>268</v>
      </c>
      <c r="L39" s="43" t="s">
        <v>269</v>
      </c>
      <c r="M39" s="43" t="s">
        <v>270</v>
      </c>
      <c r="N39" s="43" t="s">
        <v>271</v>
      </c>
      <c r="O39" s="43" t="s">
        <v>272</v>
      </c>
      <c r="P39" s="43" t="s">
        <v>273</v>
      </c>
      <c r="Q39" s="43" t="s">
        <v>274</v>
      </c>
      <c r="R39" s="43" t="s">
        <v>275</v>
      </c>
      <c r="S39" s="43" t="s">
        <v>276</v>
      </c>
      <c r="T39" s="43" t="s">
        <v>277</v>
      </c>
      <c r="U39" s="43" t="s">
        <v>278</v>
      </c>
      <c r="V39" s="43" t="s">
        <v>279</v>
      </c>
      <c r="W39" s="15"/>
      <c r="X39" s="29" t="s">
        <v>221</v>
      </c>
      <c r="Y39" s="26"/>
      <c r="Z39" s="7"/>
    </row>
    <row r="40" spans="2:26" ht="20.25" customHeight="1" x14ac:dyDescent="0.3">
      <c r="B40" s="6"/>
      <c r="C40" s="36" t="s">
        <v>29</v>
      </c>
      <c r="D40" s="30">
        <v>3.6999999999999997</v>
      </c>
      <c r="E40" s="30">
        <v>4</v>
      </c>
      <c r="F40" s="30">
        <v>3.5000000000000004</v>
      </c>
      <c r="G40" s="30">
        <v>4</v>
      </c>
      <c r="H40" s="30">
        <v>3.5000000000000004</v>
      </c>
      <c r="I40" s="30">
        <v>4.2</v>
      </c>
      <c r="J40" s="30">
        <v>3.5000000000000004</v>
      </c>
      <c r="K40" s="30">
        <v>3.8</v>
      </c>
      <c r="L40" s="30">
        <v>4.7</v>
      </c>
      <c r="M40" s="30">
        <v>4.7</v>
      </c>
      <c r="N40" s="30">
        <v>3.9</v>
      </c>
      <c r="O40" s="30">
        <v>4.7</v>
      </c>
      <c r="P40" s="30">
        <v>4.1000000000000005</v>
      </c>
      <c r="Q40" s="30">
        <v>5.0999999999999996</v>
      </c>
      <c r="R40" s="30">
        <v>3.8</v>
      </c>
      <c r="S40" s="30">
        <v>4</v>
      </c>
      <c r="T40" s="30">
        <v>4.5999999999999996</v>
      </c>
      <c r="U40" s="30">
        <v>4.5</v>
      </c>
      <c r="V40" s="30">
        <v>4.9000000000000004</v>
      </c>
      <c r="X40" s="27" t="s">
        <v>226</v>
      </c>
      <c r="Y40" s="8"/>
      <c r="Z40" s="7"/>
    </row>
    <row r="41" spans="2:26" ht="20.25" customHeight="1" x14ac:dyDescent="0.3">
      <c r="B41" s="6"/>
      <c r="C41" s="37" t="s">
        <v>30</v>
      </c>
      <c r="D41" s="31">
        <v>9.8000000000000007</v>
      </c>
      <c r="E41" s="31">
        <v>9.5</v>
      </c>
      <c r="F41" s="31">
        <v>8.6</v>
      </c>
      <c r="G41" s="31">
        <v>8.9</v>
      </c>
      <c r="H41" s="31">
        <v>8.5</v>
      </c>
      <c r="I41" s="31">
        <v>9.1999999999999993</v>
      </c>
      <c r="J41" s="31">
        <v>10.199999999999999</v>
      </c>
      <c r="K41" s="31">
        <v>10.299999999999999</v>
      </c>
      <c r="L41" s="31">
        <v>8.7999999999999989</v>
      </c>
      <c r="M41" s="31">
        <v>10.4</v>
      </c>
      <c r="N41" s="31">
        <v>9.4</v>
      </c>
      <c r="O41" s="31">
        <v>10</v>
      </c>
      <c r="P41" s="31">
        <v>10.5</v>
      </c>
      <c r="Q41" s="31">
        <v>11</v>
      </c>
      <c r="R41" s="31">
        <v>8.2000000000000011</v>
      </c>
      <c r="S41" s="31">
        <v>10.8</v>
      </c>
      <c r="T41" s="31">
        <v>10.6</v>
      </c>
      <c r="U41" s="31">
        <v>9.7000000000000011</v>
      </c>
      <c r="V41" s="31">
        <v>11.700000000000001</v>
      </c>
      <c r="X41" s="27" t="s">
        <v>227</v>
      </c>
      <c r="Y41" s="8"/>
      <c r="Z41" s="7"/>
    </row>
    <row r="42" spans="2:26" s="2" customFormat="1" ht="20.25" customHeight="1" x14ac:dyDescent="0.3">
      <c r="B42" s="6"/>
      <c r="C42" s="36" t="s">
        <v>34</v>
      </c>
      <c r="D42" s="30">
        <v>2.5</v>
      </c>
      <c r="E42" s="30">
        <v>2.5</v>
      </c>
      <c r="F42" s="30">
        <v>2.4</v>
      </c>
      <c r="G42" s="30">
        <v>2.5</v>
      </c>
      <c r="H42" s="30">
        <v>2.4</v>
      </c>
      <c r="I42" s="30">
        <v>2.5</v>
      </c>
      <c r="J42" s="30">
        <v>2.6</v>
      </c>
      <c r="K42" s="30">
        <v>2.5</v>
      </c>
      <c r="L42" s="30">
        <v>2.6</v>
      </c>
      <c r="M42" s="30">
        <v>2.6</v>
      </c>
      <c r="N42" s="30">
        <v>2.8000000000000003</v>
      </c>
      <c r="O42" s="30">
        <v>2.7</v>
      </c>
      <c r="P42" s="30">
        <v>2.8000000000000003</v>
      </c>
      <c r="Q42" s="30">
        <v>3</v>
      </c>
      <c r="R42" s="30">
        <v>2.7</v>
      </c>
      <c r="S42" s="30">
        <v>3</v>
      </c>
      <c r="T42" s="30">
        <v>3</v>
      </c>
      <c r="U42" s="30">
        <v>2.9000000000000004</v>
      </c>
      <c r="V42" s="30">
        <v>3.1</v>
      </c>
      <c r="X42" s="28" t="s">
        <v>218</v>
      </c>
      <c r="Y42" s="8"/>
      <c r="Z42" s="7"/>
    </row>
    <row r="43" spans="2:26" ht="20.25" customHeight="1" x14ac:dyDescent="0.3">
      <c r="B43" s="6"/>
      <c r="C43" s="37" t="s">
        <v>33</v>
      </c>
      <c r="D43" s="32">
        <v>100.2045851167904</v>
      </c>
      <c r="E43" s="32">
        <v>99.777270939291569</v>
      </c>
      <c r="F43" s="32">
        <v>99.69429326235273</v>
      </c>
      <c r="G43" s="32">
        <v>99.540432639612021</v>
      </c>
      <c r="H43" s="32">
        <v>99.319016420913272</v>
      </c>
      <c r="I43" s="32">
        <v>99.342919586372886</v>
      </c>
      <c r="J43" s="32">
        <v>99.625223048534025</v>
      </c>
      <c r="K43" s="32">
        <v>99.4621247108158</v>
      </c>
      <c r="L43" s="32">
        <v>100.09644301783634</v>
      </c>
      <c r="M43" s="32">
        <v>100.02725194369239</v>
      </c>
      <c r="N43" s="32">
        <v>99.998299717579869</v>
      </c>
      <c r="O43" s="32">
        <v>99.789416798051249</v>
      </c>
      <c r="P43" s="32">
        <v>99.861566082821625</v>
      </c>
      <c r="Q43" s="32">
        <v>99.743963527056351</v>
      </c>
      <c r="R43" s="32">
        <v>99.739290929140495</v>
      </c>
      <c r="S43" s="32">
        <v>99.708722307768923</v>
      </c>
      <c r="T43" s="32">
        <v>99.743713611231769</v>
      </c>
      <c r="U43" s="32">
        <v>99.90698194007922</v>
      </c>
      <c r="V43" s="32">
        <v>99.520274487314893</v>
      </c>
      <c r="X43" s="28" t="s">
        <v>228</v>
      </c>
      <c r="Y43" s="8"/>
      <c r="Z43" s="7"/>
    </row>
    <row r="44" spans="2:26" ht="20.25" customHeight="1" x14ac:dyDescent="0.3">
      <c r="B44" s="6"/>
      <c r="C44" s="36" t="s">
        <v>31</v>
      </c>
      <c r="D44" s="33">
        <v>0</v>
      </c>
      <c r="E44" s="33">
        <v>0</v>
      </c>
      <c r="F44" s="33">
        <v>0</v>
      </c>
      <c r="G44" s="33">
        <v>0</v>
      </c>
      <c r="H44" s="33">
        <v>1</v>
      </c>
      <c r="I44" s="33">
        <v>0</v>
      </c>
      <c r="J44" s="33">
        <v>0</v>
      </c>
      <c r="K44" s="33">
        <v>3</v>
      </c>
      <c r="L44" s="33">
        <v>0</v>
      </c>
      <c r="M44" s="33">
        <v>1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X44" s="28" t="s">
        <v>225</v>
      </c>
      <c r="Y44" s="8"/>
      <c r="Z44" s="7"/>
    </row>
    <row r="45" spans="2:26" ht="20.25" customHeight="1" x14ac:dyDescent="0.3">
      <c r="B45" s="6"/>
      <c r="C45" s="37" t="s">
        <v>32</v>
      </c>
      <c r="D45" s="34">
        <v>1</v>
      </c>
      <c r="E45" s="34">
        <v>0</v>
      </c>
      <c r="F45" s="34">
        <v>0</v>
      </c>
      <c r="G45" s="34">
        <v>0</v>
      </c>
      <c r="H45" s="34">
        <v>0</v>
      </c>
      <c r="I45" s="34">
        <v>0</v>
      </c>
      <c r="J45" s="34">
        <v>1</v>
      </c>
      <c r="K45" s="34">
        <v>0</v>
      </c>
      <c r="L45" s="34">
        <v>0</v>
      </c>
      <c r="M45" s="34">
        <v>0</v>
      </c>
      <c r="N45" s="34">
        <v>0</v>
      </c>
      <c r="O45" s="34">
        <v>0</v>
      </c>
      <c r="P45" s="34">
        <v>1</v>
      </c>
      <c r="Q45" s="34">
        <v>0</v>
      </c>
      <c r="R45" s="34">
        <v>0</v>
      </c>
      <c r="S45" s="34">
        <v>0</v>
      </c>
      <c r="T45" s="34">
        <v>0</v>
      </c>
      <c r="U45" s="34">
        <v>0</v>
      </c>
      <c r="V45" s="34">
        <v>1</v>
      </c>
      <c r="X45" s="28" t="s">
        <v>225</v>
      </c>
      <c r="Y45" s="8"/>
      <c r="Z45" s="7"/>
    </row>
    <row r="46" spans="2:26" ht="15.75" thickBot="1" x14ac:dyDescent="0.3">
      <c r="B46" s="9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1"/>
      <c r="Z46" s="7"/>
    </row>
    <row r="57" spans="2:9" x14ac:dyDescent="0.25">
      <c r="B57" s="2"/>
      <c r="H57" s="1"/>
      <c r="I57" s="1"/>
    </row>
    <row r="58" spans="2:9" x14ac:dyDescent="0.25">
      <c r="B58" s="2"/>
    </row>
    <row r="59" spans="2:9" x14ac:dyDescent="0.25">
      <c r="B59" s="2"/>
    </row>
    <row r="60" spans="2:9" x14ac:dyDescent="0.25">
      <c r="B60" s="2"/>
    </row>
    <row r="61" spans="2:9" x14ac:dyDescent="0.25">
      <c r="B61" s="2"/>
    </row>
    <row r="62" spans="2:9" x14ac:dyDescent="0.25">
      <c r="B62" s="2"/>
    </row>
    <row r="63" spans="2:9" x14ac:dyDescent="0.25">
      <c r="B63" s="2"/>
    </row>
    <row r="64" spans="2:9" x14ac:dyDescent="0.25">
      <c r="B64" s="2"/>
    </row>
    <row r="65" spans="2:2" x14ac:dyDescent="0.25">
      <c r="B65" s="2"/>
    </row>
    <row r="66" spans="2:2" x14ac:dyDescent="0.25">
      <c r="B66" s="2"/>
    </row>
  </sheetData>
  <sheetProtection sheet="1" objects="1" scenarios="1"/>
  <mergeCells count="7">
    <mergeCell ref="C19:F19"/>
    <mergeCell ref="E10:F10"/>
    <mergeCell ref="C3:X4"/>
    <mergeCell ref="E6:F6"/>
    <mergeCell ref="E7:F7"/>
    <mergeCell ref="E8:F8"/>
    <mergeCell ref="E9:F9"/>
  </mergeCells>
  <conditionalFormatting sqref="D45:V45">
    <cfRule type="cellIs" dxfId="6" priority="8" operator="greaterThan">
      <formula>2</formula>
    </cfRule>
  </conditionalFormatting>
  <conditionalFormatting sqref="D44:V44">
    <cfRule type="cellIs" dxfId="5" priority="7" operator="greaterThan">
      <formula>2</formula>
    </cfRule>
  </conditionalFormatting>
  <conditionalFormatting sqref="D40:V40">
    <cfRule type="cellIs" dxfId="4" priority="1" operator="greaterThanOrEqual">
      <formula>7.5</formula>
    </cfRule>
  </conditionalFormatting>
  <conditionalFormatting sqref="D43:V43">
    <cfRule type="cellIs" dxfId="3" priority="4" operator="lessThan">
      <formula>98</formula>
    </cfRule>
    <cfRule type="cellIs" dxfId="2" priority="5" operator="greaterThan">
      <formula>102</formula>
    </cfRule>
  </conditionalFormatting>
  <conditionalFormatting sqref="D42:V42">
    <cfRule type="cellIs" dxfId="1" priority="3" operator="greaterThan">
      <formula>3.5</formula>
    </cfRule>
  </conditionalFormatting>
  <conditionalFormatting sqref="D41:V41">
    <cfRule type="cellIs" dxfId="0" priority="2" operator="greaterThanOrEqual">
      <formula>15</formula>
    </cfRule>
  </conditionalFormatting>
  <pageMargins left="0.7" right="0.7" top="0.75" bottom="0.75" header="0.3" footer="0.3"/>
  <pageSetup paperSize="9" scale="51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autoPageBreaks="0"/>
  </sheetPr>
  <dimension ref="B1:HS112"/>
  <sheetViews>
    <sheetView topLeftCell="A34" zoomScale="85" zoomScaleNormal="85" workbookViewId="0">
      <selection activeCell="B93" sqref="B93"/>
    </sheetView>
  </sheetViews>
  <sheetFormatPr defaultColWidth="9.5703125" defaultRowHeight="15" x14ac:dyDescent="0.25"/>
  <cols>
    <col min="2" max="2" width="19" customWidth="1"/>
    <col min="3" max="3" width="16.140625" customWidth="1"/>
    <col min="4" max="4" width="11.85546875" style="2" customWidth="1"/>
    <col min="5" max="5" width="13.42578125" customWidth="1"/>
    <col min="6" max="6" width="13" customWidth="1"/>
    <col min="7" max="7" width="15" customWidth="1"/>
    <col min="8" max="8" width="22.28515625" customWidth="1"/>
    <col min="9" max="9" width="14.5703125" style="2" customWidth="1"/>
    <col min="10" max="10" width="5.140625" customWidth="1"/>
    <col min="11" max="11" width="11.5703125" hidden="1" customWidth="1"/>
    <col min="12" max="12" width="10.5703125" hidden="1" customWidth="1"/>
    <col min="13" max="13" width="14.140625" hidden="1" customWidth="1"/>
    <col min="14" max="14" width="13.85546875" hidden="1" customWidth="1"/>
    <col min="15" max="15" width="11.5703125" hidden="1" customWidth="1"/>
    <col min="16" max="16" width="12.42578125" hidden="1" customWidth="1"/>
    <col min="17" max="19" width="9.5703125" hidden="1" customWidth="1"/>
    <col min="20" max="20" width="19.28515625" hidden="1" customWidth="1"/>
    <col min="21" max="22" width="9.5703125" hidden="1" customWidth="1"/>
    <col min="23" max="23" width="13" hidden="1" customWidth="1"/>
    <col min="24" max="24" width="12.140625" hidden="1" customWidth="1"/>
    <col min="25" max="28" width="9.5703125" hidden="1" customWidth="1"/>
    <col min="29" max="29" width="11.140625" hidden="1" customWidth="1"/>
    <col min="30" max="31" width="11.7109375" hidden="1" customWidth="1"/>
    <col min="32" max="32" width="17.140625" hidden="1" customWidth="1"/>
    <col min="33" max="33" width="11.42578125" hidden="1" customWidth="1"/>
    <col min="34" max="34" width="11.7109375" hidden="1" customWidth="1"/>
    <col min="35" max="35" width="11.42578125" hidden="1" customWidth="1"/>
    <col min="36" max="37" width="11.7109375" hidden="1" customWidth="1"/>
    <col min="38" max="38" width="12.42578125" hidden="1" customWidth="1"/>
    <col min="39" max="39" width="12" hidden="1" customWidth="1"/>
    <col min="40" max="42" width="12.42578125" hidden="1" customWidth="1"/>
    <col min="43" max="43" width="12.140625" hidden="1" customWidth="1"/>
    <col min="44" max="44" width="12.42578125" hidden="1" customWidth="1"/>
    <col min="45" max="45" width="12.140625" hidden="1" customWidth="1"/>
    <col min="46" max="47" width="12.42578125" hidden="1" customWidth="1"/>
    <col min="48" max="48" width="13.7109375" hidden="1" customWidth="1"/>
    <col min="49" max="51" width="14.28515625" hidden="1" customWidth="1"/>
    <col min="52" max="52" width="14" hidden="1" customWidth="1"/>
    <col min="53" max="53" width="14.28515625" hidden="1" customWidth="1"/>
    <col min="54" max="54" width="14" hidden="1" customWidth="1"/>
    <col min="55" max="56" width="14.28515625" hidden="1" customWidth="1"/>
    <col min="57" max="57" width="15" hidden="1" customWidth="1"/>
    <col min="58" max="58" width="14.5703125" hidden="1" customWidth="1"/>
    <col min="59" max="61" width="15" hidden="1" customWidth="1"/>
    <col min="62" max="62" width="14.85546875" hidden="1" customWidth="1"/>
    <col min="63" max="63" width="15" hidden="1" customWidth="1"/>
    <col min="64" max="64" width="14.85546875" hidden="1" customWidth="1"/>
    <col min="65" max="66" width="15" hidden="1" customWidth="1"/>
    <col min="67" max="67" width="12.140625" style="2" hidden="1" customWidth="1"/>
    <col min="68" max="68" width="12.7109375" style="2" hidden="1" customWidth="1"/>
    <col min="69" max="70" width="12.7109375" hidden="1" customWidth="1"/>
    <col min="71" max="71" width="12.42578125" hidden="1" customWidth="1"/>
    <col min="72" max="72" width="14.7109375" hidden="1" customWidth="1"/>
    <col min="73" max="73" width="12.42578125" hidden="1" customWidth="1"/>
    <col min="74" max="75" width="12.7109375" hidden="1" customWidth="1"/>
    <col min="76" max="76" width="13.5703125" hidden="1" customWidth="1"/>
    <col min="77" max="77" width="13" hidden="1" customWidth="1"/>
    <col min="78" max="80" width="13.5703125" hidden="1" customWidth="1"/>
    <col min="81" max="81" width="13.28515625" hidden="1" customWidth="1"/>
    <col min="82" max="82" width="13.5703125" hidden="1" customWidth="1"/>
    <col min="83" max="83" width="13.28515625" hidden="1" customWidth="1"/>
    <col min="84" max="85" width="13.5703125" hidden="1" customWidth="1"/>
    <col min="86" max="86" width="11.7109375" hidden="1" customWidth="1"/>
    <col min="87" max="89" width="12.140625" hidden="1" customWidth="1"/>
    <col min="90" max="90" width="12" hidden="1" customWidth="1"/>
    <col min="91" max="91" width="12.140625" hidden="1" customWidth="1"/>
    <col min="92" max="92" width="14.85546875" hidden="1" customWidth="1"/>
    <col min="93" max="94" width="12.140625" hidden="1" customWidth="1"/>
    <col min="95" max="95" width="13" hidden="1" customWidth="1"/>
    <col min="96" max="96" width="12.42578125" hidden="1" customWidth="1"/>
    <col min="97" max="99" width="13" hidden="1" customWidth="1"/>
    <col min="100" max="100" width="12.7109375" hidden="1" customWidth="1"/>
    <col min="101" max="101" width="13" hidden="1" customWidth="1"/>
    <col min="102" max="102" width="12.7109375" hidden="1" customWidth="1"/>
    <col min="103" max="104" width="13" hidden="1" customWidth="1"/>
    <col min="105" max="105" width="12.140625" hidden="1" customWidth="1"/>
    <col min="106" max="108" width="12.7109375" hidden="1" customWidth="1"/>
    <col min="109" max="109" width="12.42578125" hidden="1" customWidth="1"/>
    <col min="110" max="110" width="12.7109375" hidden="1" customWidth="1"/>
    <col min="111" max="111" width="12.42578125" hidden="1" customWidth="1"/>
    <col min="112" max="113" width="12.7109375" hidden="1" customWidth="1"/>
    <col min="114" max="114" width="13.5703125" hidden="1" customWidth="1"/>
    <col min="115" max="115" width="13" hidden="1" customWidth="1"/>
    <col min="116" max="118" width="13.5703125" hidden="1" customWidth="1"/>
    <col min="119" max="119" width="13.28515625" hidden="1" customWidth="1"/>
    <col min="120" max="120" width="13.5703125" hidden="1" customWidth="1"/>
    <col min="121" max="121" width="13.28515625" hidden="1" customWidth="1"/>
    <col min="122" max="123" width="13.5703125" hidden="1" customWidth="1"/>
    <col min="124" max="124" width="9.85546875" hidden="1" customWidth="1"/>
    <col min="125" max="127" width="10.42578125" hidden="1" customWidth="1"/>
    <col min="128" max="128" width="10.140625" hidden="1" customWidth="1"/>
    <col min="129" max="129" width="10.42578125" hidden="1" customWidth="1"/>
    <col min="130" max="130" width="10.140625" hidden="1" customWidth="1"/>
    <col min="131" max="132" width="10.42578125" hidden="1" customWidth="1"/>
    <col min="133" max="133" width="11.140625" hidden="1" customWidth="1"/>
    <col min="134" max="134" width="10.7109375" hidden="1" customWidth="1"/>
    <col min="135" max="137" width="11.140625" hidden="1" customWidth="1"/>
    <col min="138" max="138" width="10.85546875" hidden="1" customWidth="1"/>
    <col min="139" max="139" width="11.140625" hidden="1" customWidth="1"/>
    <col min="140" max="140" width="10.85546875" hidden="1" customWidth="1"/>
    <col min="141" max="141" width="20.42578125" hidden="1" customWidth="1"/>
    <col min="142" max="142" width="14.85546875" hidden="1" customWidth="1"/>
    <col min="143" max="150" width="9.5703125" hidden="1" customWidth="1"/>
    <col min="151" max="151" width="14.28515625" hidden="1" customWidth="1"/>
    <col min="152" max="152" width="16.85546875" hidden="1" customWidth="1"/>
    <col min="153" max="161" width="9.5703125" hidden="1" customWidth="1"/>
    <col min="162" max="162" width="15.42578125" hidden="1" customWidth="1"/>
    <col min="163" max="163" width="19.140625" hidden="1" customWidth="1"/>
    <col min="164" max="171" width="9.5703125" hidden="1" customWidth="1"/>
    <col min="172" max="172" width="18.5703125" hidden="1" customWidth="1"/>
    <col min="173" max="198" width="9.5703125" hidden="1" customWidth="1"/>
    <col min="199" max="199" width="9" hidden="1" customWidth="1"/>
    <col min="200" max="200" width="13.5703125" hidden="1" customWidth="1"/>
    <col min="201" max="201" width="19.85546875" hidden="1" customWidth="1"/>
    <col min="202" max="202" width="23.5703125" hidden="1" customWidth="1"/>
    <col min="203" max="203" width="16.42578125" hidden="1" customWidth="1"/>
    <col min="204" max="204" width="13.85546875" hidden="1" customWidth="1"/>
    <col min="205" max="214" width="9.5703125" hidden="1" customWidth="1"/>
    <col min="215" max="218" width="13.85546875" hidden="1" customWidth="1"/>
    <col min="219" max="219" width="22.5703125" hidden="1" customWidth="1"/>
    <col min="220" max="225" width="22.5703125" customWidth="1"/>
    <col min="226" max="226" width="20.85546875" customWidth="1"/>
    <col min="227" max="227" width="224.42578125" style="50" customWidth="1"/>
  </cols>
  <sheetData>
    <row r="1" spans="2:227" s="2" customFormat="1" x14ac:dyDescent="0.25">
      <c r="HS1" s="50"/>
    </row>
    <row r="2" spans="2:227" s="2" customFormat="1" x14ac:dyDescent="0.25">
      <c r="B2" s="57" t="s">
        <v>284</v>
      </c>
      <c r="C2" s="57"/>
      <c r="D2" s="57"/>
      <c r="E2" s="57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HS2" s="50"/>
    </row>
    <row r="4" spans="2:227" x14ac:dyDescent="0.25">
      <c r="B4" s="13" t="s">
        <v>5</v>
      </c>
      <c r="C4" s="13" t="s">
        <v>4</v>
      </c>
      <c r="D4" s="13" t="s">
        <v>6</v>
      </c>
      <c r="E4" s="13" t="s">
        <v>7</v>
      </c>
      <c r="F4" s="13" t="s">
        <v>8</v>
      </c>
      <c r="G4" s="13" t="s">
        <v>9</v>
      </c>
      <c r="H4" s="13" t="s">
        <v>223</v>
      </c>
      <c r="I4" s="13" t="s">
        <v>283</v>
      </c>
      <c r="J4" s="13" t="s">
        <v>47</v>
      </c>
      <c r="K4" s="13" t="s">
        <v>178</v>
      </c>
      <c r="L4" s="13" t="s">
        <v>179</v>
      </c>
      <c r="M4" s="13" t="s">
        <v>44</v>
      </c>
      <c r="N4" s="13" t="s">
        <v>45</v>
      </c>
      <c r="O4" s="13" t="s">
        <v>46</v>
      </c>
      <c r="P4" s="13" t="s">
        <v>48</v>
      </c>
      <c r="Q4" s="13" t="s">
        <v>49</v>
      </c>
      <c r="R4" s="13" t="s">
        <v>50</v>
      </c>
      <c r="S4" s="13" t="s">
        <v>51</v>
      </c>
      <c r="T4" s="13" t="s">
        <v>10</v>
      </c>
      <c r="U4" s="13" t="s">
        <v>233</v>
      </c>
      <c r="V4" s="13" t="s">
        <v>180</v>
      </c>
      <c r="W4" s="13" t="s">
        <v>181</v>
      </c>
      <c r="X4" s="13" t="s">
        <v>52</v>
      </c>
      <c r="Y4" s="13" t="s">
        <v>53</v>
      </c>
      <c r="Z4" s="13" t="s">
        <v>54</v>
      </c>
      <c r="AA4" s="13" t="s">
        <v>55</v>
      </c>
      <c r="AB4" s="13" t="s">
        <v>56</v>
      </c>
      <c r="AC4" s="13" t="s">
        <v>57</v>
      </c>
      <c r="AD4" s="13" t="s">
        <v>58</v>
      </c>
      <c r="AE4" s="13" t="s">
        <v>11</v>
      </c>
      <c r="AF4" s="13" t="s">
        <v>234</v>
      </c>
      <c r="AG4" s="13" t="s">
        <v>182</v>
      </c>
      <c r="AH4" s="13" t="s">
        <v>183</v>
      </c>
      <c r="AI4" s="13" t="s">
        <v>59</v>
      </c>
      <c r="AJ4" s="13" t="s">
        <v>60</v>
      </c>
      <c r="AK4" s="13" t="s">
        <v>61</v>
      </c>
      <c r="AL4" s="13" t="s">
        <v>62</v>
      </c>
      <c r="AM4" s="13" t="s">
        <v>63</v>
      </c>
      <c r="AN4" s="13" t="s">
        <v>64</v>
      </c>
      <c r="AO4" s="13" t="s">
        <v>65</v>
      </c>
      <c r="AP4" s="13" t="s">
        <v>12</v>
      </c>
      <c r="AQ4" s="13" t="s">
        <v>235</v>
      </c>
      <c r="AR4" s="13" t="s">
        <v>184</v>
      </c>
      <c r="AS4" s="13" t="s">
        <v>185</v>
      </c>
      <c r="AT4" s="13" t="s">
        <v>66</v>
      </c>
      <c r="AU4" s="13" t="s">
        <v>67</v>
      </c>
      <c r="AV4" s="13" t="s">
        <v>68</v>
      </c>
      <c r="AW4" s="13" t="s">
        <v>69</v>
      </c>
      <c r="AX4" s="13" t="s">
        <v>70</v>
      </c>
      <c r="AY4" s="13" t="s">
        <v>71</v>
      </c>
      <c r="AZ4" s="13" t="s">
        <v>72</v>
      </c>
      <c r="BA4" s="13" t="s">
        <v>13</v>
      </c>
      <c r="BB4" s="13" t="s">
        <v>236</v>
      </c>
      <c r="BC4" s="13" t="s">
        <v>186</v>
      </c>
      <c r="BD4" s="13" t="s">
        <v>187</v>
      </c>
      <c r="BE4" s="13" t="s">
        <v>73</v>
      </c>
      <c r="BF4" s="13" t="s">
        <v>74</v>
      </c>
      <c r="BG4" s="13" t="s">
        <v>75</v>
      </c>
      <c r="BH4" s="13" t="s">
        <v>76</v>
      </c>
      <c r="BI4" s="13" t="s">
        <v>77</v>
      </c>
      <c r="BJ4" s="13" t="s">
        <v>78</v>
      </c>
      <c r="BK4" s="13" t="s">
        <v>79</v>
      </c>
      <c r="BL4" s="13" t="s">
        <v>14</v>
      </c>
      <c r="BM4" s="13" t="s">
        <v>237</v>
      </c>
      <c r="BN4" s="13" t="s">
        <v>188</v>
      </c>
      <c r="BO4" s="13" t="s">
        <v>189</v>
      </c>
      <c r="BP4" s="13" t="s">
        <v>80</v>
      </c>
      <c r="BQ4" s="13" t="s">
        <v>81</v>
      </c>
      <c r="BR4" s="13" t="s">
        <v>82</v>
      </c>
      <c r="BS4" s="13" t="s">
        <v>83</v>
      </c>
      <c r="BT4" s="13" t="s">
        <v>84</v>
      </c>
      <c r="BU4" s="13" t="s">
        <v>85</v>
      </c>
      <c r="BV4" s="13" t="s">
        <v>86</v>
      </c>
      <c r="BW4" s="13" t="s">
        <v>15</v>
      </c>
      <c r="BX4" s="13" t="s">
        <v>238</v>
      </c>
      <c r="BY4" s="13" t="s">
        <v>190</v>
      </c>
      <c r="BZ4" s="13" t="s">
        <v>191</v>
      </c>
      <c r="CA4" s="13" t="s">
        <v>87</v>
      </c>
      <c r="CB4" s="13" t="s">
        <v>88</v>
      </c>
      <c r="CC4" s="13" t="s">
        <v>89</v>
      </c>
      <c r="CD4" s="13" t="s">
        <v>90</v>
      </c>
      <c r="CE4" s="13" t="s">
        <v>91</v>
      </c>
      <c r="CF4" s="13" t="s">
        <v>92</v>
      </c>
      <c r="CG4" s="13" t="s">
        <v>93</v>
      </c>
      <c r="CH4" s="13" t="s">
        <v>16</v>
      </c>
      <c r="CI4" s="13" t="s">
        <v>239</v>
      </c>
      <c r="CJ4" s="13" t="s">
        <v>192</v>
      </c>
      <c r="CK4" s="13" t="s">
        <v>193</v>
      </c>
      <c r="CL4" s="13" t="s">
        <v>94</v>
      </c>
      <c r="CM4" s="13" t="s">
        <v>95</v>
      </c>
      <c r="CN4" s="13" t="s">
        <v>96</v>
      </c>
      <c r="CO4" s="13" t="s">
        <v>97</v>
      </c>
      <c r="CP4" s="13" t="s">
        <v>98</v>
      </c>
      <c r="CQ4" s="13" t="s">
        <v>99</v>
      </c>
      <c r="CR4" s="13" t="s">
        <v>100</v>
      </c>
      <c r="CS4" s="13" t="s">
        <v>17</v>
      </c>
      <c r="CT4" s="13" t="s">
        <v>240</v>
      </c>
      <c r="CU4" s="13" t="s">
        <v>194</v>
      </c>
      <c r="CV4" s="13" t="s">
        <v>195</v>
      </c>
      <c r="CW4" s="13" t="s">
        <v>101</v>
      </c>
      <c r="CX4" s="13" t="s">
        <v>102</v>
      </c>
      <c r="CY4" s="13" t="s">
        <v>103</v>
      </c>
      <c r="CZ4" s="13" t="s">
        <v>104</v>
      </c>
      <c r="DA4" s="13" t="s">
        <v>105</v>
      </c>
      <c r="DB4" s="13" t="s">
        <v>106</v>
      </c>
      <c r="DC4" s="13" t="s">
        <v>107</v>
      </c>
      <c r="DD4" s="13" t="s">
        <v>18</v>
      </c>
      <c r="DE4" s="13" t="s">
        <v>241</v>
      </c>
      <c r="DF4" s="13" t="s">
        <v>196</v>
      </c>
      <c r="DG4" s="13" t="s">
        <v>197</v>
      </c>
      <c r="DH4" s="13" t="s">
        <v>108</v>
      </c>
      <c r="DI4" s="13" t="s">
        <v>109</v>
      </c>
      <c r="DJ4" s="13" t="s">
        <v>110</v>
      </c>
      <c r="DK4" s="13" t="s">
        <v>111</v>
      </c>
      <c r="DL4" s="13" t="s">
        <v>112</v>
      </c>
      <c r="DM4" s="13" t="s">
        <v>113</v>
      </c>
      <c r="DN4" s="13" t="s">
        <v>114</v>
      </c>
      <c r="DO4" s="13" t="s">
        <v>19</v>
      </c>
      <c r="DP4" s="13" t="s">
        <v>242</v>
      </c>
      <c r="DQ4" s="13" t="s">
        <v>198</v>
      </c>
      <c r="DR4" s="13" t="s">
        <v>199</v>
      </c>
      <c r="DS4" s="13" t="s">
        <v>115</v>
      </c>
      <c r="DT4" s="13" t="s">
        <v>116</v>
      </c>
      <c r="DU4" s="13" t="s">
        <v>117</v>
      </c>
      <c r="DV4" s="13" t="s">
        <v>118</v>
      </c>
      <c r="DW4" s="13" t="s">
        <v>119</v>
      </c>
      <c r="DX4" s="13" t="s">
        <v>120</v>
      </c>
      <c r="DY4" s="13" t="s">
        <v>121</v>
      </c>
      <c r="DZ4" s="13" t="s">
        <v>20</v>
      </c>
      <c r="EA4" s="13" t="s">
        <v>243</v>
      </c>
      <c r="EB4" s="13" t="s">
        <v>200</v>
      </c>
      <c r="EC4" s="13" t="s">
        <v>201</v>
      </c>
      <c r="ED4" s="13" t="s">
        <v>122</v>
      </c>
      <c r="EE4" s="13" t="s">
        <v>123</v>
      </c>
      <c r="EF4" s="13" t="s">
        <v>124</v>
      </c>
      <c r="EG4" s="13" t="s">
        <v>125</v>
      </c>
      <c r="EH4" s="13" t="s">
        <v>126</v>
      </c>
      <c r="EI4" s="13" t="s">
        <v>127</v>
      </c>
      <c r="EJ4" s="13" t="s">
        <v>128</v>
      </c>
      <c r="EK4" s="13" t="s">
        <v>21</v>
      </c>
      <c r="EL4" s="13" t="s">
        <v>244</v>
      </c>
      <c r="EM4" s="13" t="s">
        <v>202</v>
      </c>
      <c r="EN4" s="13" t="s">
        <v>203</v>
      </c>
      <c r="EO4" s="13" t="s">
        <v>129</v>
      </c>
      <c r="EP4" s="13" t="s">
        <v>130</v>
      </c>
      <c r="EQ4" s="13" t="s">
        <v>131</v>
      </c>
      <c r="ER4" s="13" t="s">
        <v>132</v>
      </c>
      <c r="ES4" s="13" t="s">
        <v>133</v>
      </c>
      <c r="ET4" s="13" t="s">
        <v>134</v>
      </c>
      <c r="EU4" s="13" t="s">
        <v>135</v>
      </c>
      <c r="EV4" s="13" t="s">
        <v>22</v>
      </c>
      <c r="EW4" s="13" t="s">
        <v>245</v>
      </c>
      <c r="EX4" s="13" t="s">
        <v>204</v>
      </c>
      <c r="EY4" s="13" t="s">
        <v>205</v>
      </c>
      <c r="EZ4" s="13" t="s">
        <v>136</v>
      </c>
      <c r="FA4" s="13" t="s">
        <v>137</v>
      </c>
      <c r="FB4" s="13" t="s">
        <v>138</v>
      </c>
      <c r="FC4" s="13" t="s">
        <v>139</v>
      </c>
      <c r="FD4" s="13" t="s">
        <v>140</v>
      </c>
      <c r="FE4" s="13" t="s">
        <v>141</v>
      </c>
      <c r="FF4" s="13" t="s">
        <v>142</v>
      </c>
      <c r="FG4" s="13" t="s">
        <v>23</v>
      </c>
      <c r="FH4" s="13" t="s">
        <v>246</v>
      </c>
      <c r="FI4" s="13" t="s">
        <v>206</v>
      </c>
      <c r="FJ4" s="13" t="s">
        <v>207</v>
      </c>
      <c r="FK4" s="13" t="s">
        <v>143</v>
      </c>
      <c r="FL4" s="13" t="s">
        <v>144</v>
      </c>
      <c r="FM4" s="13" t="s">
        <v>145</v>
      </c>
      <c r="FN4" s="13" t="s">
        <v>146</v>
      </c>
      <c r="FO4" s="13" t="s">
        <v>147</v>
      </c>
      <c r="FP4" s="13" t="s">
        <v>148</v>
      </c>
      <c r="FQ4" s="13" t="s">
        <v>149</v>
      </c>
      <c r="FR4" s="13" t="s">
        <v>24</v>
      </c>
      <c r="FS4" s="13" t="s">
        <v>247</v>
      </c>
      <c r="FT4" s="13" t="s">
        <v>208</v>
      </c>
      <c r="FU4" s="13" t="s">
        <v>209</v>
      </c>
      <c r="FV4" s="13" t="s">
        <v>150</v>
      </c>
      <c r="FW4" s="13" t="s">
        <v>151</v>
      </c>
      <c r="FX4" s="13" t="s">
        <v>152</v>
      </c>
      <c r="FY4" s="13" t="s">
        <v>153</v>
      </c>
      <c r="FZ4" s="13" t="s">
        <v>154</v>
      </c>
      <c r="GA4" s="13" t="s">
        <v>155</v>
      </c>
      <c r="GB4" s="13" t="s">
        <v>156</v>
      </c>
      <c r="GC4" s="13" t="s">
        <v>25</v>
      </c>
      <c r="GD4" s="13" t="s">
        <v>248</v>
      </c>
      <c r="GE4" s="13" t="s">
        <v>210</v>
      </c>
      <c r="GF4" s="13" t="s">
        <v>211</v>
      </c>
      <c r="GG4" s="13" t="s">
        <v>157</v>
      </c>
      <c r="GH4" s="13" t="s">
        <v>158</v>
      </c>
      <c r="GI4" s="13" t="s">
        <v>159</v>
      </c>
      <c r="GJ4" s="13" t="s">
        <v>160</v>
      </c>
      <c r="GK4" s="13" t="s">
        <v>161</v>
      </c>
      <c r="GL4" s="13" t="s">
        <v>162</v>
      </c>
      <c r="GM4" s="13" t="s">
        <v>163</v>
      </c>
      <c r="GN4" s="13" t="s">
        <v>26</v>
      </c>
      <c r="GO4" s="13" t="s">
        <v>249</v>
      </c>
      <c r="GP4" s="13" t="s">
        <v>212</v>
      </c>
      <c r="GQ4" s="13" t="s">
        <v>213</v>
      </c>
      <c r="GR4" s="13" t="s">
        <v>164</v>
      </c>
      <c r="GS4" s="13" t="s">
        <v>165</v>
      </c>
      <c r="GT4" s="13" t="s">
        <v>166</v>
      </c>
      <c r="GU4" s="13" t="s">
        <v>167</v>
      </c>
      <c r="GV4" s="13" t="s">
        <v>168</v>
      </c>
      <c r="GW4" s="13" t="s">
        <v>169</v>
      </c>
      <c r="GX4" s="13" t="s">
        <v>170</v>
      </c>
      <c r="GY4" s="13" t="s">
        <v>27</v>
      </c>
      <c r="GZ4" s="13" t="s">
        <v>250</v>
      </c>
      <c r="HA4" s="13" t="s">
        <v>214</v>
      </c>
      <c r="HB4" s="13" t="s">
        <v>215</v>
      </c>
      <c r="HC4" s="13" t="s">
        <v>171</v>
      </c>
      <c r="HD4" s="13" t="s">
        <v>172</v>
      </c>
      <c r="HE4" s="13" t="s">
        <v>173</v>
      </c>
      <c r="HF4" s="13" t="s">
        <v>174</v>
      </c>
      <c r="HG4" s="13" t="s">
        <v>175</v>
      </c>
      <c r="HH4" s="13" t="s">
        <v>176</v>
      </c>
      <c r="HI4" s="13" t="s">
        <v>177</v>
      </c>
      <c r="HJ4" s="13" t="s">
        <v>28</v>
      </c>
      <c r="HK4" s="13" t="s">
        <v>251</v>
      </c>
      <c r="HL4" s="13" t="s">
        <v>229</v>
      </c>
      <c r="HM4" s="13" t="s">
        <v>230</v>
      </c>
      <c r="HN4" s="13" t="s">
        <v>231</v>
      </c>
      <c r="HO4" s="13" t="s">
        <v>232</v>
      </c>
      <c r="HP4" s="13" t="s">
        <v>252</v>
      </c>
      <c r="HQ4" s="13" t="s">
        <v>253</v>
      </c>
      <c r="HR4" s="13" t="s">
        <v>254</v>
      </c>
      <c r="HS4" s="50" t="s">
        <v>224</v>
      </c>
    </row>
    <row r="5" spans="2:227" x14ac:dyDescent="0.25">
      <c r="B5" s="19" t="s">
        <v>43</v>
      </c>
      <c r="C5" s="20">
        <v>42373</v>
      </c>
      <c r="D5" s="21">
        <v>0.32568287037037036</v>
      </c>
      <c r="E5" s="13" t="s">
        <v>217</v>
      </c>
      <c r="F5" s="13">
        <v>109.8</v>
      </c>
      <c r="G5" s="13">
        <v>134.19999999999999</v>
      </c>
      <c r="H5" s="24">
        <v>20.3993</v>
      </c>
      <c r="I5" s="22">
        <f>MATCH(DataTable[[#This Row],[Datum]],Övrigt!$D$10:$M$10,1)</f>
        <v>1</v>
      </c>
      <c r="J5" s="13"/>
      <c r="K5" s="22">
        <v>1859</v>
      </c>
      <c r="L5" s="22">
        <v>2250</v>
      </c>
      <c r="M5" s="23">
        <v>9.5000000000000001E-2</v>
      </c>
      <c r="N5" s="23">
        <v>3.6999999999999998E-2</v>
      </c>
      <c r="O5" s="23">
        <v>2.7E-2</v>
      </c>
      <c r="P5" s="22">
        <v>2073043</v>
      </c>
      <c r="Q5" s="24">
        <v>405</v>
      </c>
      <c r="R5" s="22">
        <v>0</v>
      </c>
      <c r="S5" s="22">
        <v>2</v>
      </c>
      <c r="T5" s="19">
        <v>20.661513034368312</v>
      </c>
      <c r="U5" s="23">
        <f>DataTable[[#This Row],[Sens_1]]/AVERAGEIF(DataTable[Strålkälla],DataTable[[#This Row],[Strålkälla]],DataTable[Sens_1])</f>
        <v>0.99794852804179479</v>
      </c>
      <c r="V5" s="22">
        <v>2180</v>
      </c>
      <c r="W5" s="22">
        <v>2610</v>
      </c>
      <c r="X5" s="23">
        <v>0.09</v>
      </c>
      <c r="Y5" s="23">
        <v>3.6999999999999998E-2</v>
      </c>
      <c r="Z5" s="23">
        <v>2.4E-2</v>
      </c>
      <c r="AA5" s="22">
        <v>2450760</v>
      </c>
      <c r="AB5" s="24">
        <v>405</v>
      </c>
      <c r="AC5" s="22">
        <v>0</v>
      </c>
      <c r="AD5" s="22">
        <v>0</v>
      </c>
      <c r="AE5" s="19">
        <v>24.426126078479069</v>
      </c>
      <c r="AF5" s="23">
        <f>DataTable[[#This Row],[Sens_2]]/AVERAGEIF(DataTable[Strålkälla],DataTable[[#This Row],[Strålkälla]],DataTable[Sens_2])</f>
        <v>0.99963846874428519</v>
      </c>
      <c r="AG5" s="22">
        <v>1931</v>
      </c>
      <c r="AH5" s="22">
        <v>2301</v>
      </c>
      <c r="AI5" s="23">
        <v>8.6999999999999994E-2</v>
      </c>
      <c r="AJ5" s="23">
        <v>3.3000000000000002E-2</v>
      </c>
      <c r="AK5" s="23">
        <v>2.4E-2</v>
      </c>
      <c r="AL5" s="22">
        <v>2167286</v>
      </c>
      <c r="AM5" s="24">
        <v>405</v>
      </c>
      <c r="AN5" s="22">
        <v>0</v>
      </c>
      <c r="AO5" s="22">
        <v>0</v>
      </c>
      <c r="AP5" s="19">
        <v>21.600809987156062</v>
      </c>
      <c r="AQ5" s="23">
        <f>DataTable[[#This Row],[Sens_3]]/AVERAGEIF(DataTable[Strålkälla],DataTable[[#This Row],[Strålkälla]],DataTable[Sens_3])</f>
        <v>0.99837138262883007</v>
      </c>
      <c r="AR5" s="22">
        <v>1800</v>
      </c>
      <c r="AS5" s="22">
        <v>2238</v>
      </c>
      <c r="AT5" s="23">
        <v>0.108</v>
      </c>
      <c r="AU5" s="23">
        <v>4.8000000000000001E-2</v>
      </c>
      <c r="AV5" s="23">
        <v>2.5999999999999999E-2</v>
      </c>
      <c r="AW5" s="22">
        <v>2063459</v>
      </c>
      <c r="AX5" s="24">
        <v>405</v>
      </c>
      <c r="AY5" s="22">
        <v>1</v>
      </c>
      <c r="AZ5" s="22">
        <v>1</v>
      </c>
      <c r="BA5" s="19">
        <v>20.565991648212123</v>
      </c>
      <c r="BB5" s="23">
        <f>DataTable[[#This Row],[Sens_4]]/AVERAGEIF(DataTable[Strålkälla],DataTable[[#This Row],[Strålkälla]],DataTable[Sens_4])</f>
        <v>0.99873883792116158</v>
      </c>
      <c r="BC5" s="22">
        <v>2074</v>
      </c>
      <c r="BD5" s="22">
        <v>2442</v>
      </c>
      <c r="BE5" s="19">
        <v>8.1000000000000003E-2</v>
      </c>
      <c r="BF5" s="19">
        <v>4.1000000000000002E-2</v>
      </c>
      <c r="BG5" s="19">
        <v>2.4E-2</v>
      </c>
      <c r="BH5" s="19">
        <v>2308012</v>
      </c>
      <c r="BI5" s="19">
        <v>405</v>
      </c>
      <c r="BJ5" s="19">
        <v>0</v>
      </c>
      <c r="BK5" s="19">
        <v>0</v>
      </c>
      <c r="BL5" s="19">
        <v>23.003391642854719</v>
      </c>
      <c r="BM5" s="23">
        <f>DataTable[[#This Row],[Sens_5]]/AVERAGEIF(DataTable[Strålkälla],DataTable[[#This Row],[Strålkälla]],DataTable[Sens_5])</f>
        <v>0.99900908625754459</v>
      </c>
      <c r="BN5" s="19">
        <v>2021</v>
      </c>
      <c r="BO5" s="19">
        <v>2453</v>
      </c>
      <c r="BP5" s="19">
        <v>9.7000000000000003E-2</v>
      </c>
      <c r="BQ5" s="19">
        <v>3.5999999999999997E-2</v>
      </c>
      <c r="BR5" s="19">
        <v>2.5000000000000001E-2</v>
      </c>
      <c r="BS5" s="19">
        <v>2299489</v>
      </c>
      <c r="BT5" s="19">
        <v>405</v>
      </c>
      <c r="BU5" s="19">
        <v>1</v>
      </c>
      <c r="BV5" s="19">
        <v>0</v>
      </c>
      <c r="BW5" s="19">
        <v>22.918444984443909</v>
      </c>
      <c r="BX5" s="23">
        <f>DataTable[[#This Row],[Sens_6]]/AVERAGEIF(DataTable[Strålkälla],DataTable[[#This Row],[Strålkälla]],DataTable[Sens_6])</f>
        <v>0.99856034343882083</v>
      </c>
      <c r="BY5" s="19">
        <v>1892</v>
      </c>
      <c r="BZ5" s="19">
        <v>2285</v>
      </c>
      <c r="CA5" s="19">
        <v>9.4E-2</v>
      </c>
      <c r="CB5" s="19">
        <v>3.5000000000000003E-2</v>
      </c>
      <c r="CC5" s="19">
        <v>2.5000000000000001E-2</v>
      </c>
      <c r="CD5" s="19">
        <v>2104323</v>
      </c>
      <c r="CE5" s="19">
        <v>405</v>
      </c>
      <c r="CF5" s="19">
        <v>0</v>
      </c>
      <c r="CG5" s="19">
        <v>1</v>
      </c>
      <c r="CH5" s="19">
        <v>20.97327315112182</v>
      </c>
      <c r="CI5" s="23">
        <f>DataTable[[#This Row],[Sens_7]]/AVERAGEIF(DataTable[Strålkälla],DataTable[[#This Row],[Strålkälla]],DataTable[Sens_7])</f>
        <v>0.99787978235336094</v>
      </c>
      <c r="CJ5" s="19">
        <v>2172</v>
      </c>
      <c r="CK5" s="19">
        <v>2646</v>
      </c>
      <c r="CL5" s="19">
        <v>9.8000000000000004E-2</v>
      </c>
      <c r="CM5" s="19">
        <v>3.5999999999999997E-2</v>
      </c>
      <c r="CN5" s="19">
        <v>2.5000000000000001E-2</v>
      </c>
      <c r="CO5" s="19">
        <v>2448767</v>
      </c>
      <c r="CP5" s="19">
        <v>405</v>
      </c>
      <c r="CQ5" s="19">
        <v>0</v>
      </c>
      <c r="CR5" s="19">
        <v>1</v>
      </c>
      <c r="CS5" s="19">
        <v>24.40626233446725</v>
      </c>
      <c r="CT5" s="23">
        <f>DataTable[[#This Row],[Sens_8]]/AVERAGEIF(DataTable[Strålkälla],DataTable[[#This Row],[Strålkälla]],DataTable[Sens_8])</f>
        <v>1.0003431723015233</v>
      </c>
      <c r="CU5" s="19">
        <v>1739</v>
      </c>
      <c r="CV5" s="19">
        <v>2072</v>
      </c>
      <c r="CW5" s="19">
        <v>8.6999999999999994E-2</v>
      </c>
      <c r="CX5" s="19">
        <v>4.7E-2</v>
      </c>
      <c r="CY5" s="19">
        <v>2.7E-2</v>
      </c>
      <c r="CZ5" s="19">
        <v>1967941</v>
      </c>
      <c r="DA5" s="19">
        <v>395</v>
      </c>
      <c r="DB5" s="19">
        <v>0</v>
      </c>
      <c r="DC5" s="19">
        <v>0</v>
      </c>
      <c r="DD5" s="19">
        <v>20.110543716956322</v>
      </c>
      <c r="DE5" s="23">
        <f>DataTable[[#This Row],[Sens_9]]/AVERAGEIF(DataTable[Strålkälla],DataTable[[#This Row],[Strålkälla]],DataTable[Sens_9])</f>
        <v>0.99646766141066656</v>
      </c>
      <c r="DF5" s="19">
        <v>1695</v>
      </c>
      <c r="DG5" s="19">
        <v>2022</v>
      </c>
      <c r="DH5" s="19">
        <v>8.7999999999999995E-2</v>
      </c>
      <c r="DI5" s="19">
        <v>3.6999999999999998E-2</v>
      </c>
      <c r="DJ5" s="19">
        <v>2.5999999999999999E-2</v>
      </c>
      <c r="DK5" s="19">
        <v>1903314</v>
      </c>
      <c r="DL5" s="19">
        <v>395</v>
      </c>
      <c r="DM5" s="19">
        <v>0</v>
      </c>
      <c r="DN5" s="19">
        <v>0</v>
      </c>
      <c r="DO5" s="19">
        <v>19.450115325660175</v>
      </c>
      <c r="DP5" s="23">
        <f>DataTable[[#This Row],[Sens_10]]/AVERAGEIF(DataTable[Strålkälla],DataTable[[#This Row],[Strålkälla]],DataTable[Sens_10])</f>
        <v>0.9969203231034639</v>
      </c>
      <c r="DQ5" s="19">
        <v>1491</v>
      </c>
      <c r="DR5" s="19">
        <v>1798</v>
      </c>
      <c r="DS5" s="19">
        <v>9.2999999999999999E-2</v>
      </c>
      <c r="DT5" s="19">
        <v>4.7E-2</v>
      </c>
      <c r="DU5" s="19">
        <v>2.7E-2</v>
      </c>
      <c r="DV5" s="19">
        <v>1679592</v>
      </c>
      <c r="DW5" s="19">
        <v>395</v>
      </c>
      <c r="DX5" s="19">
        <v>0</v>
      </c>
      <c r="DY5" s="19">
        <v>0</v>
      </c>
      <c r="DZ5" s="19">
        <v>17.163882627909121</v>
      </c>
      <c r="EA5" s="23">
        <f>DataTable[[#This Row],[Sens_11]]/AVERAGEIF(DataTable[Strålkälla],DataTable[[#This Row],[Strålkälla]],DataTable[Sens_11])</f>
        <v>0.9996443492641286</v>
      </c>
      <c r="EB5" s="19">
        <v>1775</v>
      </c>
      <c r="EC5" s="19">
        <v>2124</v>
      </c>
      <c r="ED5" s="19">
        <v>0.09</v>
      </c>
      <c r="EE5" s="19">
        <v>4.3999999999999997E-2</v>
      </c>
      <c r="EF5" s="19">
        <v>2.5999999999999999E-2</v>
      </c>
      <c r="EG5" s="19">
        <v>1997954</v>
      </c>
      <c r="EH5" s="19">
        <v>395</v>
      </c>
      <c r="EI5" s="19">
        <v>0</v>
      </c>
      <c r="EJ5" s="19">
        <v>0</v>
      </c>
      <c r="EK5" s="19">
        <v>20.417248922334437</v>
      </c>
      <c r="EL5" s="23">
        <f>DataTable[[#This Row],[Sens_12]]/AVERAGEIF(DataTable[Strålkälla],DataTable[[#This Row],[Strålkälla]],DataTable[Sens_12])</f>
        <v>0.99755083297518021</v>
      </c>
      <c r="EM5" s="19">
        <v>1522</v>
      </c>
      <c r="EN5" s="19">
        <v>1830</v>
      </c>
      <c r="EO5" s="19">
        <v>9.1999999999999998E-2</v>
      </c>
      <c r="EP5" s="19">
        <v>4.5999999999999999E-2</v>
      </c>
      <c r="EQ5" s="19">
        <v>2.7E-2</v>
      </c>
      <c r="ER5" s="19">
        <v>1702507</v>
      </c>
      <c r="ES5" s="19">
        <v>424</v>
      </c>
      <c r="ET5" s="19">
        <v>0</v>
      </c>
      <c r="EU5" s="19">
        <v>0</v>
      </c>
      <c r="EV5" s="19">
        <v>16.208091654120242</v>
      </c>
      <c r="EW5" s="19">
        <f>DataTable[[#This Row],[Sens_13]]/AVERAGEIF(DataTable[Strålkälla],DataTable[[#This Row],[Strålkälla]],DataTable[Sens_13])</f>
        <v>0.99844318256796383</v>
      </c>
      <c r="EX5" s="19">
        <v>1248</v>
      </c>
      <c r="EY5" s="19">
        <v>1566</v>
      </c>
      <c r="EZ5" s="19">
        <v>0.113</v>
      </c>
      <c r="FA5" s="19">
        <v>4.2000000000000003E-2</v>
      </c>
      <c r="FB5" s="19">
        <v>2.9000000000000001E-2</v>
      </c>
      <c r="FC5" s="19">
        <v>1452610</v>
      </c>
      <c r="FD5" s="19">
        <v>424</v>
      </c>
      <c r="FE5" s="19">
        <v>1</v>
      </c>
      <c r="FF5" s="19">
        <v>0</v>
      </c>
      <c r="FG5" s="19">
        <v>13.829039186148195</v>
      </c>
      <c r="FH5" s="19">
        <f>DataTable[[#This Row],[Sens_14]]/AVERAGEIF(DataTable[Strålkälla],DataTable[[#This Row],[Strålkälla]],DataTable[Sens_14])</f>
        <v>0.99827361676233761</v>
      </c>
      <c r="FI5" s="19">
        <v>1451</v>
      </c>
      <c r="FJ5" s="19">
        <v>1744</v>
      </c>
      <c r="FK5" s="19">
        <v>9.1999999999999998E-2</v>
      </c>
      <c r="FL5" s="19">
        <v>3.9E-2</v>
      </c>
      <c r="FM5" s="19">
        <v>2.7E-2</v>
      </c>
      <c r="FN5" s="19">
        <v>1627019</v>
      </c>
      <c r="FO5" s="19">
        <v>424</v>
      </c>
      <c r="FP5" s="19">
        <v>0</v>
      </c>
      <c r="FQ5" s="19">
        <v>0</v>
      </c>
      <c r="FR5" s="19">
        <v>15.489435917147514</v>
      </c>
      <c r="FS5" s="19">
        <f>DataTable[[#This Row],[Sens_15]]/AVERAGEIF(DataTable[Strålkälla],DataTable[[#This Row],[Strålkälla]],DataTable[Sens_15])</f>
        <v>1.0014751827445929</v>
      </c>
      <c r="FT5" s="19">
        <v>1295</v>
      </c>
      <c r="FU5" s="19">
        <v>1582</v>
      </c>
      <c r="FV5" s="19">
        <v>0.1</v>
      </c>
      <c r="FW5" s="19">
        <v>4.2999999999999997E-2</v>
      </c>
      <c r="FX5" s="19">
        <v>2.9000000000000001E-2</v>
      </c>
      <c r="FY5" s="19">
        <v>1461936</v>
      </c>
      <c r="FZ5" s="19">
        <v>424</v>
      </c>
      <c r="GA5" s="19">
        <v>0</v>
      </c>
      <c r="GB5" s="19">
        <v>0</v>
      </c>
      <c r="GC5" s="19">
        <v>13.917823938731489</v>
      </c>
      <c r="GD5" s="19">
        <f>DataTable[[#This Row],[Sens_16]]/AVERAGEIF(DataTable[Strålkälla],DataTable[[#This Row],[Strålkälla]],DataTable[Sens_16])</f>
        <v>0.99666126885373763</v>
      </c>
      <c r="GE5" s="19">
        <v>1231</v>
      </c>
      <c r="GF5" s="19">
        <v>1541</v>
      </c>
      <c r="GG5" s="19">
        <v>0.112</v>
      </c>
      <c r="GH5" s="19">
        <v>4.8000000000000001E-2</v>
      </c>
      <c r="GI5" s="19">
        <v>0.03</v>
      </c>
      <c r="GJ5" s="19">
        <v>1408179</v>
      </c>
      <c r="GK5" s="19">
        <v>424</v>
      </c>
      <c r="GL5" s="19">
        <v>0</v>
      </c>
      <c r="GM5" s="19">
        <v>0</v>
      </c>
      <c r="GN5" s="19">
        <v>13.406050193865511</v>
      </c>
      <c r="GO5" s="19">
        <f>DataTable[[#This Row],[Sens_17]]/AVERAGEIF(DataTable[Strålkälla],DataTable[[#This Row],[Strålkälla]],DataTable[Sens_17])</f>
        <v>0.99719143794652865</v>
      </c>
      <c r="GP5" s="19">
        <v>1452</v>
      </c>
      <c r="GQ5" s="19">
        <v>1766</v>
      </c>
      <c r="GR5" s="19">
        <v>9.8000000000000004E-2</v>
      </c>
      <c r="GS5" s="19">
        <v>4.9000000000000002E-2</v>
      </c>
      <c r="GT5" s="19">
        <v>2.9000000000000001E-2</v>
      </c>
      <c r="GU5" s="19">
        <v>1630184</v>
      </c>
      <c r="GV5" s="19">
        <v>424</v>
      </c>
      <c r="GW5" s="19">
        <v>0</v>
      </c>
      <c r="GX5" s="19">
        <v>0</v>
      </c>
      <c r="GY5" s="19">
        <v>15.519567135453983</v>
      </c>
      <c r="GZ5" s="19">
        <f>DataTable[[#This Row],[Sens_18]]/AVERAGEIF(DataTable[Strålkälla],DataTable[[#This Row],[Strålkälla]],DataTable[Sens_18])</f>
        <v>0.99753927795870578</v>
      </c>
      <c r="HA5" s="19">
        <v>1220</v>
      </c>
      <c r="HB5" s="19">
        <v>1603</v>
      </c>
      <c r="HC5" s="19">
        <v>0.13600000000000001</v>
      </c>
      <c r="HD5" s="19">
        <v>4.5999999999999999E-2</v>
      </c>
      <c r="HE5" s="19">
        <v>3.1E-2</v>
      </c>
      <c r="HF5" s="19">
        <v>1484886</v>
      </c>
      <c r="HG5" s="19">
        <v>424</v>
      </c>
      <c r="HH5" s="19">
        <v>1</v>
      </c>
      <c r="HI5" s="19">
        <v>0</v>
      </c>
      <c r="HJ5" s="19">
        <v>14.136310971949008</v>
      </c>
      <c r="HK5" s="19">
        <f>DataTable[[#This Row],[Sens_19]]/AVERAGEIF(DataTable[Strålkälla],DataTable[[#This Row],[Strålkälla]],DataTable[Sens_19])</f>
        <v>0.99759649437383879</v>
      </c>
      <c r="HL5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0.13600000000000001</v>
      </c>
      <c r="HM5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9.7421052631578964E-2</v>
      </c>
      <c r="HN5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4.9000000000000002E-2</v>
      </c>
      <c r="HO5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4.1631578947368429E-2</v>
      </c>
      <c r="HP5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0.99646766141066656</v>
      </c>
      <c r="HQ5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0.99832911734991914</v>
      </c>
      <c r="HR5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1.0014751827445929</v>
      </c>
      <c r="HS5" s="49"/>
    </row>
    <row r="6" spans="2:227" x14ac:dyDescent="0.25">
      <c r="B6" s="19" t="s">
        <v>43</v>
      </c>
      <c r="C6" s="20">
        <v>42380</v>
      </c>
      <c r="D6" s="21">
        <v>0.32356481481481481</v>
      </c>
      <c r="E6" s="13" t="s">
        <v>217</v>
      </c>
      <c r="F6" s="13">
        <v>109.8</v>
      </c>
      <c r="G6" s="13">
        <v>134.19999999999999</v>
      </c>
      <c r="H6" s="24">
        <v>20.753399999999999</v>
      </c>
      <c r="I6" s="22">
        <f>MATCH(DataTable[[#This Row],[Datum]],Övrigt!$D$10:$M$10,1)</f>
        <v>1</v>
      </c>
      <c r="J6" s="13"/>
      <c r="K6" s="22">
        <v>1863</v>
      </c>
      <c r="L6" s="22">
        <v>2218</v>
      </c>
      <c r="M6" s="23">
        <v>8.6999999999999994E-2</v>
      </c>
      <c r="N6" s="23">
        <v>4.4999999999999998E-2</v>
      </c>
      <c r="O6" s="23">
        <v>2.5999999999999999E-2</v>
      </c>
      <c r="P6" s="22">
        <v>2076144</v>
      </c>
      <c r="Q6" s="24">
        <v>412</v>
      </c>
      <c r="R6" s="22">
        <v>0</v>
      </c>
      <c r="S6" s="22">
        <v>0</v>
      </c>
      <c r="T6" s="19">
        <v>20.707305876625728</v>
      </c>
      <c r="U6" s="23">
        <f>DataTable[[#This Row],[Sens_1]]/AVERAGEIF(DataTable[Strålkälla],DataTable[[#This Row],[Strålkälla]],DataTable[Sens_1])</f>
        <v>1.0001603166678079</v>
      </c>
      <c r="V6" s="22">
        <v>2059</v>
      </c>
      <c r="W6" s="22">
        <v>2592</v>
      </c>
      <c r="X6" s="23">
        <v>0.115</v>
      </c>
      <c r="Y6" s="23">
        <v>3.9E-2</v>
      </c>
      <c r="Z6" s="23">
        <v>2.5000000000000001E-2</v>
      </c>
      <c r="AA6" s="22">
        <v>2450050</v>
      </c>
      <c r="AB6" s="24">
        <v>412</v>
      </c>
      <c r="AC6" s="22">
        <v>1</v>
      </c>
      <c r="AD6" s="22">
        <v>0</v>
      </c>
      <c r="AE6" s="19">
        <v>24.436616517460671</v>
      </c>
      <c r="AF6" s="23">
        <f>DataTable[[#This Row],[Sens_2]]/AVERAGEIF(DataTable[Strålkälla],DataTable[[#This Row],[Strålkälla]],DataTable[Sens_2])</f>
        <v>1.0000677896413579</v>
      </c>
      <c r="AG6" s="22">
        <v>1910</v>
      </c>
      <c r="AH6" s="22">
        <v>2319</v>
      </c>
      <c r="AI6" s="23">
        <v>9.7000000000000003E-2</v>
      </c>
      <c r="AJ6" s="23">
        <v>3.9E-2</v>
      </c>
      <c r="AK6" s="23">
        <v>2.5999999999999999E-2</v>
      </c>
      <c r="AL6" s="22">
        <v>2171281</v>
      </c>
      <c r="AM6" s="24">
        <v>412</v>
      </c>
      <c r="AN6" s="22">
        <v>0</v>
      </c>
      <c r="AO6" s="22">
        <v>0</v>
      </c>
      <c r="AP6" s="19">
        <v>21.656195240361839</v>
      </c>
      <c r="AQ6" s="23">
        <f>DataTable[[#This Row],[Sens_3]]/AVERAGEIF(DataTable[Strålkälla],DataTable[[#This Row],[Strålkälla]],DataTable[Sens_3])</f>
        <v>1.0009312427383898</v>
      </c>
      <c r="AR6" s="22">
        <v>1859</v>
      </c>
      <c r="AS6" s="22">
        <v>2211</v>
      </c>
      <c r="AT6" s="23">
        <v>8.5999999999999993E-2</v>
      </c>
      <c r="AU6" s="23">
        <v>4.4999999999999998E-2</v>
      </c>
      <c r="AV6" s="23">
        <v>2.5000000000000001E-2</v>
      </c>
      <c r="AW6" s="22">
        <v>2066322</v>
      </c>
      <c r="AX6" s="24">
        <v>412</v>
      </c>
      <c r="AY6" s="22">
        <v>0</v>
      </c>
      <c r="AZ6" s="22">
        <v>0</v>
      </c>
      <c r="BA6" s="19">
        <v>20.609341978976907</v>
      </c>
      <c r="BB6" s="23">
        <f>DataTable[[#This Row],[Sens_4]]/AVERAGEIF(DataTable[Strålkälla],DataTable[[#This Row],[Strålkälla]],DataTable[Sens_4])</f>
        <v>1.000844044405347</v>
      </c>
      <c r="BC6" s="22">
        <v>2033</v>
      </c>
      <c r="BD6" s="22">
        <v>2431</v>
      </c>
      <c r="BE6" s="19">
        <v>8.8999999999999996E-2</v>
      </c>
      <c r="BF6" s="19">
        <v>3.1E-2</v>
      </c>
      <c r="BG6" s="19">
        <v>2.5000000000000001E-2</v>
      </c>
      <c r="BH6" s="19">
        <v>2304916</v>
      </c>
      <c r="BI6" s="19">
        <v>412</v>
      </c>
      <c r="BJ6" s="19">
        <v>0</v>
      </c>
      <c r="BK6" s="19">
        <v>0</v>
      </c>
      <c r="BL6" s="19">
        <v>22.989060793436614</v>
      </c>
      <c r="BM6" s="23">
        <f>DataTable[[#This Row],[Sens_5]]/AVERAGEIF(DataTable[Strålkälla],DataTable[[#This Row],[Strålkälla]],DataTable[Sens_5])</f>
        <v>0.99838671504356213</v>
      </c>
      <c r="BN6" s="19">
        <v>2020</v>
      </c>
      <c r="BO6" s="19">
        <v>2430</v>
      </c>
      <c r="BP6" s="19">
        <v>9.1999999999999998E-2</v>
      </c>
      <c r="BQ6" s="19">
        <v>3.4000000000000002E-2</v>
      </c>
      <c r="BR6" s="19">
        <v>2.4E-2</v>
      </c>
      <c r="BS6" s="19">
        <v>2294020</v>
      </c>
      <c r="BT6" s="19">
        <v>412</v>
      </c>
      <c r="BU6" s="19">
        <v>1</v>
      </c>
      <c r="BV6" s="19">
        <v>0</v>
      </c>
      <c r="BW6" s="19">
        <v>22.880384899649041</v>
      </c>
      <c r="BX6" s="23">
        <f>DataTable[[#This Row],[Sens_6]]/AVERAGEIF(DataTable[Strålkälla],DataTable[[#This Row],[Strålkälla]],DataTable[Sens_6])</f>
        <v>0.99690205940734</v>
      </c>
      <c r="BY6" s="19">
        <v>1805</v>
      </c>
      <c r="BZ6" s="19">
        <v>2268</v>
      </c>
      <c r="CA6" s="19">
        <v>0.114</v>
      </c>
      <c r="CB6" s="19">
        <v>4.5999999999999999E-2</v>
      </c>
      <c r="CC6" s="19">
        <v>2.7E-2</v>
      </c>
      <c r="CD6" s="19">
        <v>2105053</v>
      </c>
      <c r="CE6" s="19">
        <v>412</v>
      </c>
      <c r="CF6" s="19">
        <v>1</v>
      </c>
      <c r="CG6" s="19">
        <v>0</v>
      </c>
      <c r="CH6" s="19">
        <v>20.995642092989996</v>
      </c>
      <c r="CI6" s="23">
        <f>DataTable[[#This Row],[Sens_7]]/AVERAGEIF(DataTable[Strålkälla],DataTable[[#This Row],[Strålkälla]],DataTable[Sens_7])</f>
        <v>0.99894406615313103</v>
      </c>
      <c r="CJ6" s="19">
        <v>2126</v>
      </c>
      <c r="CK6" s="19">
        <v>2633</v>
      </c>
      <c r="CL6" s="19">
        <v>0.107</v>
      </c>
      <c r="CM6" s="19">
        <v>3.4000000000000002E-2</v>
      </c>
      <c r="CN6" s="19">
        <v>2.4E-2</v>
      </c>
      <c r="CO6" s="19">
        <v>2446902</v>
      </c>
      <c r="CP6" s="19">
        <v>412</v>
      </c>
      <c r="CQ6" s="19">
        <v>1</v>
      </c>
      <c r="CR6" s="19">
        <v>1</v>
      </c>
      <c r="CS6" s="19">
        <v>24.405218599541868</v>
      </c>
      <c r="CT6" s="23">
        <f>DataTable[[#This Row],[Sens_8]]/AVERAGEIF(DataTable[Strålkälla],DataTable[[#This Row],[Strålkälla]],DataTable[Sens_8])</f>
        <v>1.0003003925799914</v>
      </c>
      <c r="CU6" s="19">
        <v>1648</v>
      </c>
      <c r="CV6" s="19">
        <v>2148</v>
      </c>
      <c r="CW6" s="19">
        <v>0.13200000000000001</v>
      </c>
      <c r="CX6" s="19">
        <v>5.5E-2</v>
      </c>
      <c r="CY6" s="19">
        <v>2.7E-2</v>
      </c>
      <c r="CZ6" s="19">
        <v>1970858</v>
      </c>
      <c r="DA6" s="19">
        <v>402</v>
      </c>
      <c r="DB6" s="19">
        <v>1</v>
      </c>
      <c r="DC6" s="19">
        <v>1</v>
      </c>
      <c r="DD6" s="19">
        <v>20.146175995823658</v>
      </c>
      <c r="DE6" s="23">
        <f>DataTable[[#This Row],[Sens_9]]/AVERAGEIF(DataTable[Strålkälla],DataTable[[#This Row],[Strålkälla]],DataTable[Sens_9])</f>
        <v>0.99823322350055332</v>
      </c>
      <c r="DF6" s="19">
        <v>1695</v>
      </c>
      <c r="DG6" s="19">
        <v>2080</v>
      </c>
      <c r="DH6" s="19">
        <v>0.10199999999999999</v>
      </c>
      <c r="DI6" s="19">
        <v>3.7999999999999999E-2</v>
      </c>
      <c r="DJ6" s="19">
        <v>2.7E-2</v>
      </c>
      <c r="DK6" s="19">
        <v>1904466</v>
      </c>
      <c r="DL6" s="19">
        <v>402</v>
      </c>
      <c r="DM6" s="19">
        <v>0</v>
      </c>
      <c r="DN6" s="19">
        <v>2</v>
      </c>
      <c r="DO6" s="19">
        <v>19.467514764667115</v>
      </c>
      <c r="DP6" s="23">
        <f>DataTable[[#This Row],[Sens_10]]/AVERAGEIF(DataTable[Strålkälla],DataTable[[#This Row],[Strålkälla]],DataTable[Sens_10])</f>
        <v>0.99781213552031545</v>
      </c>
      <c r="DQ6" s="19">
        <v>1480</v>
      </c>
      <c r="DR6" s="19">
        <v>1785</v>
      </c>
      <c r="DS6" s="19">
        <v>9.2999999999999999E-2</v>
      </c>
      <c r="DT6" s="19">
        <v>4.8000000000000001E-2</v>
      </c>
      <c r="DU6" s="19">
        <v>2.8000000000000001E-2</v>
      </c>
      <c r="DV6" s="19">
        <v>1678045</v>
      </c>
      <c r="DW6" s="19">
        <v>402</v>
      </c>
      <c r="DX6" s="19">
        <v>0</v>
      </c>
      <c r="DY6" s="19">
        <v>0</v>
      </c>
      <c r="DZ6" s="19">
        <v>17.153031775456125</v>
      </c>
      <c r="EA6" s="23">
        <f>DataTable[[#This Row],[Sens_11]]/AVERAGEIF(DataTable[Strålkälla],DataTable[[#This Row],[Strålkälla]],DataTable[Sens_11])</f>
        <v>0.99901238308406981</v>
      </c>
      <c r="EB6" s="19">
        <v>1704</v>
      </c>
      <c r="EC6" s="19">
        <v>2107</v>
      </c>
      <c r="ED6" s="19">
        <v>0.106</v>
      </c>
      <c r="EE6" s="19">
        <v>5.1999999999999998E-2</v>
      </c>
      <c r="EF6" s="19">
        <v>2.7E-2</v>
      </c>
      <c r="EG6" s="19">
        <v>1995576</v>
      </c>
      <c r="EH6" s="19">
        <v>402</v>
      </c>
      <c r="EI6" s="19">
        <v>1</v>
      </c>
      <c r="EJ6" s="19">
        <v>0</v>
      </c>
      <c r="EK6" s="19">
        <v>20.398844213556629</v>
      </c>
      <c r="EL6" s="23">
        <f>DataTable[[#This Row],[Sens_12]]/AVERAGEIF(DataTable[Strålkälla],DataTable[[#This Row],[Strålkälla]],DataTable[Sens_12])</f>
        <v>0.99665161131011615</v>
      </c>
      <c r="EM6" s="19">
        <v>1462</v>
      </c>
      <c r="EN6" s="19">
        <v>1829</v>
      </c>
      <c r="EO6" s="19">
        <v>0.112</v>
      </c>
      <c r="EP6" s="19">
        <v>0.04</v>
      </c>
      <c r="EQ6" s="19">
        <v>2.8000000000000001E-2</v>
      </c>
      <c r="ER6" s="19">
        <v>1703974</v>
      </c>
      <c r="ES6" s="19">
        <v>431</v>
      </c>
      <c r="ET6" s="19">
        <v>1</v>
      </c>
      <c r="EU6" s="19">
        <v>0</v>
      </c>
      <c r="EV6" s="19">
        <v>16.246096770139399</v>
      </c>
      <c r="EW6" s="19">
        <f>DataTable[[#This Row],[Sens_13]]/AVERAGEIF(DataTable[Strålkälla],DataTable[[#This Row],[Strålkälla]],DataTable[Sens_13])</f>
        <v>1.0007843557178815</v>
      </c>
      <c r="EX6" s="19">
        <v>1248</v>
      </c>
      <c r="EY6" s="19">
        <v>1581</v>
      </c>
      <c r="EZ6" s="19">
        <v>0.11799999999999999</v>
      </c>
      <c r="FA6" s="19">
        <v>5.7000000000000002E-2</v>
      </c>
      <c r="FB6" s="19">
        <v>3.2000000000000001E-2</v>
      </c>
      <c r="FC6" s="19">
        <v>1449816</v>
      </c>
      <c r="FD6" s="19">
        <v>431</v>
      </c>
      <c r="FE6" s="19">
        <v>0</v>
      </c>
      <c r="FF6" s="19">
        <v>0</v>
      </c>
      <c r="FG6" s="19">
        <v>13.822893444909619</v>
      </c>
      <c r="FH6" s="19">
        <f>DataTable[[#This Row],[Sens_14]]/AVERAGEIF(DataTable[Strålkälla],DataTable[[#This Row],[Strålkälla]],DataTable[Sens_14])</f>
        <v>0.99782997557719555</v>
      </c>
      <c r="FI6" s="19">
        <v>1446</v>
      </c>
      <c r="FJ6" s="19">
        <v>1767</v>
      </c>
      <c r="FK6" s="19">
        <v>0.1</v>
      </c>
      <c r="FL6" s="19">
        <v>3.9E-2</v>
      </c>
      <c r="FM6" s="19">
        <v>2.7E-2</v>
      </c>
      <c r="FN6" s="19">
        <v>1626351</v>
      </c>
      <c r="FO6" s="19">
        <v>431</v>
      </c>
      <c r="FP6" s="19">
        <v>0</v>
      </c>
      <c r="FQ6" s="19">
        <v>1</v>
      </c>
      <c r="FR6" s="19">
        <v>15.506020472268345</v>
      </c>
      <c r="FS6" s="19">
        <f>DataTable[[#This Row],[Sens_15]]/AVERAGEIF(DataTable[Strålkälla],DataTable[[#This Row],[Strålkälla]],DataTable[Sens_15])</f>
        <v>1.0025474632626967</v>
      </c>
      <c r="FT6" s="19">
        <v>1294</v>
      </c>
      <c r="FU6" s="19">
        <v>1563</v>
      </c>
      <c r="FV6" s="19">
        <v>9.4E-2</v>
      </c>
      <c r="FW6" s="19">
        <v>3.6999999999999998E-2</v>
      </c>
      <c r="FX6" s="19">
        <v>2.9000000000000001E-2</v>
      </c>
      <c r="FY6" s="19">
        <v>1462469</v>
      </c>
      <c r="FZ6" s="19">
        <v>431</v>
      </c>
      <c r="GA6" s="19">
        <v>0</v>
      </c>
      <c r="GB6" s="19">
        <v>0</v>
      </c>
      <c r="GC6" s="19">
        <v>13.943530181404761</v>
      </c>
      <c r="GD6" s="19">
        <f>DataTable[[#This Row],[Sens_16]]/AVERAGEIF(DataTable[Strålkälla],DataTable[[#This Row],[Strålkälla]],DataTable[Sens_16])</f>
        <v>0.99850210378260218</v>
      </c>
      <c r="GE6" s="19">
        <v>1229</v>
      </c>
      <c r="GF6" s="19">
        <v>1495</v>
      </c>
      <c r="GG6" s="19">
        <v>9.8000000000000004E-2</v>
      </c>
      <c r="GH6" s="19">
        <v>0.04</v>
      </c>
      <c r="GI6" s="19">
        <v>0.03</v>
      </c>
      <c r="GJ6" s="19">
        <v>1409592</v>
      </c>
      <c r="GK6" s="19">
        <v>431</v>
      </c>
      <c r="GL6" s="19">
        <v>0</v>
      </c>
      <c r="GM6" s="19">
        <v>0</v>
      </c>
      <c r="GN6" s="19">
        <v>13.43938818222246</v>
      </c>
      <c r="GO6" s="19">
        <f>DataTable[[#This Row],[Sens_17]]/AVERAGEIF(DataTable[Strålkälla],DataTable[[#This Row],[Strålkälla]],DataTable[Sens_17])</f>
        <v>0.99967124042877831</v>
      </c>
      <c r="GP6" s="19">
        <v>1453</v>
      </c>
      <c r="GQ6" s="19">
        <v>1736</v>
      </c>
      <c r="GR6" s="19">
        <v>8.8999999999999996E-2</v>
      </c>
      <c r="GS6" s="19">
        <v>4.2999999999999997E-2</v>
      </c>
      <c r="GT6" s="19">
        <v>2.8000000000000001E-2</v>
      </c>
      <c r="GU6" s="19">
        <v>1631897</v>
      </c>
      <c r="GV6" s="19">
        <v>431</v>
      </c>
      <c r="GW6" s="19">
        <v>0</v>
      </c>
      <c r="GX6" s="19">
        <v>0</v>
      </c>
      <c r="GY6" s="19">
        <v>15.558897366333156</v>
      </c>
      <c r="GZ6" s="19">
        <f>DataTable[[#This Row],[Sens_18]]/AVERAGEIF(DataTable[Strålkälla],DataTable[[#This Row],[Strålkälla]],DataTable[Sens_18])</f>
        <v>1.0000672769531838</v>
      </c>
      <c r="HA6" s="19">
        <v>1308</v>
      </c>
      <c r="HB6" s="19">
        <v>1613</v>
      </c>
      <c r="HC6" s="19">
        <v>0.104</v>
      </c>
      <c r="HD6" s="19">
        <v>5.8999999999999997E-2</v>
      </c>
      <c r="HE6" s="19">
        <v>0.03</v>
      </c>
      <c r="HF6" s="19">
        <v>1484302</v>
      </c>
      <c r="HG6" s="19">
        <v>431</v>
      </c>
      <c r="HH6" s="19">
        <v>0</v>
      </c>
      <c r="HI6" s="19">
        <v>0</v>
      </c>
      <c r="HJ6" s="19">
        <v>14.151691239485725</v>
      </c>
      <c r="HK6" s="19">
        <f>DataTable[[#This Row],[Sens_19]]/AVERAGEIF(DataTable[Strålkälla],DataTable[[#This Row],[Strålkälla]],DataTable[Sens_19])</f>
        <v>0.99868187662155572</v>
      </c>
      <c r="HL6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0.13200000000000001</v>
      </c>
      <c r="HM6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0.10184210526315791</v>
      </c>
      <c r="HN6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5.8999999999999997E-2</v>
      </c>
      <c r="HO6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4.3210526315789484E-2</v>
      </c>
      <c r="HP6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0.99665161131011615</v>
      </c>
      <c r="HQ6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0.99928054065241445</v>
      </c>
      <c r="HR6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1.0025474632626967</v>
      </c>
      <c r="HS6" s="49"/>
    </row>
    <row r="7" spans="2:227" x14ac:dyDescent="0.25">
      <c r="B7" s="19" t="s">
        <v>43</v>
      </c>
      <c r="C7" s="20">
        <v>42382</v>
      </c>
      <c r="D7" s="21">
        <v>0.32335648148148149</v>
      </c>
      <c r="E7" s="13" t="s">
        <v>217</v>
      </c>
      <c r="F7" s="13">
        <v>109.8</v>
      </c>
      <c r="G7" s="13">
        <v>134.19999999999999</v>
      </c>
      <c r="H7" s="24">
        <v>20.829599999999999</v>
      </c>
      <c r="I7" s="22">
        <f>MATCH(DataTable[[#This Row],[Datum]],Övrigt!$D$10:$M$10,1)</f>
        <v>1</v>
      </c>
      <c r="J7" s="13"/>
      <c r="K7" s="22">
        <v>1788</v>
      </c>
      <c r="L7" s="22">
        <v>2210</v>
      </c>
      <c r="M7" s="23">
        <v>0.106</v>
      </c>
      <c r="N7" s="23">
        <v>5.8000000000000003E-2</v>
      </c>
      <c r="O7" s="23">
        <v>2.7E-2</v>
      </c>
      <c r="P7" s="22">
        <v>2074351</v>
      </c>
      <c r="Q7" s="24">
        <v>414</v>
      </c>
      <c r="R7" s="22">
        <v>1</v>
      </c>
      <c r="S7" s="22">
        <v>0</v>
      </c>
      <c r="T7" s="19">
        <v>20.694780277487137</v>
      </c>
      <c r="U7" s="23">
        <f>DataTable[[#This Row],[Sens_1]]/AVERAGEIF(DataTable[Strålkälla],DataTable[[#This Row],[Strålkälla]],DataTable[Sens_1])</f>
        <v>0.99955533177621725</v>
      </c>
      <c r="V7" s="22">
        <v>2163</v>
      </c>
      <c r="W7" s="22">
        <v>2579</v>
      </c>
      <c r="X7" s="23">
        <v>8.7999999999999995E-2</v>
      </c>
      <c r="Y7" s="23">
        <v>3.4000000000000002E-2</v>
      </c>
      <c r="Z7" s="23">
        <v>2.3E-2</v>
      </c>
      <c r="AA7" s="22">
        <v>2450190</v>
      </c>
      <c r="AB7" s="24">
        <v>414</v>
      </c>
      <c r="AC7" s="22">
        <v>1</v>
      </c>
      <c r="AD7" s="22">
        <v>0</v>
      </c>
      <c r="AE7" s="19">
        <v>24.444341236413802</v>
      </c>
      <c r="AF7" s="23">
        <f>DataTable[[#This Row],[Sens_2]]/AVERAGEIF(DataTable[Strålkälla],DataTable[[#This Row],[Strålkälla]],DataTable[Sens_2])</f>
        <v>1.0003839235301693</v>
      </c>
      <c r="AG7" s="22">
        <v>1922</v>
      </c>
      <c r="AH7" s="22">
        <v>2270</v>
      </c>
      <c r="AI7" s="23">
        <v>8.3000000000000004E-2</v>
      </c>
      <c r="AJ7" s="23">
        <v>3.2000000000000001E-2</v>
      </c>
      <c r="AK7" s="23">
        <v>2.4E-2</v>
      </c>
      <c r="AL7" s="22">
        <v>2169764</v>
      </c>
      <c r="AM7" s="24">
        <v>414</v>
      </c>
      <c r="AN7" s="22">
        <v>0</v>
      </c>
      <c r="AO7" s="22">
        <v>0</v>
      </c>
      <c r="AP7" s="19">
        <v>21.646668878122171</v>
      </c>
      <c r="AQ7" s="23">
        <f>DataTable[[#This Row],[Sens_3]]/AVERAGEIF(DataTable[Strålkälla],DataTable[[#This Row],[Strålkälla]],DataTable[Sens_3])</f>
        <v>1.000490942238256</v>
      </c>
      <c r="AR7" s="22">
        <v>1847</v>
      </c>
      <c r="AS7" s="22">
        <v>2203</v>
      </c>
      <c r="AT7" s="23">
        <v>8.7999999999999995E-2</v>
      </c>
      <c r="AU7" s="23">
        <v>3.5000000000000003E-2</v>
      </c>
      <c r="AV7" s="23">
        <v>2.5000000000000001E-2</v>
      </c>
      <c r="AW7" s="22">
        <v>2064587</v>
      </c>
      <c r="AX7" s="24">
        <v>414</v>
      </c>
      <c r="AY7" s="22">
        <v>0</v>
      </c>
      <c r="AZ7" s="22">
        <v>0</v>
      </c>
      <c r="BA7" s="19">
        <v>20.597369648992064</v>
      </c>
      <c r="BB7" s="23">
        <f>DataTable[[#This Row],[Sens_4]]/AVERAGEIF(DataTable[Strålkälla],DataTable[[#This Row],[Strålkälla]],DataTable[Sens_4])</f>
        <v>1.0002626364605804</v>
      </c>
      <c r="BC7" s="22">
        <v>2048</v>
      </c>
      <c r="BD7" s="22">
        <v>2422</v>
      </c>
      <c r="BE7" s="19">
        <v>8.4000000000000005E-2</v>
      </c>
      <c r="BF7" s="19">
        <v>3.6999999999999998E-2</v>
      </c>
      <c r="BG7" s="19">
        <v>2.4E-2</v>
      </c>
      <c r="BH7" s="19">
        <v>2304586</v>
      </c>
      <c r="BI7" s="19">
        <v>414</v>
      </c>
      <c r="BJ7" s="19">
        <v>0</v>
      </c>
      <c r="BK7" s="19">
        <v>0</v>
      </c>
      <c r="BL7" s="19">
        <v>22.991721700219959</v>
      </c>
      <c r="BM7" s="23">
        <f>DataTable[[#This Row],[Sens_5]]/AVERAGEIF(DataTable[Strålkälla],DataTable[[#This Row],[Strålkälla]],DataTable[Sens_5])</f>
        <v>0.99850227496166111</v>
      </c>
      <c r="BN7" s="19">
        <v>2017</v>
      </c>
      <c r="BO7" s="19">
        <v>2445</v>
      </c>
      <c r="BP7" s="19">
        <v>9.6000000000000002E-2</v>
      </c>
      <c r="BQ7" s="19">
        <v>3.5000000000000003E-2</v>
      </c>
      <c r="BR7" s="19">
        <v>2.4E-2</v>
      </c>
      <c r="BS7" s="19">
        <v>2300591</v>
      </c>
      <c r="BT7" s="19">
        <v>414</v>
      </c>
      <c r="BU7" s="19">
        <v>1</v>
      </c>
      <c r="BV7" s="19">
        <v>0</v>
      </c>
      <c r="BW7" s="19">
        <v>22.951865548966598</v>
      </c>
      <c r="BX7" s="23">
        <f>DataTable[[#This Row],[Sens_6]]/AVERAGEIF(DataTable[Strålkälla],DataTable[[#This Row],[Strålkälla]],DataTable[Sens_6])</f>
        <v>1.0000164828239471</v>
      </c>
      <c r="BY7" s="19">
        <v>1852</v>
      </c>
      <c r="BZ7" s="19">
        <v>2285</v>
      </c>
      <c r="CA7" s="19">
        <v>0.105</v>
      </c>
      <c r="CB7" s="19">
        <v>4.3999999999999997E-2</v>
      </c>
      <c r="CC7" s="19">
        <v>2.5999999999999999E-2</v>
      </c>
      <c r="CD7" s="19">
        <v>2105517</v>
      </c>
      <c r="CE7" s="19">
        <v>414</v>
      </c>
      <c r="CF7" s="19">
        <v>0</v>
      </c>
      <c r="CG7" s="19">
        <v>1</v>
      </c>
      <c r="CH7" s="19">
        <v>21.005708139805598</v>
      </c>
      <c r="CI7" s="23">
        <f>DataTable[[#This Row],[Sens_7]]/AVERAGEIF(DataTable[Strålkälla],DataTable[[#This Row],[Strålkälla]],DataTable[Sens_7])</f>
        <v>0.99942299495614306</v>
      </c>
      <c r="CJ7" s="19">
        <v>2178</v>
      </c>
      <c r="CK7" s="19">
        <v>2626</v>
      </c>
      <c r="CL7" s="19">
        <v>9.2999999999999999E-2</v>
      </c>
      <c r="CM7" s="19">
        <v>3.5999999999999997E-2</v>
      </c>
      <c r="CN7" s="19">
        <v>2.3E-2</v>
      </c>
      <c r="CO7" s="19">
        <v>2447393</v>
      </c>
      <c r="CP7" s="19">
        <v>414</v>
      </c>
      <c r="CQ7" s="19">
        <v>0</v>
      </c>
      <c r="CR7" s="19">
        <v>1</v>
      </c>
      <c r="CS7" s="19">
        <v>24.416436942282225</v>
      </c>
      <c r="CT7" s="23">
        <f>DataTable[[#This Row],[Sens_8]]/AVERAGEIF(DataTable[Strålkälla],DataTable[[#This Row],[Strålkälla]],DataTable[Sens_8])</f>
        <v>1.0007602004936762</v>
      </c>
      <c r="CU7" s="19">
        <v>1740</v>
      </c>
      <c r="CV7" s="19">
        <v>2106</v>
      </c>
      <c r="CW7" s="19">
        <v>9.5000000000000001E-2</v>
      </c>
      <c r="CX7" s="19">
        <v>4.7E-2</v>
      </c>
      <c r="CY7" s="19">
        <v>2.7E-2</v>
      </c>
      <c r="CZ7" s="19">
        <v>1970370</v>
      </c>
      <c r="DA7" s="19">
        <v>403</v>
      </c>
      <c r="DB7" s="19">
        <v>0</v>
      </c>
      <c r="DC7" s="19">
        <v>0</v>
      </c>
      <c r="DD7" s="19">
        <v>20.193967648434825</v>
      </c>
      <c r="DE7" s="23">
        <f>DataTable[[#This Row],[Sens_9]]/AVERAGEIF(DataTable[Strålkälla],DataTable[[#This Row],[Strålkälla]],DataTable[Sens_9])</f>
        <v>1.000601276646339</v>
      </c>
      <c r="DF7" s="19">
        <v>1704</v>
      </c>
      <c r="DG7" s="19">
        <v>2023</v>
      </c>
      <c r="DH7" s="19">
        <v>8.5999999999999993E-2</v>
      </c>
      <c r="DI7" s="19">
        <v>3.5000000000000003E-2</v>
      </c>
      <c r="DJ7" s="19">
        <v>2.5999999999999999E-2</v>
      </c>
      <c r="DK7" s="19">
        <v>1903841</v>
      </c>
      <c r="DL7" s="19">
        <v>403</v>
      </c>
      <c r="DM7" s="19">
        <v>0</v>
      </c>
      <c r="DN7" s="19">
        <v>0</v>
      </c>
      <c r="DO7" s="19">
        <v>19.512123896407175</v>
      </c>
      <c r="DP7" s="23">
        <f>DataTable[[#This Row],[Sens_10]]/AVERAGEIF(DataTable[Strålkälla],DataTable[[#This Row],[Strålkälla]],DataTable[Sens_10])</f>
        <v>1.0000985872602184</v>
      </c>
      <c r="DQ7" s="19">
        <v>1509</v>
      </c>
      <c r="DR7" s="19">
        <v>1787</v>
      </c>
      <c r="DS7" s="19">
        <v>8.4000000000000005E-2</v>
      </c>
      <c r="DT7" s="19">
        <v>3.9E-2</v>
      </c>
      <c r="DU7" s="19">
        <v>2.7E-2</v>
      </c>
      <c r="DV7" s="19">
        <v>1678578</v>
      </c>
      <c r="DW7" s="19">
        <v>403</v>
      </c>
      <c r="DX7" s="19">
        <v>0</v>
      </c>
      <c r="DY7" s="19">
        <v>0</v>
      </c>
      <c r="DZ7" s="19">
        <v>17.203443935593025</v>
      </c>
      <c r="EA7" s="23">
        <f>DataTable[[#This Row],[Sens_11]]/AVERAGEIF(DataTable[Strålkälla],DataTable[[#This Row],[Strålkälla]],DataTable[Sens_11])</f>
        <v>1.0019484455186327</v>
      </c>
      <c r="EB7" s="19">
        <v>1786</v>
      </c>
      <c r="EC7" s="19">
        <v>2176</v>
      </c>
      <c r="ED7" s="19">
        <v>9.8000000000000004E-2</v>
      </c>
      <c r="EE7" s="19">
        <v>4.2999999999999997E-2</v>
      </c>
      <c r="EF7" s="19">
        <v>2.5000000000000001E-2</v>
      </c>
      <c r="EG7" s="19">
        <v>1998003</v>
      </c>
      <c r="EH7" s="19">
        <v>403</v>
      </c>
      <c r="EI7" s="19">
        <v>0</v>
      </c>
      <c r="EJ7" s="19">
        <v>1</v>
      </c>
      <c r="EK7" s="19">
        <v>20.477173294089802</v>
      </c>
      <c r="EL7" s="23">
        <f>DataTable[[#This Row],[Sens_12]]/AVERAGEIF(DataTable[Strålkälla],DataTable[[#This Row],[Strålkälla]],DataTable[Sens_12])</f>
        <v>1.0004786322681931</v>
      </c>
      <c r="EM7" s="19">
        <v>1484</v>
      </c>
      <c r="EN7" s="19">
        <v>1839</v>
      </c>
      <c r="EO7" s="19">
        <v>0.107</v>
      </c>
      <c r="EP7" s="19">
        <v>4.3999999999999997E-2</v>
      </c>
      <c r="EQ7" s="19">
        <v>2.8000000000000001E-2</v>
      </c>
      <c r="ER7" s="19">
        <v>1700103</v>
      </c>
      <c r="ES7" s="19">
        <v>433</v>
      </c>
      <c r="ET7" s="19">
        <v>0</v>
      </c>
      <c r="EU7" s="19">
        <v>0</v>
      </c>
      <c r="EV7" s="19">
        <v>16.216840795866297</v>
      </c>
      <c r="EW7" s="19">
        <f>DataTable[[#This Row],[Sens_13]]/AVERAGEIF(DataTable[Strålkälla],DataTable[[#This Row],[Strålkälla]],DataTable[Sens_13])</f>
        <v>0.99898214305239863</v>
      </c>
      <c r="EX7" s="19">
        <v>1260</v>
      </c>
      <c r="EY7" s="19">
        <v>1549</v>
      </c>
      <c r="EZ7" s="19">
        <v>0.10299999999999999</v>
      </c>
      <c r="FA7" s="19">
        <v>4.4999999999999998E-2</v>
      </c>
      <c r="FB7" s="19">
        <v>2.9000000000000001E-2</v>
      </c>
      <c r="FC7" s="19">
        <v>1452311</v>
      </c>
      <c r="FD7" s="19">
        <v>433</v>
      </c>
      <c r="FE7" s="19">
        <v>0</v>
      </c>
      <c r="FF7" s="19">
        <v>0</v>
      </c>
      <c r="FG7" s="19">
        <v>13.853217289237993</v>
      </c>
      <c r="FH7" s="19">
        <f>DataTable[[#This Row],[Sens_14]]/AVERAGEIF(DataTable[Strålkälla],DataTable[[#This Row],[Strålkälla]],DataTable[Sens_14])</f>
        <v>1.0000189558342003</v>
      </c>
      <c r="FI7" s="19">
        <v>1451</v>
      </c>
      <c r="FJ7" s="19">
        <v>1744</v>
      </c>
      <c r="FK7" s="19">
        <v>9.1999999999999998E-2</v>
      </c>
      <c r="FL7" s="19">
        <v>3.5000000000000003E-2</v>
      </c>
      <c r="FM7" s="19">
        <v>2.7E-2</v>
      </c>
      <c r="FN7" s="19">
        <v>1625708</v>
      </c>
      <c r="FO7" s="19">
        <v>433</v>
      </c>
      <c r="FP7" s="19">
        <v>0</v>
      </c>
      <c r="FQ7" s="19">
        <v>0</v>
      </c>
      <c r="FR7" s="19">
        <v>15.507206220191486</v>
      </c>
      <c r="FS7" s="19">
        <f>DataTable[[#This Row],[Sens_15]]/AVERAGEIF(DataTable[Strålkälla],DataTable[[#This Row],[Strålkälla]],DataTable[Sens_15])</f>
        <v>1.0026241282312836</v>
      </c>
      <c r="FT7" s="19">
        <v>1293</v>
      </c>
      <c r="FU7" s="19">
        <v>1574</v>
      </c>
      <c r="FV7" s="19">
        <v>9.8000000000000004E-2</v>
      </c>
      <c r="FW7" s="19">
        <v>0.04</v>
      </c>
      <c r="FX7" s="19">
        <v>2.9000000000000001E-2</v>
      </c>
      <c r="FY7" s="19">
        <v>1462990</v>
      </c>
      <c r="FZ7" s="19">
        <v>433</v>
      </c>
      <c r="GA7" s="19">
        <v>0</v>
      </c>
      <c r="GB7" s="19">
        <v>0</v>
      </c>
      <c r="GC7" s="19">
        <v>13.955081495617875</v>
      </c>
      <c r="GD7" s="19">
        <f>DataTable[[#This Row],[Sens_16]]/AVERAGEIF(DataTable[Strålkälla],DataTable[[#This Row],[Strålkälla]],DataTable[Sens_16])</f>
        <v>0.99932929828737904</v>
      </c>
      <c r="GE7" s="19">
        <v>1223</v>
      </c>
      <c r="GF7" s="19">
        <v>1524</v>
      </c>
      <c r="GG7" s="19">
        <v>0.11</v>
      </c>
      <c r="GH7" s="19">
        <v>3.9E-2</v>
      </c>
      <c r="GI7" s="19">
        <v>2.9000000000000001E-2</v>
      </c>
      <c r="GJ7" s="19">
        <v>1409931</v>
      </c>
      <c r="GK7" s="19">
        <v>433</v>
      </c>
      <c r="GL7" s="19">
        <v>0</v>
      </c>
      <c r="GM7" s="19">
        <v>0</v>
      </c>
      <c r="GN7" s="19">
        <v>13.448965480418872</v>
      </c>
      <c r="GO7" s="19">
        <f>DataTable[[#This Row],[Sens_17]]/AVERAGEIF(DataTable[Strålkälla],DataTable[[#This Row],[Strålkälla]],DataTable[Sens_17])</f>
        <v>1.0003836351775681</v>
      </c>
      <c r="GP7" s="19">
        <v>1440</v>
      </c>
      <c r="GQ7" s="19">
        <v>1765</v>
      </c>
      <c r="GR7" s="19">
        <v>0.10100000000000001</v>
      </c>
      <c r="GS7" s="19">
        <v>3.5999999999999997E-2</v>
      </c>
      <c r="GT7" s="19">
        <v>2.7E-2</v>
      </c>
      <c r="GU7" s="19">
        <v>1633076</v>
      </c>
      <c r="GV7" s="19">
        <v>433</v>
      </c>
      <c r="GW7" s="19">
        <v>0</v>
      </c>
      <c r="GX7" s="19">
        <v>0</v>
      </c>
      <c r="GY7" s="19">
        <v>15.577487657836114</v>
      </c>
      <c r="GZ7" s="19">
        <f>DataTable[[#This Row],[Sens_18]]/AVERAGEIF(DataTable[Strålkälla],DataTable[[#This Row],[Strålkälla]],DataTable[Sens_18])</f>
        <v>1.0012621908190826</v>
      </c>
      <c r="HA7" s="19">
        <v>1318</v>
      </c>
      <c r="HB7" s="19">
        <v>1618</v>
      </c>
      <c r="HC7" s="19">
        <v>0.10199999999999999</v>
      </c>
      <c r="HD7" s="19">
        <v>6.0999999999999999E-2</v>
      </c>
      <c r="HE7" s="19">
        <v>0.03</v>
      </c>
      <c r="HF7" s="19">
        <v>1485029</v>
      </c>
      <c r="HG7" s="19">
        <v>433</v>
      </c>
      <c r="HH7" s="19">
        <v>0</v>
      </c>
      <c r="HI7" s="19">
        <v>0</v>
      </c>
      <c r="HJ7" s="19">
        <v>14.165305790440069</v>
      </c>
      <c r="HK7" s="19">
        <f>DataTable[[#This Row],[Sens_19]]/AVERAGEIF(DataTable[Strålkälla],DataTable[[#This Row],[Strålkälla]],DataTable[Sens_19])</f>
        <v>0.99964265262114138</v>
      </c>
      <c r="HL7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</v>
      </c>
      <c r="HM7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9.5736842105263176E-2</v>
      </c>
      <c r="HN7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6.0999999999999999E-2</v>
      </c>
      <c r="HO7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4.0789473684210535E-2</v>
      </c>
      <c r="HP7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0.99850227496166111</v>
      </c>
      <c r="HQ7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1.0002507754187939</v>
      </c>
      <c r="HR7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1.0026241282312836</v>
      </c>
      <c r="HS7" s="49"/>
    </row>
    <row r="8" spans="2:227" x14ac:dyDescent="0.25">
      <c r="B8" s="19" t="s">
        <v>43</v>
      </c>
      <c r="C8" s="20">
        <v>42383</v>
      </c>
      <c r="D8" s="21">
        <v>0.32471064814814815</v>
      </c>
      <c r="E8" s="13" t="s">
        <v>217</v>
      </c>
      <c r="F8" s="13">
        <v>109.8</v>
      </c>
      <c r="G8" s="13">
        <v>134.19999999999999</v>
      </c>
      <c r="H8" s="24">
        <v>20.905899999999999</v>
      </c>
      <c r="I8" s="22">
        <f>MATCH(DataTable[[#This Row],[Datum]],Övrigt!$D$10:$M$10,1)</f>
        <v>1</v>
      </c>
      <c r="J8" s="13"/>
      <c r="K8" s="22">
        <v>1825</v>
      </c>
      <c r="L8" s="22">
        <v>2243</v>
      </c>
      <c r="M8" s="23">
        <v>0.10299999999999999</v>
      </c>
      <c r="N8" s="23">
        <v>3.9E-2</v>
      </c>
      <c r="O8" s="23">
        <v>2.5999999999999999E-2</v>
      </c>
      <c r="P8" s="22">
        <v>2077826</v>
      </c>
      <c r="Q8" s="24">
        <v>415</v>
      </c>
      <c r="R8" s="22">
        <v>0</v>
      </c>
      <c r="S8" s="22">
        <v>1</v>
      </c>
      <c r="T8" s="19">
        <v>20.732314213063159</v>
      </c>
      <c r="U8" s="23">
        <f>DataTable[[#This Row],[Sens_1]]/AVERAGEIF(DataTable[Strålkälla],DataTable[[#This Row],[Strålkälla]],DataTable[Sens_1])</f>
        <v>1.0013682162294226</v>
      </c>
      <c r="V8" s="22">
        <v>2207</v>
      </c>
      <c r="W8" s="22">
        <v>2582</v>
      </c>
      <c r="X8" s="23">
        <v>7.8E-2</v>
      </c>
      <c r="Y8" s="23">
        <v>4.5999999999999999E-2</v>
      </c>
      <c r="Z8" s="23">
        <v>2.4E-2</v>
      </c>
      <c r="AA8" s="22">
        <v>2450885</v>
      </c>
      <c r="AB8" s="24">
        <v>415</v>
      </c>
      <c r="AC8" s="22">
        <v>0</v>
      </c>
      <c r="AD8" s="22">
        <v>0</v>
      </c>
      <c r="AE8" s="19">
        <v>24.454654971149317</v>
      </c>
      <c r="AF8" s="23">
        <f>DataTable[[#This Row],[Sens_2]]/AVERAGEIF(DataTable[Strålkälla],DataTable[[#This Row],[Strålkälla]],DataTable[Sens_2])</f>
        <v>1.0008060128113316</v>
      </c>
      <c r="AG8" s="22">
        <v>1973</v>
      </c>
      <c r="AH8" s="22">
        <v>2304</v>
      </c>
      <c r="AI8" s="23">
        <v>7.6999999999999999E-2</v>
      </c>
      <c r="AJ8" s="23">
        <v>3.9E-2</v>
      </c>
      <c r="AK8" s="23">
        <v>2.4E-2</v>
      </c>
      <c r="AL8" s="22">
        <v>2173144</v>
      </c>
      <c r="AM8" s="24">
        <v>415</v>
      </c>
      <c r="AN8" s="22">
        <v>0</v>
      </c>
      <c r="AO8" s="22">
        <v>0</v>
      </c>
      <c r="AP8" s="19">
        <v>21.683386500232899</v>
      </c>
      <c r="AQ8" s="23">
        <f>DataTable[[#This Row],[Sens_3]]/AVERAGEIF(DataTable[Strålkälla],DataTable[[#This Row],[Strålkälla]],DataTable[Sens_3])</f>
        <v>1.0021880000418906</v>
      </c>
      <c r="AR8" s="22">
        <v>1825</v>
      </c>
      <c r="AS8" s="22">
        <v>2183</v>
      </c>
      <c r="AT8" s="23">
        <v>8.8999999999999996E-2</v>
      </c>
      <c r="AU8" s="23">
        <v>0.04</v>
      </c>
      <c r="AV8" s="23">
        <v>2.5000000000000001E-2</v>
      </c>
      <c r="AW8" s="22">
        <v>2064368</v>
      </c>
      <c r="AX8" s="24">
        <v>415</v>
      </c>
      <c r="AY8" s="22">
        <v>0</v>
      </c>
      <c r="AZ8" s="22">
        <v>0</v>
      </c>
      <c r="BA8" s="19">
        <v>20.598031802178223</v>
      </c>
      <c r="BB8" s="23">
        <f>DataTable[[#This Row],[Sens_4]]/AVERAGEIF(DataTable[Strålkälla],DataTable[[#This Row],[Strålkälla]],DataTable[Sens_4])</f>
        <v>1.0002947923670391</v>
      </c>
      <c r="BC8" s="22">
        <v>2053</v>
      </c>
      <c r="BD8" s="22">
        <v>2517</v>
      </c>
      <c r="BE8" s="19">
        <v>0.10199999999999999</v>
      </c>
      <c r="BF8" s="19">
        <v>4.1000000000000002E-2</v>
      </c>
      <c r="BG8" s="19">
        <v>2.4E-2</v>
      </c>
      <c r="BH8" s="19">
        <v>2304834</v>
      </c>
      <c r="BI8" s="19">
        <v>415</v>
      </c>
      <c r="BJ8" s="19">
        <v>0</v>
      </c>
      <c r="BK8" s="19">
        <v>1</v>
      </c>
      <c r="BL8" s="19">
        <v>22.997374514011863</v>
      </c>
      <c r="BM8" s="23">
        <f>DataTable[[#This Row],[Sens_5]]/AVERAGEIF(DataTable[Strålkälla],DataTable[[#This Row],[Strålkälla]],DataTable[Sens_5])</f>
        <v>0.99874776973168067</v>
      </c>
      <c r="BN8" s="19">
        <v>2047</v>
      </c>
      <c r="BO8" s="19">
        <v>2411</v>
      </c>
      <c r="BP8" s="19">
        <v>8.2000000000000003E-2</v>
      </c>
      <c r="BQ8" s="19">
        <v>4.1000000000000002E-2</v>
      </c>
      <c r="BR8" s="19">
        <v>2.4E-2</v>
      </c>
      <c r="BS8" s="19">
        <v>2296260</v>
      </c>
      <c r="BT8" s="19">
        <v>415</v>
      </c>
      <c r="BU8" s="19">
        <v>0</v>
      </c>
      <c r="BV8" s="19">
        <v>0</v>
      </c>
      <c r="BW8" s="19">
        <v>22.911824106007149</v>
      </c>
      <c r="BX8" s="23">
        <f>DataTable[[#This Row],[Sens_6]]/AVERAGEIF(DataTable[Strålkälla],DataTable[[#This Row],[Strålkälla]],DataTable[Sens_6])</f>
        <v>0.99827187069775281</v>
      </c>
      <c r="BY8" s="19">
        <v>1843</v>
      </c>
      <c r="BZ8" s="19">
        <v>2261</v>
      </c>
      <c r="CA8" s="19">
        <v>0.10199999999999999</v>
      </c>
      <c r="CB8" s="19">
        <v>3.9E-2</v>
      </c>
      <c r="CC8" s="19">
        <v>2.5999999999999999E-2</v>
      </c>
      <c r="CD8" s="19">
        <v>2103737</v>
      </c>
      <c r="CE8" s="19">
        <v>415</v>
      </c>
      <c r="CF8" s="19">
        <v>0</v>
      </c>
      <c r="CG8" s="19">
        <v>0</v>
      </c>
      <c r="CH8" s="19">
        <v>20.990851257827579</v>
      </c>
      <c r="CI8" s="23">
        <f>DataTable[[#This Row],[Sens_7]]/AVERAGEIF(DataTable[Strålkälla],DataTable[[#This Row],[Strålkälla]],DataTable[Sens_7])</f>
        <v>0.99871612473861182</v>
      </c>
      <c r="CJ8" s="19">
        <v>2186</v>
      </c>
      <c r="CK8" s="19">
        <v>2720</v>
      </c>
      <c r="CL8" s="19">
        <v>0.109</v>
      </c>
      <c r="CM8" s="19">
        <v>4.1000000000000002E-2</v>
      </c>
      <c r="CN8" s="19">
        <v>2.4E-2</v>
      </c>
      <c r="CO8" s="19">
        <v>2446045</v>
      </c>
      <c r="CP8" s="19">
        <v>415</v>
      </c>
      <c r="CQ8" s="19">
        <v>0</v>
      </c>
      <c r="CR8" s="19">
        <v>1</v>
      </c>
      <c r="CS8" s="19">
        <v>24.406361995322069</v>
      </c>
      <c r="CT8" s="23">
        <f>DataTable[[#This Row],[Sens_8]]/AVERAGEIF(DataTable[Strålkälla],DataTable[[#This Row],[Strålkälla]],DataTable[Sens_8])</f>
        <v>1.0003472571160801</v>
      </c>
      <c r="CU8" s="19">
        <v>1743</v>
      </c>
      <c r="CV8" s="19">
        <v>2119</v>
      </c>
      <c r="CW8" s="19">
        <v>9.7000000000000003E-2</v>
      </c>
      <c r="CX8" s="19">
        <v>4.4999999999999998E-2</v>
      </c>
      <c r="CY8" s="19">
        <v>2.5999999999999999E-2</v>
      </c>
      <c r="CZ8" s="19">
        <v>1970263</v>
      </c>
      <c r="DA8" s="19">
        <v>404</v>
      </c>
      <c r="DB8" s="19">
        <v>0</v>
      </c>
      <c r="DC8" s="19">
        <v>0</v>
      </c>
      <c r="DD8" s="19">
        <v>20.19433420158569</v>
      </c>
      <c r="DE8" s="23">
        <f>DataTable[[#This Row],[Sens_9]]/AVERAGEIF(DataTable[Strålkälla],DataTable[[#This Row],[Strålkälla]],DataTable[Sens_9])</f>
        <v>1.0006194391767096</v>
      </c>
      <c r="DF8" s="19">
        <v>1668</v>
      </c>
      <c r="DG8" s="19">
        <v>2028</v>
      </c>
      <c r="DH8" s="19">
        <v>9.7000000000000003E-2</v>
      </c>
      <c r="DI8" s="19">
        <v>3.9E-2</v>
      </c>
      <c r="DJ8" s="19">
        <v>2.5999999999999999E-2</v>
      </c>
      <c r="DK8" s="19">
        <v>1904716</v>
      </c>
      <c r="DL8" s="19">
        <v>404</v>
      </c>
      <c r="DM8" s="19">
        <v>1</v>
      </c>
      <c r="DN8" s="19">
        <v>0</v>
      </c>
      <c r="DO8" s="19">
        <v>19.522506113705372</v>
      </c>
      <c r="DP8" s="23">
        <f>DataTable[[#This Row],[Sens_10]]/AVERAGEIF(DataTable[Strålkälla],DataTable[[#This Row],[Strålkälla]],DataTable[Sens_10])</f>
        <v>1.0006307302963984</v>
      </c>
      <c r="DQ8" s="19">
        <v>1477</v>
      </c>
      <c r="DR8" s="19">
        <v>1783</v>
      </c>
      <c r="DS8" s="19">
        <v>9.4E-2</v>
      </c>
      <c r="DT8" s="19">
        <v>3.7999999999999999E-2</v>
      </c>
      <c r="DU8" s="19">
        <v>2.7E-2</v>
      </c>
      <c r="DV8" s="19">
        <v>1677931</v>
      </c>
      <c r="DW8" s="19">
        <v>404</v>
      </c>
      <c r="DX8" s="19">
        <v>0</v>
      </c>
      <c r="DY8" s="19">
        <v>0</v>
      </c>
      <c r="DZ8" s="19">
        <v>17.198059031307434</v>
      </c>
      <c r="EA8" s="23">
        <f>DataTable[[#This Row],[Sens_11]]/AVERAGEIF(DataTable[Strålkälla],DataTable[[#This Row],[Strålkälla]],DataTable[Sens_11])</f>
        <v>1.0016348224732463</v>
      </c>
      <c r="EB8" s="19">
        <v>1752</v>
      </c>
      <c r="EC8" s="19">
        <v>2117</v>
      </c>
      <c r="ED8" s="19">
        <v>9.4E-2</v>
      </c>
      <c r="EE8" s="19">
        <v>3.6999999999999998E-2</v>
      </c>
      <c r="EF8" s="19">
        <v>2.7E-2</v>
      </c>
      <c r="EG8" s="19">
        <v>1997834</v>
      </c>
      <c r="EH8" s="19">
        <v>404</v>
      </c>
      <c r="EI8" s="19">
        <v>0</v>
      </c>
      <c r="EJ8" s="19">
        <v>0</v>
      </c>
      <c r="EK8" s="19">
        <v>20.476924895453422</v>
      </c>
      <c r="EL8" s="23">
        <f>DataTable[[#This Row],[Sens_12]]/AVERAGEIF(DataTable[Strålkälla],DataTable[[#This Row],[Strålkälla]],DataTable[Sens_12])</f>
        <v>1.0004664959481837</v>
      </c>
      <c r="EM8" s="19">
        <v>1514</v>
      </c>
      <c r="EN8" s="19">
        <v>1890</v>
      </c>
      <c r="EO8" s="19">
        <v>0.11</v>
      </c>
      <c r="EP8" s="19">
        <v>3.7999999999999999E-2</v>
      </c>
      <c r="EQ8" s="19">
        <v>2.8000000000000001E-2</v>
      </c>
      <c r="ER8" s="19">
        <v>1701961</v>
      </c>
      <c r="ES8" s="19">
        <v>435</v>
      </c>
      <c r="ET8" s="19">
        <v>0</v>
      </c>
      <c r="EU8" s="19">
        <v>1</v>
      </c>
      <c r="EV8" s="19">
        <v>16.20119501959045</v>
      </c>
      <c r="EW8" s="19">
        <f>DataTable[[#This Row],[Sens_13]]/AVERAGEIF(DataTable[Strålkälla],DataTable[[#This Row],[Strålkälla]],DataTable[Sens_13])</f>
        <v>0.99801833935533413</v>
      </c>
      <c r="EX8" s="19">
        <v>1271</v>
      </c>
      <c r="EY8" s="19">
        <v>1573</v>
      </c>
      <c r="EZ8" s="19">
        <v>0.106</v>
      </c>
      <c r="FA8" s="19">
        <v>4.7E-2</v>
      </c>
      <c r="FB8" s="19">
        <v>0.03</v>
      </c>
      <c r="FC8" s="19">
        <v>1451623</v>
      </c>
      <c r="FD8" s="19">
        <v>435</v>
      </c>
      <c r="FE8" s="19">
        <v>0</v>
      </c>
      <c r="FF8" s="19">
        <v>0</v>
      </c>
      <c r="FG8" s="19">
        <v>13.818194023202027</v>
      </c>
      <c r="FH8" s="19">
        <f>DataTable[[#This Row],[Sens_14]]/AVERAGEIF(DataTable[Strålkälla],DataTable[[#This Row],[Strålkälla]],DataTable[Sens_14])</f>
        <v>0.99749073952170531</v>
      </c>
      <c r="FI8" s="19">
        <v>1426</v>
      </c>
      <c r="FJ8" s="19">
        <v>1813</v>
      </c>
      <c r="FK8" s="19">
        <v>0.11899999999999999</v>
      </c>
      <c r="FL8" s="19">
        <v>3.9E-2</v>
      </c>
      <c r="FM8" s="19">
        <v>2.8000000000000001E-2</v>
      </c>
      <c r="FN8" s="19">
        <v>1623506</v>
      </c>
      <c r="FO8" s="19">
        <v>435</v>
      </c>
      <c r="FP8" s="19">
        <v>0</v>
      </c>
      <c r="FQ8" s="19">
        <v>1</v>
      </c>
      <c r="FR8" s="19">
        <v>15.454371352501738</v>
      </c>
      <c r="FS8" s="19">
        <f>DataTable[[#This Row],[Sens_15]]/AVERAGEIF(DataTable[Strålkälla],DataTable[[#This Row],[Strålkälla]],DataTable[Sens_15])</f>
        <v>0.99920807040594339</v>
      </c>
      <c r="FT8" s="19">
        <v>1311</v>
      </c>
      <c r="FU8" s="19">
        <v>1578</v>
      </c>
      <c r="FV8" s="19">
        <v>9.1999999999999998E-2</v>
      </c>
      <c r="FW8" s="19">
        <v>3.6999999999999998E-2</v>
      </c>
      <c r="FX8" s="19">
        <v>2.9000000000000001E-2</v>
      </c>
      <c r="FY8" s="19">
        <v>1465138</v>
      </c>
      <c r="FZ8" s="19">
        <v>435</v>
      </c>
      <c r="GA8" s="19">
        <v>0</v>
      </c>
      <c r="GB8" s="19">
        <v>0</v>
      </c>
      <c r="GC8" s="19">
        <v>13.946845120782857</v>
      </c>
      <c r="GD8" s="19">
        <f>DataTable[[#This Row],[Sens_16]]/AVERAGEIF(DataTable[Strålkälla],DataTable[[#This Row],[Strålkälla]],DataTable[Sens_16])</f>
        <v>0.99873948799591683</v>
      </c>
      <c r="GE8" s="19">
        <v>1214</v>
      </c>
      <c r="GF8" s="19">
        <v>1556</v>
      </c>
      <c r="GG8" s="19">
        <v>0.123</v>
      </c>
      <c r="GH8" s="19">
        <v>5.0999999999999997E-2</v>
      </c>
      <c r="GI8" s="19">
        <v>3.2000000000000001E-2</v>
      </c>
      <c r="GJ8" s="19">
        <v>1409028</v>
      </c>
      <c r="GK8" s="19">
        <v>435</v>
      </c>
      <c r="GL8" s="19">
        <v>0</v>
      </c>
      <c r="GM8" s="19">
        <v>1</v>
      </c>
      <c r="GN8" s="19">
        <v>13.412726505521274</v>
      </c>
      <c r="GO8" s="19">
        <f>DataTable[[#This Row],[Sens_17]]/AVERAGEIF(DataTable[Strålkälla],DataTable[[#This Row],[Strålkälla]],DataTable[Sens_17])</f>
        <v>0.99768804662126231</v>
      </c>
      <c r="GP8" s="19">
        <v>1406</v>
      </c>
      <c r="GQ8" s="19">
        <v>1778</v>
      </c>
      <c r="GR8" s="19">
        <v>0.11700000000000001</v>
      </c>
      <c r="GS8" s="19">
        <v>4.2000000000000003E-2</v>
      </c>
      <c r="GT8" s="19">
        <v>2.8000000000000001E-2</v>
      </c>
      <c r="GU8" s="19">
        <v>1634507</v>
      </c>
      <c r="GV8" s="19">
        <v>435</v>
      </c>
      <c r="GW8" s="19">
        <v>1</v>
      </c>
      <c r="GX8" s="19">
        <v>1</v>
      </c>
      <c r="GY8" s="19">
        <v>15.55909134691437</v>
      </c>
      <c r="GZ8" s="19">
        <f>DataTable[[#This Row],[Sens_18]]/AVERAGEIF(DataTable[Strålkälla],DataTable[[#This Row],[Strålkälla]],DataTable[Sens_18])</f>
        <v>1.000079745293778</v>
      </c>
      <c r="HA8" s="19">
        <v>1284</v>
      </c>
      <c r="HB8" s="19">
        <v>1581</v>
      </c>
      <c r="HC8" s="19">
        <v>0.104</v>
      </c>
      <c r="HD8" s="19">
        <v>4.3999999999999997E-2</v>
      </c>
      <c r="HE8" s="19">
        <v>2.9000000000000001E-2</v>
      </c>
      <c r="HF8" s="19">
        <v>1482486</v>
      </c>
      <c r="HG8" s="19">
        <v>435</v>
      </c>
      <c r="HH8" s="19">
        <v>0</v>
      </c>
      <c r="HI8" s="19">
        <v>0</v>
      </c>
      <c r="HJ8" s="19">
        <v>14.111983059431189</v>
      </c>
      <c r="HK8" s="19">
        <f>DataTable[[#This Row],[Sens_19]]/AVERAGEIF(DataTable[Strålkälla],DataTable[[#This Row],[Strålkälla]],DataTable[Sens_19])</f>
        <v>0.99587967870026106</v>
      </c>
      <c r="HL8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0.123</v>
      </c>
      <c r="HM8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9.9736842105263165E-2</v>
      </c>
      <c r="HN8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5.0999999999999997E-2</v>
      </c>
      <c r="HO8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4.1210526315789482E-2</v>
      </c>
      <c r="HP8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0.99587967870026106</v>
      </c>
      <c r="HQ8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0.99953661260644988</v>
      </c>
      <c r="HR8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1.0021880000418906</v>
      </c>
      <c r="HS8" s="49"/>
    </row>
    <row r="9" spans="2:227" x14ac:dyDescent="0.25">
      <c r="B9" s="19" t="s">
        <v>43</v>
      </c>
      <c r="C9" s="20">
        <v>42389</v>
      </c>
      <c r="D9" s="21">
        <v>0.31848379629629631</v>
      </c>
      <c r="E9" s="13" t="s">
        <v>217</v>
      </c>
      <c r="F9" s="13">
        <v>109.8</v>
      </c>
      <c r="G9" s="13">
        <v>134.19999999999999</v>
      </c>
      <c r="H9" s="24">
        <v>21.224799999999998</v>
      </c>
      <c r="I9" s="22">
        <f>MATCH(DataTable[[#This Row],[Datum]],Övrigt!$D$10:$M$10,1)</f>
        <v>1</v>
      </c>
      <c r="J9" s="13"/>
      <c r="K9" s="22">
        <v>1834</v>
      </c>
      <c r="L9" s="22">
        <v>2217</v>
      </c>
      <c r="M9" s="23">
        <v>9.5000000000000001E-2</v>
      </c>
      <c r="N9" s="23">
        <v>3.2000000000000001E-2</v>
      </c>
      <c r="O9" s="23">
        <v>2.5999999999999999E-2</v>
      </c>
      <c r="P9" s="22">
        <v>2076005</v>
      </c>
      <c r="Q9" s="24">
        <v>422</v>
      </c>
      <c r="R9" s="22">
        <v>0</v>
      </c>
      <c r="S9" s="22">
        <v>0</v>
      </c>
      <c r="T9" s="19">
        <v>20.684706733847676</v>
      </c>
      <c r="U9" s="23">
        <f>DataTable[[#This Row],[Sens_1]]/AVERAGEIF(DataTable[Strålkälla],DataTable[[#This Row],[Strålkälla]],DataTable[Sens_1])</f>
        <v>0.99906878086242679</v>
      </c>
      <c r="V9" s="22">
        <v>2194</v>
      </c>
      <c r="W9" s="22">
        <v>2616</v>
      </c>
      <c r="X9" s="23">
        <v>8.7999999999999995E-2</v>
      </c>
      <c r="Y9" s="23">
        <v>3.5000000000000003E-2</v>
      </c>
      <c r="Z9" s="23">
        <v>2.4E-2</v>
      </c>
      <c r="AA9" s="22">
        <v>2449673</v>
      </c>
      <c r="AB9" s="24">
        <v>422</v>
      </c>
      <c r="AC9" s="22">
        <v>0</v>
      </c>
      <c r="AD9" s="22">
        <v>0</v>
      </c>
      <c r="AE9" s="19">
        <v>24.407825414112605</v>
      </c>
      <c r="AF9" s="23">
        <f>DataTable[[#This Row],[Sens_2]]/AVERAGEIF(DataTable[Strålkälla],DataTable[[#This Row],[Strålkälla]],DataTable[Sens_2])</f>
        <v>0.99888951461027642</v>
      </c>
      <c r="AG9" s="22">
        <v>1940</v>
      </c>
      <c r="AH9" s="22">
        <v>2309</v>
      </c>
      <c r="AI9" s="23">
        <v>8.6999999999999994E-2</v>
      </c>
      <c r="AJ9" s="23">
        <v>3.7999999999999999E-2</v>
      </c>
      <c r="AK9" s="23">
        <v>2.5000000000000001E-2</v>
      </c>
      <c r="AL9" s="22">
        <v>2169914</v>
      </c>
      <c r="AM9" s="24">
        <v>422</v>
      </c>
      <c r="AN9" s="22">
        <v>0</v>
      </c>
      <c r="AO9" s="22">
        <v>0</v>
      </c>
      <c r="AP9" s="19">
        <v>21.620388548038346</v>
      </c>
      <c r="AQ9" s="23">
        <f>DataTable[[#This Row],[Sens_3]]/AVERAGEIF(DataTable[Strålkälla],DataTable[[#This Row],[Strålkälla]],DataTable[Sens_3])</f>
        <v>0.99927628734812302</v>
      </c>
      <c r="AR9" s="22">
        <v>1823</v>
      </c>
      <c r="AS9" s="22">
        <v>2161</v>
      </c>
      <c r="AT9" s="23">
        <v>8.5000000000000006E-2</v>
      </c>
      <c r="AU9" s="23">
        <v>3.5999999999999997E-2</v>
      </c>
      <c r="AV9" s="23">
        <v>2.4E-2</v>
      </c>
      <c r="AW9" s="22">
        <v>2065741</v>
      </c>
      <c r="AX9" s="24">
        <v>422</v>
      </c>
      <c r="AY9" s="22">
        <v>1</v>
      </c>
      <c r="AZ9" s="22">
        <v>0</v>
      </c>
      <c r="BA9" s="19">
        <v>20.582439239349245</v>
      </c>
      <c r="BB9" s="23">
        <f>DataTable[[#This Row],[Sens_4]]/AVERAGEIF(DataTable[Strålkälla],DataTable[[#This Row],[Strålkälla]],DataTable[Sens_4])</f>
        <v>0.99953757635983642</v>
      </c>
      <c r="BC9" s="22">
        <v>2040</v>
      </c>
      <c r="BD9" s="22">
        <v>2443</v>
      </c>
      <c r="BE9" s="19">
        <v>0.09</v>
      </c>
      <c r="BF9" s="19">
        <v>3.3000000000000002E-2</v>
      </c>
      <c r="BG9" s="19">
        <v>2.3E-2</v>
      </c>
      <c r="BH9" s="19">
        <v>2306778</v>
      </c>
      <c r="BI9" s="19">
        <v>422</v>
      </c>
      <c r="BJ9" s="19">
        <v>1</v>
      </c>
      <c r="BK9" s="19">
        <v>0</v>
      </c>
      <c r="BL9" s="19">
        <v>22.984061420898154</v>
      </c>
      <c r="BM9" s="23">
        <f>DataTable[[#This Row],[Sens_5]]/AVERAGEIF(DataTable[Strålkälla],DataTable[[#This Row],[Strålkälla]],DataTable[Sens_5])</f>
        <v>0.99816959842575859</v>
      </c>
      <c r="BN9" s="19">
        <v>2063</v>
      </c>
      <c r="BO9" s="19">
        <v>2450</v>
      </c>
      <c r="BP9" s="19">
        <v>8.5999999999999993E-2</v>
      </c>
      <c r="BQ9" s="19">
        <v>0.03</v>
      </c>
      <c r="BR9" s="19">
        <v>2.4E-2</v>
      </c>
      <c r="BS9" s="19">
        <v>2301368</v>
      </c>
      <c r="BT9" s="19">
        <v>422</v>
      </c>
      <c r="BU9" s="19">
        <v>0</v>
      </c>
      <c r="BV9" s="19">
        <v>0</v>
      </c>
      <c r="BW9" s="19">
        <v>22.930157762944482</v>
      </c>
      <c r="BX9" s="23">
        <f>DataTable[[#This Row],[Sens_6]]/AVERAGEIF(DataTable[Strålkälla],DataTable[[#This Row],[Strålkälla]],DataTable[Sens_6])</f>
        <v>0.99907067108670855</v>
      </c>
      <c r="BY9" s="19">
        <v>1799</v>
      </c>
      <c r="BZ9" s="19">
        <v>2292</v>
      </c>
      <c r="CA9" s="19">
        <v>0.121</v>
      </c>
      <c r="CB9" s="19">
        <v>4.9000000000000002E-2</v>
      </c>
      <c r="CC9" s="19">
        <v>2.8000000000000001E-2</v>
      </c>
      <c r="CD9" s="19">
        <v>2108212</v>
      </c>
      <c r="CE9" s="19">
        <v>422</v>
      </c>
      <c r="CF9" s="19">
        <v>1</v>
      </c>
      <c r="CG9" s="19">
        <v>1</v>
      </c>
      <c r="CH9" s="19">
        <v>21.005607863554506</v>
      </c>
      <c r="CI9" s="23">
        <f>DataTable[[#This Row],[Sens_7]]/AVERAGEIF(DataTable[Strålkälla],DataTable[[#This Row],[Strålkälla]],DataTable[Sens_7])</f>
        <v>0.99941822394863777</v>
      </c>
      <c r="CJ9" s="19">
        <v>2189</v>
      </c>
      <c r="CK9" s="19">
        <v>2579</v>
      </c>
      <c r="CL9" s="19">
        <v>8.2000000000000003E-2</v>
      </c>
      <c r="CM9" s="19">
        <v>4.2999999999999997E-2</v>
      </c>
      <c r="CN9" s="19">
        <v>2.4E-2</v>
      </c>
      <c r="CO9" s="19">
        <v>2446486</v>
      </c>
      <c r="CP9" s="19">
        <v>422</v>
      </c>
      <c r="CQ9" s="19">
        <v>0</v>
      </c>
      <c r="CR9" s="19">
        <v>0</v>
      </c>
      <c r="CS9" s="19">
        <v>24.37607107808703</v>
      </c>
      <c r="CT9" s="23">
        <f>DataTable[[#This Row],[Sens_8]]/AVERAGEIF(DataTable[Strålkälla],DataTable[[#This Row],[Strålkälla]],DataTable[Sens_8])</f>
        <v>0.99910571870173515</v>
      </c>
      <c r="CU9" s="19">
        <v>1678</v>
      </c>
      <c r="CV9" s="19">
        <v>2149</v>
      </c>
      <c r="CW9" s="19">
        <v>0.123</v>
      </c>
      <c r="CX9" s="19">
        <v>6.8000000000000005E-2</v>
      </c>
      <c r="CY9" s="19">
        <v>2.8000000000000001E-2</v>
      </c>
      <c r="CZ9" s="19">
        <v>1970707</v>
      </c>
      <c r="DA9" s="19">
        <v>411</v>
      </c>
      <c r="DB9" s="19">
        <v>1</v>
      </c>
      <c r="DC9" s="19">
        <v>1</v>
      </c>
      <c r="DD9" s="19">
        <v>20.161073876515971</v>
      </c>
      <c r="DE9" s="23">
        <f>DataTable[[#This Row],[Sens_9]]/AVERAGEIF(DataTable[Strålkälla],DataTable[[#This Row],[Strålkälla]],DataTable[Sens_9])</f>
        <v>0.99897140624401271</v>
      </c>
      <c r="DF9" s="19">
        <v>1668</v>
      </c>
      <c r="DG9" s="19">
        <v>2022</v>
      </c>
      <c r="DH9" s="19">
        <v>9.6000000000000002E-2</v>
      </c>
      <c r="DI9" s="19">
        <v>4.5999999999999999E-2</v>
      </c>
      <c r="DJ9" s="19">
        <v>2.5999999999999999E-2</v>
      </c>
      <c r="DK9" s="19">
        <v>1906633</v>
      </c>
      <c r="DL9" s="19">
        <v>411</v>
      </c>
      <c r="DM9" s="19">
        <v>1</v>
      </c>
      <c r="DN9" s="19">
        <v>0</v>
      </c>
      <c r="DO9" s="19">
        <v>19.505572755566035</v>
      </c>
      <c r="DP9" s="23">
        <f>DataTable[[#This Row],[Sens_10]]/AVERAGEIF(DataTable[Strålkälla],DataTable[[#This Row],[Strålkälla]],DataTable[Sens_10])</f>
        <v>0.99976280696613284</v>
      </c>
      <c r="DQ9" s="19">
        <v>1498</v>
      </c>
      <c r="DR9" s="19">
        <v>1784</v>
      </c>
      <c r="DS9" s="19">
        <v>8.6999999999999994E-2</v>
      </c>
      <c r="DT9" s="19">
        <v>3.9E-2</v>
      </c>
      <c r="DU9" s="19">
        <v>2.7E-2</v>
      </c>
      <c r="DV9" s="19">
        <v>1678247</v>
      </c>
      <c r="DW9" s="19">
        <v>411</v>
      </c>
      <c r="DX9" s="19">
        <v>0</v>
      </c>
      <c r="DY9" s="19">
        <v>0</v>
      </c>
      <c r="DZ9" s="19">
        <v>17.169098069901462</v>
      </c>
      <c r="EA9" s="23">
        <f>DataTable[[#This Row],[Sens_11]]/AVERAGEIF(DataTable[Strålkälla],DataTable[[#This Row],[Strålkälla]],DataTable[Sens_11])</f>
        <v>0.99994810262981992</v>
      </c>
      <c r="EB9" s="19">
        <v>1741</v>
      </c>
      <c r="EC9" s="19">
        <v>2143</v>
      </c>
      <c r="ED9" s="19">
        <v>0.104</v>
      </c>
      <c r="EE9" s="19">
        <v>4.4999999999999998E-2</v>
      </c>
      <c r="EF9" s="19">
        <v>2.7E-2</v>
      </c>
      <c r="EG9" s="19">
        <v>1994617</v>
      </c>
      <c r="EH9" s="19">
        <v>411</v>
      </c>
      <c r="EI9" s="19">
        <v>0</v>
      </c>
      <c r="EJ9" s="19">
        <v>0</v>
      </c>
      <c r="EK9" s="19">
        <v>20.405682170081427</v>
      </c>
      <c r="EL9" s="23">
        <f>DataTable[[#This Row],[Sens_12]]/AVERAGEIF(DataTable[Strålkälla],DataTable[[#This Row],[Strålkälla]],DataTable[Sens_12])</f>
        <v>0.9969857018260867</v>
      </c>
      <c r="EM9" s="19">
        <v>1511</v>
      </c>
      <c r="EN9" s="19">
        <v>1817</v>
      </c>
      <c r="EO9" s="19">
        <v>9.1999999999999998E-2</v>
      </c>
      <c r="EP9" s="19">
        <v>3.6999999999999998E-2</v>
      </c>
      <c r="EQ9" s="19">
        <v>2.7E-2</v>
      </c>
      <c r="ER9" s="19">
        <v>1704497</v>
      </c>
      <c r="ES9" s="19">
        <v>441</v>
      </c>
      <c r="ET9" s="19">
        <v>0</v>
      </c>
      <c r="EU9" s="19">
        <v>0</v>
      </c>
      <c r="EV9" s="19">
        <v>16.251411059719096</v>
      </c>
      <c r="EW9" s="19">
        <f>DataTable[[#This Row],[Sens_13]]/AVERAGEIF(DataTable[Strålkälla],DataTable[[#This Row],[Strålkälla]],DataTable[Sens_13])</f>
        <v>1.0011117240666219</v>
      </c>
      <c r="EX9" s="19">
        <v>1282</v>
      </c>
      <c r="EY9" s="19">
        <v>1569</v>
      </c>
      <c r="EZ9" s="19">
        <v>0.10100000000000001</v>
      </c>
      <c r="FA9" s="19">
        <v>4.7E-2</v>
      </c>
      <c r="FB9" s="19">
        <v>3.1E-2</v>
      </c>
      <c r="FC9" s="19">
        <v>1451324</v>
      </c>
      <c r="FD9" s="19">
        <v>441</v>
      </c>
      <c r="FE9" s="19">
        <v>0</v>
      </c>
      <c r="FF9" s="19">
        <v>0</v>
      </c>
      <c r="FG9" s="19">
        <v>13.837550259599023</v>
      </c>
      <c r="FH9" s="19">
        <f>DataTable[[#This Row],[Sens_14]]/AVERAGEIF(DataTable[Strålkälla],DataTable[[#This Row],[Strålkälla]],DataTable[Sens_14])</f>
        <v>0.99888800363057351</v>
      </c>
      <c r="FI9" s="19">
        <v>1449</v>
      </c>
      <c r="FJ9" s="19">
        <v>1741</v>
      </c>
      <c r="FK9" s="19">
        <v>9.1999999999999998E-2</v>
      </c>
      <c r="FL9" s="19">
        <v>3.4000000000000002E-2</v>
      </c>
      <c r="FM9" s="19">
        <v>2.7E-2</v>
      </c>
      <c r="FN9" s="19">
        <v>1623153</v>
      </c>
      <c r="FO9" s="19">
        <v>441</v>
      </c>
      <c r="FP9" s="19">
        <v>0</v>
      </c>
      <c r="FQ9" s="19">
        <v>0</v>
      </c>
      <c r="FR9" s="19">
        <v>15.475842207886684</v>
      </c>
      <c r="FS9" s="19">
        <f>DataTable[[#This Row],[Sens_15]]/AVERAGEIF(DataTable[Strålkälla],DataTable[[#This Row],[Strålkälla]],DataTable[Sens_15])</f>
        <v>1.0005962764668572</v>
      </c>
      <c r="FT9" s="19">
        <v>1287</v>
      </c>
      <c r="FU9" s="19">
        <v>1591</v>
      </c>
      <c r="FV9" s="19">
        <v>0.106</v>
      </c>
      <c r="FW9" s="19">
        <v>3.6999999999999998E-2</v>
      </c>
      <c r="FX9" s="19">
        <v>0.03</v>
      </c>
      <c r="FY9" s="19">
        <v>1464310</v>
      </c>
      <c r="FZ9" s="19">
        <v>441</v>
      </c>
      <c r="GA9" s="19">
        <v>0</v>
      </c>
      <c r="GB9" s="19">
        <v>0</v>
      </c>
      <c r="GC9" s="19">
        <v>13.961364395981494</v>
      </c>
      <c r="GD9" s="19">
        <f>DataTable[[#This Row],[Sens_16]]/AVERAGEIF(DataTable[Strålkälla],DataTable[[#This Row],[Strålkälla]],DataTable[Sens_16])</f>
        <v>0.99977921944431081</v>
      </c>
      <c r="GE9" s="19">
        <v>1245</v>
      </c>
      <c r="GF9" s="19">
        <v>1536</v>
      </c>
      <c r="GG9" s="19">
        <v>0.105</v>
      </c>
      <c r="GH9" s="19">
        <v>5.0999999999999997E-2</v>
      </c>
      <c r="GI9" s="19">
        <v>0.03</v>
      </c>
      <c r="GJ9" s="19">
        <v>1410575</v>
      </c>
      <c r="GK9" s="19">
        <v>441</v>
      </c>
      <c r="GL9" s="19">
        <v>0</v>
      </c>
      <c r="GM9" s="19">
        <v>0</v>
      </c>
      <c r="GN9" s="19">
        <v>13.449031682404406</v>
      </c>
      <c r="GO9" s="19">
        <f>DataTable[[#This Row],[Sens_17]]/AVERAGEIF(DataTable[Strålkälla],DataTable[[#This Row],[Strålkälla]],DataTable[Sens_17])</f>
        <v>1.0003885595253212</v>
      </c>
      <c r="GP9" s="19">
        <v>1412</v>
      </c>
      <c r="GQ9" s="19">
        <v>1748</v>
      </c>
      <c r="GR9" s="19">
        <v>0.106</v>
      </c>
      <c r="GS9" s="19">
        <v>3.4000000000000002E-2</v>
      </c>
      <c r="GT9" s="19">
        <v>2.8000000000000001E-2</v>
      </c>
      <c r="GU9" s="19">
        <v>1630587</v>
      </c>
      <c r="GV9" s="19">
        <v>441</v>
      </c>
      <c r="GW9" s="19">
        <v>1</v>
      </c>
      <c r="GX9" s="19">
        <v>0</v>
      </c>
      <c r="GY9" s="19">
        <v>15.546721176766038</v>
      </c>
      <c r="GZ9" s="19">
        <f>DataTable[[#This Row],[Sens_18]]/AVERAGEIF(DataTable[Strålkälla],DataTable[[#This Row],[Strålkälla]],DataTable[Sens_18])</f>
        <v>0.99928463738320994</v>
      </c>
      <c r="HA9" s="19">
        <v>1299</v>
      </c>
      <c r="HB9" s="19">
        <v>1611</v>
      </c>
      <c r="HC9" s="19">
        <v>0.107</v>
      </c>
      <c r="HD9" s="19">
        <v>6.6000000000000003E-2</v>
      </c>
      <c r="HE9" s="19">
        <v>0.03</v>
      </c>
      <c r="HF9" s="19">
        <v>1483510</v>
      </c>
      <c r="HG9" s="19">
        <v>441</v>
      </c>
      <c r="HH9" s="19">
        <v>0</v>
      </c>
      <c r="HI9" s="19">
        <v>0</v>
      </c>
      <c r="HJ9" s="19">
        <v>14.144425493974984</v>
      </c>
      <c r="HK9" s="19">
        <f>DataTable[[#This Row],[Sens_19]]/AVERAGEIF(DataTable[Strålkälla],DataTable[[#This Row],[Strålkälla]],DataTable[Sens_19])</f>
        <v>0.99816913448784694</v>
      </c>
      <c r="HL9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0.123</v>
      </c>
      <c r="HM9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9.7526315789473711E-2</v>
      </c>
      <c r="HN9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6.8000000000000005E-2</v>
      </c>
      <c r="HO9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4.2105263157894736E-2</v>
      </c>
      <c r="HP9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0.9969857018260867</v>
      </c>
      <c r="HQ9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0.99928536547443647</v>
      </c>
      <c r="HR9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1.0011117240666219</v>
      </c>
      <c r="HS9" s="49"/>
    </row>
    <row r="10" spans="2:227" x14ac:dyDescent="0.25">
      <c r="B10" s="19" t="s">
        <v>43</v>
      </c>
      <c r="C10" s="20">
        <v>42390</v>
      </c>
      <c r="D10" s="21">
        <v>0.32840277777777777</v>
      </c>
      <c r="E10" s="13" t="s">
        <v>217</v>
      </c>
      <c r="F10" s="13">
        <v>109.8</v>
      </c>
      <c r="G10" s="13">
        <v>134.19999999999999</v>
      </c>
      <c r="H10" s="24">
        <v>21.288499999999999</v>
      </c>
      <c r="I10" s="22">
        <f>MATCH(DataTable[[#This Row],[Datum]],Övrigt!$D$10:$M$10,1)</f>
        <v>1</v>
      </c>
      <c r="J10" s="13"/>
      <c r="K10" s="22">
        <v>1802</v>
      </c>
      <c r="L10" s="22">
        <v>2212</v>
      </c>
      <c r="M10" s="23">
        <v>0.10199999999999999</v>
      </c>
      <c r="N10" s="23">
        <v>5.2999999999999999E-2</v>
      </c>
      <c r="O10" s="23">
        <v>2.7E-2</v>
      </c>
      <c r="P10" s="22">
        <v>2076875</v>
      </c>
      <c r="Q10" s="24">
        <v>423</v>
      </c>
      <c r="R10" s="22">
        <v>1</v>
      </c>
      <c r="S10" s="22">
        <v>0</v>
      </c>
      <c r="T10" s="19">
        <v>20.697181195990407</v>
      </c>
      <c r="U10" s="23">
        <f>DataTable[[#This Row],[Sens_1]]/AVERAGEIF(DataTable[Strålkälla],DataTable[[#This Row],[Strålkälla]],DataTable[Sens_1])</f>
        <v>0.99967129584343239</v>
      </c>
      <c r="V10" s="22">
        <v>2150</v>
      </c>
      <c r="W10" s="22">
        <v>2667</v>
      </c>
      <c r="X10" s="23">
        <v>0.107</v>
      </c>
      <c r="Y10" s="23">
        <v>5.0999999999999997E-2</v>
      </c>
      <c r="Z10" s="23">
        <v>2.5000000000000001E-2</v>
      </c>
      <c r="AA10" s="22">
        <v>2450706</v>
      </c>
      <c r="AB10" s="24">
        <v>423</v>
      </c>
      <c r="AC10" s="22">
        <v>1</v>
      </c>
      <c r="AD10" s="22">
        <v>1</v>
      </c>
      <c r="AE10" s="19">
        <v>24.422609035257715</v>
      </c>
      <c r="AF10" s="23">
        <f>DataTable[[#This Row],[Sens_2]]/AVERAGEIF(DataTable[Strålkälla],DataTable[[#This Row],[Strålkälla]],DataTable[Sens_2])</f>
        <v>0.99949453385714804</v>
      </c>
      <c r="AG10" s="22">
        <v>1952</v>
      </c>
      <c r="AH10" s="22">
        <v>2360</v>
      </c>
      <c r="AI10" s="23">
        <v>9.5000000000000001E-2</v>
      </c>
      <c r="AJ10" s="23">
        <v>3.9E-2</v>
      </c>
      <c r="AK10" s="23">
        <v>2.5000000000000001E-2</v>
      </c>
      <c r="AL10" s="22">
        <v>2172168</v>
      </c>
      <c r="AM10" s="24">
        <v>423</v>
      </c>
      <c r="AN10" s="22">
        <v>0</v>
      </c>
      <c r="AO10" s="22">
        <v>1</v>
      </c>
      <c r="AP10" s="19">
        <v>21.646827413364836</v>
      </c>
      <c r="AQ10" s="23">
        <f>DataTable[[#This Row],[Sens_3]]/AVERAGEIF(DataTable[Strålkälla],DataTable[[#This Row],[Strålkälla]],DataTable[Sens_3])</f>
        <v>1.0004982696046607</v>
      </c>
      <c r="AR10" s="22">
        <v>1863</v>
      </c>
      <c r="AS10" s="22">
        <v>2223</v>
      </c>
      <c r="AT10" s="23">
        <v>8.7999999999999995E-2</v>
      </c>
      <c r="AU10" s="23">
        <v>4.5999999999999999E-2</v>
      </c>
      <c r="AV10" s="23">
        <v>2.5999999999999999E-2</v>
      </c>
      <c r="AW10" s="22">
        <v>2064117</v>
      </c>
      <c r="AX10" s="24">
        <v>423</v>
      </c>
      <c r="AY10" s="22">
        <v>0</v>
      </c>
      <c r="AZ10" s="22">
        <v>0</v>
      </c>
      <c r="BA10" s="19">
        <v>20.570040834775387</v>
      </c>
      <c r="BB10" s="23">
        <f>DataTable[[#This Row],[Sens_4]]/AVERAGEIF(DataTable[Strålkälla],DataTable[[#This Row],[Strålkälla]],DataTable[Sens_4])</f>
        <v>0.99893547710841279</v>
      </c>
      <c r="BC10" s="22">
        <v>2080</v>
      </c>
      <c r="BD10" s="22">
        <v>2435</v>
      </c>
      <c r="BE10" s="19">
        <v>7.9000000000000001E-2</v>
      </c>
      <c r="BF10" s="19">
        <v>3.2000000000000001E-2</v>
      </c>
      <c r="BG10" s="19">
        <v>2.4E-2</v>
      </c>
      <c r="BH10" s="19">
        <v>2305799</v>
      </c>
      <c r="BI10" s="19">
        <v>423</v>
      </c>
      <c r="BJ10" s="19">
        <v>0</v>
      </c>
      <c r="BK10" s="19">
        <v>0</v>
      </c>
      <c r="BL10" s="19">
        <v>22.97853250895383</v>
      </c>
      <c r="BM10" s="23">
        <f>DataTable[[#This Row],[Sens_5]]/AVERAGEIF(DataTable[Strålkälla],DataTable[[#This Row],[Strålkälla]],DataTable[Sens_5])</f>
        <v>0.99792948456101838</v>
      </c>
      <c r="BN10" s="19">
        <v>1983</v>
      </c>
      <c r="BO10" s="19">
        <v>2435</v>
      </c>
      <c r="BP10" s="19">
        <v>0.10199999999999999</v>
      </c>
      <c r="BQ10" s="19">
        <v>4.1000000000000002E-2</v>
      </c>
      <c r="BR10" s="19">
        <v>2.5000000000000001E-2</v>
      </c>
      <c r="BS10" s="19">
        <v>2299127</v>
      </c>
      <c r="BT10" s="19">
        <v>423</v>
      </c>
      <c r="BU10" s="19">
        <v>1</v>
      </c>
      <c r="BV10" s="19">
        <v>0</v>
      </c>
      <c r="BW10" s="19">
        <v>22.912042425082799</v>
      </c>
      <c r="BX10" s="23">
        <f>DataTable[[#This Row],[Sens_6]]/AVERAGEIF(DataTable[Strålkälla],DataTable[[#This Row],[Strålkälla]],DataTable[Sens_6])</f>
        <v>0.99828138289508161</v>
      </c>
      <c r="BY10" s="19">
        <v>1892</v>
      </c>
      <c r="BZ10" s="19">
        <v>2258</v>
      </c>
      <c r="CA10" s="19">
        <v>8.7999999999999995E-2</v>
      </c>
      <c r="CB10" s="19">
        <v>4.4999999999999998E-2</v>
      </c>
      <c r="CC10" s="19">
        <v>2.5999999999999999E-2</v>
      </c>
      <c r="CD10" s="19">
        <v>2108525</v>
      </c>
      <c r="CE10" s="19">
        <v>423</v>
      </c>
      <c r="CF10" s="19">
        <v>0</v>
      </c>
      <c r="CG10" s="19">
        <v>0</v>
      </c>
      <c r="CH10" s="19">
        <v>21.012590541691566</v>
      </c>
      <c r="CI10" s="23">
        <f>DataTable[[#This Row],[Sens_7]]/AVERAGEIF(DataTable[Strålkälla],DataTable[[#This Row],[Strålkälla]],DataTable[Sens_7])</f>
        <v>0.99975045026779386</v>
      </c>
      <c r="CJ10" s="19">
        <v>2167</v>
      </c>
      <c r="CK10" s="19">
        <v>2592</v>
      </c>
      <c r="CL10" s="19">
        <v>8.8999999999999996E-2</v>
      </c>
      <c r="CM10" s="19">
        <v>3.4000000000000002E-2</v>
      </c>
      <c r="CN10" s="19">
        <v>2.4E-2</v>
      </c>
      <c r="CO10" s="19">
        <v>2447371</v>
      </c>
      <c r="CP10" s="19">
        <v>423</v>
      </c>
      <c r="CQ10" s="19">
        <v>0</v>
      </c>
      <c r="CR10" s="19">
        <v>0</v>
      </c>
      <c r="CS10" s="19">
        <v>24.389373958862347</v>
      </c>
      <c r="CT10" s="23">
        <f>DataTable[[#This Row],[Sens_8]]/AVERAGEIF(DataTable[Strålkälla],DataTable[[#This Row],[Strålkälla]],DataTable[Sens_8])</f>
        <v>0.99965096589170477</v>
      </c>
      <c r="CU10" s="19">
        <v>1698</v>
      </c>
      <c r="CV10" s="19">
        <v>2111</v>
      </c>
      <c r="CW10" s="19">
        <v>0.108</v>
      </c>
      <c r="CX10" s="19">
        <v>5.0999999999999997E-2</v>
      </c>
      <c r="CY10" s="19">
        <v>2.5999999999999999E-2</v>
      </c>
      <c r="CZ10" s="19">
        <v>1972274</v>
      </c>
      <c r="DA10" s="19">
        <v>412</v>
      </c>
      <c r="DB10" s="19">
        <v>2</v>
      </c>
      <c r="DC10" s="19">
        <v>0</v>
      </c>
      <c r="DD10" s="19">
        <v>20.179539160622262</v>
      </c>
      <c r="DE10" s="23">
        <f>DataTable[[#This Row],[Sens_9]]/AVERAGEIF(DataTable[Strålkälla],DataTable[[#This Row],[Strålkälla]],DataTable[Sens_9])</f>
        <v>0.99988635209180532</v>
      </c>
      <c r="DF10" s="19">
        <v>1716</v>
      </c>
      <c r="DG10" s="19">
        <v>2042</v>
      </c>
      <c r="DH10" s="19">
        <v>8.6999999999999994E-2</v>
      </c>
      <c r="DI10" s="19">
        <v>4.4999999999999998E-2</v>
      </c>
      <c r="DJ10" s="19">
        <v>2.5000000000000001E-2</v>
      </c>
      <c r="DK10" s="19">
        <v>1905496</v>
      </c>
      <c r="DL10" s="19">
        <v>412</v>
      </c>
      <c r="DM10" s="19">
        <v>0</v>
      </c>
      <c r="DN10" s="19">
        <v>0</v>
      </c>
      <c r="DO10" s="19">
        <v>19.496292681650257</v>
      </c>
      <c r="DP10" s="23">
        <f>DataTable[[#This Row],[Sens_10]]/AVERAGEIF(DataTable[Strålkälla],DataTable[[#This Row],[Strålkälla]],DataTable[Sens_10])</f>
        <v>0.99928715455319639</v>
      </c>
      <c r="DQ10" s="19">
        <v>1499</v>
      </c>
      <c r="DR10" s="19">
        <v>1773</v>
      </c>
      <c r="DS10" s="19">
        <v>8.4000000000000005E-2</v>
      </c>
      <c r="DT10" s="19">
        <v>0.04</v>
      </c>
      <c r="DU10" s="19">
        <v>2.8000000000000001E-2</v>
      </c>
      <c r="DV10" s="19">
        <v>1678003</v>
      </c>
      <c r="DW10" s="19">
        <v>412</v>
      </c>
      <c r="DX10" s="19">
        <v>0</v>
      </c>
      <c r="DY10" s="19">
        <v>0</v>
      </c>
      <c r="DZ10" s="19">
        <v>17.168672938010456</v>
      </c>
      <c r="EA10" s="23">
        <f>DataTable[[#This Row],[Sens_11]]/AVERAGEIF(DataTable[Strålkälla],DataTable[[#This Row],[Strålkälla]],DataTable[Sens_11])</f>
        <v>0.9999233424574423</v>
      </c>
      <c r="EB10" s="19">
        <v>1767</v>
      </c>
      <c r="EC10" s="19">
        <v>2141</v>
      </c>
      <c r="ED10" s="19">
        <v>9.6000000000000002E-2</v>
      </c>
      <c r="EE10" s="19">
        <v>5.0999999999999997E-2</v>
      </c>
      <c r="EF10" s="19">
        <v>2.5000000000000001E-2</v>
      </c>
      <c r="EG10" s="19">
        <v>1994770</v>
      </c>
      <c r="EH10" s="19">
        <v>412</v>
      </c>
      <c r="EI10" s="19">
        <v>0</v>
      </c>
      <c r="EJ10" s="19">
        <v>0</v>
      </c>
      <c r="EK10" s="19">
        <v>20.409709468073132</v>
      </c>
      <c r="EL10" s="23">
        <f>DataTable[[#This Row],[Sens_12]]/AVERAGEIF(DataTable[Strålkälla],DataTable[[#This Row],[Strålkälla]],DataTable[Sens_12])</f>
        <v>0.99718246851495584</v>
      </c>
      <c r="EM10" s="19">
        <v>1495</v>
      </c>
      <c r="EN10" s="19">
        <v>1827</v>
      </c>
      <c r="EO10" s="19">
        <v>0.1</v>
      </c>
      <c r="EP10" s="19">
        <v>3.9E-2</v>
      </c>
      <c r="EQ10" s="19">
        <v>2.8000000000000001E-2</v>
      </c>
      <c r="ER10" s="19">
        <v>1704311</v>
      </c>
      <c r="ES10" s="19">
        <v>443</v>
      </c>
      <c r="ET10" s="19">
        <v>0</v>
      </c>
      <c r="EU10" s="19">
        <v>0</v>
      </c>
      <c r="EV10" s="19">
        <v>16.217590545026226</v>
      </c>
      <c r="EW10" s="19">
        <f>DataTable[[#This Row],[Sens_13]]/AVERAGEIF(DataTable[Strålkälla],DataTable[[#This Row],[Strålkälla]],DataTable[Sens_13])</f>
        <v>0.9990283287449121</v>
      </c>
      <c r="EX10" s="19">
        <v>1210</v>
      </c>
      <c r="EY10" s="19">
        <v>1564</v>
      </c>
      <c r="EZ10" s="19">
        <v>0.128</v>
      </c>
      <c r="FA10" s="19">
        <v>4.3999999999999997E-2</v>
      </c>
      <c r="FB10" s="19">
        <v>3.1E-2</v>
      </c>
      <c r="FC10" s="19">
        <v>1452486</v>
      </c>
      <c r="FD10" s="19">
        <v>443</v>
      </c>
      <c r="FE10" s="19">
        <v>1</v>
      </c>
      <c r="FF10" s="19">
        <v>0</v>
      </c>
      <c r="FG10" s="19">
        <v>13.821317365423894</v>
      </c>
      <c r="FH10" s="19">
        <f>DataTable[[#This Row],[Sens_14]]/AVERAGEIF(DataTable[Strålkälla],DataTable[[#This Row],[Strålkälla]],DataTable[Sens_14])</f>
        <v>0.99771620349604506</v>
      </c>
      <c r="FI10" s="19">
        <v>1450</v>
      </c>
      <c r="FJ10" s="19">
        <v>1725</v>
      </c>
      <c r="FK10" s="19">
        <v>8.6999999999999994E-2</v>
      </c>
      <c r="FL10" s="19">
        <v>3.7999999999999999E-2</v>
      </c>
      <c r="FM10" s="19">
        <v>2.8000000000000001E-2</v>
      </c>
      <c r="FN10" s="19">
        <v>1626562</v>
      </c>
      <c r="FO10" s="19">
        <v>443</v>
      </c>
      <c r="FP10" s="19">
        <v>0</v>
      </c>
      <c r="FQ10" s="19">
        <v>0</v>
      </c>
      <c r="FR10" s="19">
        <v>15.47775993471787</v>
      </c>
      <c r="FS10" s="19">
        <f>DataTable[[#This Row],[Sens_15]]/AVERAGEIF(DataTable[Strålkälla],DataTable[[#This Row],[Strålkälla]],DataTable[Sens_15])</f>
        <v>1.0007202678012732</v>
      </c>
      <c r="FT10" s="19">
        <v>1263</v>
      </c>
      <c r="FU10" s="19">
        <v>1544</v>
      </c>
      <c r="FV10" s="19">
        <v>0.1</v>
      </c>
      <c r="FW10" s="19">
        <v>4.5999999999999999E-2</v>
      </c>
      <c r="FX10" s="19">
        <v>0.03</v>
      </c>
      <c r="FY10" s="19">
        <v>1462111</v>
      </c>
      <c r="FZ10" s="19">
        <v>443</v>
      </c>
      <c r="GA10" s="19">
        <v>0</v>
      </c>
      <c r="GB10" s="19">
        <v>0</v>
      </c>
      <c r="GC10" s="19">
        <v>13.91290529098201</v>
      </c>
      <c r="GD10" s="19">
        <f>DataTable[[#This Row],[Sens_16]]/AVERAGEIF(DataTable[Strålkälla],DataTable[[#This Row],[Strålkälla]],DataTable[Sens_16])</f>
        <v>0.99630904240450091</v>
      </c>
      <c r="GE10" s="19">
        <v>1246</v>
      </c>
      <c r="GF10" s="19">
        <v>1510</v>
      </c>
      <c r="GG10" s="19">
        <v>9.6000000000000002E-2</v>
      </c>
      <c r="GH10" s="19">
        <v>4.7E-2</v>
      </c>
      <c r="GI10" s="19">
        <v>2.9000000000000001E-2</v>
      </c>
      <c r="GJ10" s="19">
        <v>1407009</v>
      </c>
      <c r="GK10" s="19">
        <v>443</v>
      </c>
      <c r="GL10" s="19">
        <v>0</v>
      </c>
      <c r="GM10" s="19">
        <v>0</v>
      </c>
      <c r="GN10" s="19">
        <v>13.388575122244006</v>
      </c>
      <c r="GO10" s="19">
        <f>DataTable[[#This Row],[Sens_17]]/AVERAGEIF(DataTable[Strålkälla],DataTable[[#This Row],[Strålkälla]],DataTable[Sens_17])</f>
        <v>0.99589157769339898</v>
      </c>
      <c r="GP10" s="19">
        <v>1475</v>
      </c>
      <c r="GQ10" s="19">
        <v>1745</v>
      </c>
      <c r="GR10" s="19">
        <v>8.4000000000000005E-2</v>
      </c>
      <c r="GS10" s="19">
        <v>0.04</v>
      </c>
      <c r="GT10" s="19">
        <v>2.7E-2</v>
      </c>
      <c r="GU10" s="19">
        <v>1632302</v>
      </c>
      <c r="GV10" s="19">
        <v>443</v>
      </c>
      <c r="GW10" s="19">
        <v>0</v>
      </c>
      <c r="GX10" s="19">
        <v>0</v>
      </c>
      <c r="GY10" s="19">
        <v>15.53237964305071</v>
      </c>
      <c r="GZ10" s="19">
        <f>DataTable[[#This Row],[Sens_18]]/AVERAGEIF(DataTable[Strålkälla],DataTable[[#This Row],[Strålkälla]],DataTable[Sens_18])</f>
        <v>0.99836281765316559</v>
      </c>
      <c r="HA10" s="19">
        <v>1303</v>
      </c>
      <c r="HB10" s="19">
        <v>1592</v>
      </c>
      <c r="HC10" s="19">
        <v>0.1</v>
      </c>
      <c r="HD10" s="19">
        <v>5.5E-2</v>
      </c>
      <c r="HE10" s="19">
        <v>0.03</v>
      </c>
      <c r="HF10" s="19">
        <v>1483360</v>
      </c>
      <c r="HG10" s="19">
        <v>443</v>
      </c>
      <c r="HH10" s="19">
        <v>0</v>
      </c>
      <c r="HI10" s="19">
        <v>0</v>
      </c>
      <c r="HJ10" s="19">
        <v>14.11510288372844</v>
      </c>
      <c r="HK10" s="19">
        <f>DataTable[[#This Row],[Sens_19]]/AVERAGEIF(DataTable[Strålkälla],DataTable[[#This Row],[Strålkälla]],DataTable[Sens_19])</f>
        <v>0.99609984404524932</v>
      </c>
      <c r="HL10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0.128</v>
      </c>
      <c r="HM10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9.5789473684210549E-2</v>
      </c>
      <c r="HN10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5.5E-2</v>
      </c>
      <c r="HO10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4.4052631578947378E-2</v>
      </c>
      <c r="HP10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0.99589157769339898</v>
      </c>
      <c r="HQ10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0.9986641715518525</v>
      </c>
      <c r="HR10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1.0007202678012732</v>
      </c>
      <c r="HS10" s="49"/>
    </row>
    <row r="11" spans="2:227" x14ac:dyDescent="0.25">
      <c r="B11" s="19" t="s">
        <v>43</v>
      </c>
      <c r="C11" s="20">
        <v>42394</v>
      </c>
      <c r="D11" s="21">
        <v>0.31319444444444444</v>
      </c>
      <c r="E11" s="13" t="s">
        <v>217</v>
      </c>
      <c r="F11" s="13">
        <v>109.8</v>
      </c>
      <c r="G11" s="13">
        <v>134.19999999999999</v>
      </c>
      <c r="H11" s="24">
        <v>21.511500000000002</v>
      </c>
      <c r="I11" s="22">
        <f>MATCH(DataTable[[#This Row],[Datum]],Övrigt!$D$10:$M$10,1)</f>
        <v>1</v>
      </c>
      <c r="J11" s="13"/>
      <c r="K11" s="22">
        <v>1848</v>
      </c>
      <c r="L11" s="22">
        <v>2223</v>
      </c>
      <c r="M11" s="23">
        <v>9.1999999999999998E-2</v>
      </c>
      <c r="N11" s="23">
        <v>0.05</v>
      </c>
      <c r="O11" s="23">
        <v>2.5999999999999999E-2</v>
      </c>
      <c r="P11" s="22">
        <v>2072425</v>
      </c>
      <c r="Q11" s="24">
        <v>427</v>
      </c>
      <c r="R11" s="22">
        <v>0</v>
      </c>
      <c r="S11" s="22">
        <v>0</v>
      </c>
      <c r="T11" s="19">
        <v>20.669182764274346</v>
      </c>
      <c r="U11" s="23">
        <f>DataTable[[#This Row],[Sens_1]]/AVERAGEIF(DataTable[Strålkälla],DataTable[[#This Row],[Strålkälla]],DataTable[Sens_1])</f>
        <v>0.99831897504911093</v>
      </c>
      <c r="V11" s="22">
        <v>2142</v>
      </c>
      <c r="W11" s="22">
        <v>2599</v>
      </c>
      <c r="X11" s="23">
        <v>9.6000000000000002E-2</v>
      </c>
      <c r="Y11" s="23">
        <v>4.8000000000000001E-2</v>
      </c>
      <c r="Z11" s="23">
        <v>2.5000000000000001E-2</v>
      </c>
      <c r="AA11" s="22">
        <v>2452595</v>
      </c>
      <c r="AB11" s="24">
        <v>427</v>
      </c>
      <c r="AC11" s="22">
        <v>1</v>
      </c>
      <c r="AD11" s="22">
        <v>0</v>
      </c>
      <c r="AE11" s="19">
        <v>24.460781114754667</v>
      </c>
      <c r="AF11" s="23">
        <f>DataTable[[#This Row],[Sens_2]]/AVERAGEIF(DataTable[Strålkälla],DataTable[[#This Row],[Strålkälla]],DataTable[Sens_2])</f>
        <v>1.0010567250525313</v>
      </c>
      <c r="AG11" s="22">
        <v>1911</v>
      </c>
      <c r="AH11" s="22">
        <v>2344</v>
      </c>
      <c r="AI11" s="23">
        <v>0.10199999999999999</v>
      </c>
      <c r="AJ11" s="23">
        <v>3.5999999999999997E-2</v>
      </c>
      <c r="AK11" s="23">
        <v>2.5000000000000001E-2</v>
      </c>
      <c r="AL11" s="22">
        <v>2171254</v>
      </c>
      <c r="AM11" s="24">
        <v>427</v>
      </c>
      <c r="AN11" s="22">
        <v>0</v>
      </c>
      <c r="AO11" s="22">
        <v>1</v>
      </c>
      <c r="AP11" s="19">
        <v>21.654846739284523</v>
      </c>
      <c r="AQ11" s="23">
        <f>DataTable[[#This Row],[Sens_3]]/AVERAGEIF(DataTable[Strålkälla],DataTable[[#This Row],[Strålkälla]],DataTable[Sens_3])</f>
        <v>1.0008689161457371</v>
      </c>
      <c r="AR11" s="22">
        <v>1849</v>
      </c>
      <c r="AS11" s="22">
        <v>2244</v>
      </c>
      <c r="AT11" s="23">
        <v>9.7000000000000003E-2</v>
      </c>
      <c r="AU11" s="23">
        <v>3.7999999999999999E-2</v>
      </c>
      <c r="AV11" s="23">
        <v>2.5999999999999999E-2</v>
      </c>
      <c r="AW11" s="22">
        <v>2065114</v>
      </c>
      <c r="AX11" s="24">
        <v>427</v>
      </c>
      <c r="AY11" s="22">
        <v>0</v>
      </c>
      <c r="AZ11" s="22">
        <v>1</v>
      </c>
      <c r="BA11" s="19">
        <v>20.596267027787086</v>
      </c>
      <c r="BB11" s="23">
        <f>DataTable[[#This Row],[Sens_4]]/AVERAGEIF(DataTable[Strålkälla],DataTable[[#This Row],[Strålkälla]],DataTable[Sens_4])</f>
        <v>1.0002090902645222</v>
      </c>
      <c r="BC11" s="22">
        <v>2067</v>
      </c>
      <c r="BD11" s="22">
        <v>2443</v>
      </c>
      <c r="BE11" s="19">
        <v>8.3000000000000004E-2</v>
      </c>
      <c r="BF11" s="19">
        <v>3.5999999999999997E-2</v>
      </c>
      <c r="BG11" s="19">
        <v>2.4E-2</v>
      </c>
      <c r="BH11" s="19">
        <v>2307023</v>
      </c>
      <c r="BI11" s="19">
        <v>427</v>
      </c>
      <c r="BJ11" s="19">
        <v>0</v>
      </c>
      <c r="BK11" s="19">
        <v>0</v>
      </c>
      <c r="BL11" s="19">
        <v>23.008929166741616</v>
      </c>
      <c r="BM11" s="23">
        <f>DataTable[[#This Row],[Sens_5]]/AVERAGEIF(DataTable[Strålkälla],DataTable[[#This Row],[Strålkälla]],DataTable[Sens_5])</f>
        <v>0.99924957412838844</v>
      </c>
      <c r="BN11" s="19">
        <v>2019</v>
      </c>
      <c r="BO11" s="19">
        <v>2436</v>
      </c>
      <c r="BP11" s="19">
        <v>9.4E-2</v>
      </c>
      <c r="BQ11" s="19">
        <v>3.3000000000000002E-2</v>
      </c>
      <c r="BR11" s="19">
        <v>2.4E-2</v>
      </c>
      <c r="BS11" s="19">
        <v>2302215</v>
      </c>
      <c r="BT11" s="19">
        <v>427</v>
      </c>
      <c r="BU11" s="19">
        <v>1</v>
      </c>
      <c r="BV11" s="19">
        <v>0</v>
      </c>
      <c r="BW11" s="19">
        <v>22.960976922037645</v>
      </c>
      <c r="BX11" s="23">
        <f>DataTable[[#This Row],[Sens_6]]/AVERAGEIF(DataTable[Strålkälla],DataTable[[#This Row],[Strålkälla]],DataTable[Sens_6])</f>
        <v>1.0004134668178086</v>
      </c>
      <c r="BY11" s="19">
        <v>1812</v>
      </c>
      <c r="BZ11" s="19">
        <v>2277</v>
      </c>
      <c r="CA11" s="19">
        <v>0.114</v>
      </c>
      <c r="CB11" s="19">
        <v>3.6999999999999998E-2</v>
      </c>
      <c r="CC11" s="19">
        <v>2.5999999999999999E-2</v>
      </c>
      <c r="CD11" s="19">
        <v>2103478</v>
      </c>
      <c r="CE11" s="19">
        <v>427</v>
      </c>
      <c r="CF11" s="19">
        <v>1</v>
      </c>
      <c r="CG11" s="19">
        <v>1</v>
      </c>
      <c r="CH11" s="19">
        <v>20.97888764255897</v>
      </c>
      <c r="CI11" s="23">
        <f>DataTable[[#This Row],[Sens_7]]/AVERAGEIF(DataTable[Strålkälla],DataTable[[#This Row],[Strålkälla]],DataTable[Sens_7])</f>
        <v>0.99814691221206064</v>
      </c>
      <c r="CJ11" s="19">
        <v>2143</v>
      </c>
      <c r="CK11" s="19">
        <v>2611</v>
      </c>
      <c r="CL11" s="19">
        <v>9.8000000000000004E-2</v>
      </c>
      <c r="CM11" s="19">
        <v>0.04</v>
      </c>
      <c r="CN11" s="19">
        <v>2.5000000000000001E-2</v>
      </c>
      <c r="CO11" s="19">
        <v>2452447</v>
      </c>
      <c r="CP11" s="19">
        <v>427</v>
      </c>
      <c r="CQ11" s="19">
        <v>1</v>
      </c>
      <c r="CR11" s="19">
        <v>0</v>
      </c>
      <c r="CS11" s="19">
        <v>24.459305047322015</v>
      </c>
      <c r="CT11" s="23">
        <f>DataTable[[#This Row],[Sens_8]]/AVERAGEIF(DataTable[Strålkälla],DataTable[[#This Row],[Strålkälla]],DataTable[Sens_8])</f>
        <v>1.0025172420102504</v>
      </c>
      <c r="CU11" s="19">
        <v>1755</v>
      </c>
      <c r="CV11" s="19">
        <v>2085</v>
      </c>
      <c r="CW11" s="19">
        <v>8.5999999999999993E-2</v>
      </c>
      <c r="CX11" s="19">
        <v>4.2000000000000003E-2</v>
      </c>
      <c r="CY11" s="19">
        <v>2.5999999999999999E-2</v>
      </c>
      <c r="CZ11" s="19">
        <v>1970872</v>
      </c>
      <c r="DA11" s="19">
        <v>416</v>
      </c>
      <c r="DB11" s="19">
        <v>0</v>
      </c>
      <c r="DC11" s="19">
        <v>0</v>
      </c>
      <c r="DD11" s="19">
        <v>20.176110455499362</v>
      </c>
      <c r="DE11" s="23">
        <f>DataTable[[#This Row],[Sens_9]]/AVERAGEIF(DataTable[Strålkälla],DataTable[[#This Row],[Strålkälla]],DataTable[Sens_9])</f>
        <v>0.99971646142034609</v>
      </c>
      <c r="DF11" s="19">
        <v>1652</v>
      </c>
      <c r="DG11" s="19">
        <v>2097</v>
      </c>
      <c r="DH11" s="19">
        <v>0.11899999999999999</v>
      </c>
      <c r="DI11" s="19">
        <v>4.9000000000000002E-2</v>
      </c>
      <c r="DJ11" s="19">
        <v>2.7E-2</v>
      </c>
      <c r="DK11" s="19">
        <v>1905074</v>
      </c>
      <c r="DL11" s="19">
        <v>416</v>
      </c>
      <c r="DM11" s="19">
        <v>1</v>
      </c>
      <c r="DN11" s="19">
        <v>1</v>
      </c>
      <c r="DO11" s="19">
        <v>19.502526521204821</v>
      </c>
      <c r="DP11" s="23">
        <f>DataTable[[#This Row],[Sens_10]]/AVERAGEIF(DataTable[Strålkälla],DataTable[[#This Row],[Strålkälla]],DataTable[Sens_10])</f>
        <v>0.99960667149378302</v>
      </c>
      <c r="DQ11" s="19">
        <v>1440</v>
      </c>
      <c r="DR11" s="19">
        <v>1796</v>
      </c>
      <c r="DS11" s="19">
        <v>0.11</v>
      </c>
      <c r="DT11" s="19">
        <v>3.6999999999999998E-2</v>
      </c>
      <c r="DU11" s="19">
        <v>2.8000000000000001E-2</v>
      </c>
      <c r="DV11" s="19">
        <v>1680052</v>
      </c>
      <c r="DW11" s="19">
        <v>416</v>
      </c>
      <c r="DX11" s="19">
        <v>1</v>
      </c>
      <c r="DY11" s="19">
        <v>0</v>
      </c>
      <c r="DZ11" s="19">
        <v>17.198942763904817</v>
      </c>
      <c r="EA11" s="23">
        <f>DataTable[[#This Row],[Sens_11]]/AVERAGEIF(DataTable[Strålkälla],DataTable[[#This Row],[Strålkälla]],DataTable[Sens_11])</f>
        <v>1.0016862920804668</v>
      </c>
      <c r="EB11" s="19">
        <v>1771</v>
      </c>
      <c r="EC11" s="19">
        <v>2146</v>
      </c>
      <c r="ED11" s="19">
        <v>9.6000000000000002E-2</v>
      </c>
      <c r="EE11" s="19">
        <v>3.7999999999999999E-2</v>
      </c>
      <c r="EF11" s="19">
        <v>2.7E-2</v>
      </c>
      <c r="EG11" s="19">
        <v>1994476</v>
      </c>
      <c r="EH11" s="19">
        <v>416</v>
      </c>
      <c r="EI11" s="19">
        <v>0</v>
      </c>
      <c r="EJ11" s="19">
        <v>0</v>
      </c>
      <c r="EK11" s="19">
        <v>20.417748122071117</v>
      </c>
      <c r="EL11" s="23">
        <f>DataTable[[#This Row],[Sens_12]]/AVERAGEIF(DataTable[Strålkälla],DataTable[[#This Row],[Strålkälla]],DataTable[Sens_12])</f>
        <v>0.99757522299535584</v>
      </c>
      <c r="EM11" s="19">
        <v>1517</v>
      </c>
      <c r="EN11" s="19">
        <v>1836</v>
      </c>
      <c r="EO11" s="19">
        <v>9.5000000000000001E-2</v>
      </c>
      <c r="EP11" s="19">
        <v>4.3999999999999997E-2</v>
      </c>
      <c r="EQ11" s="19">
        <v>2.8000000000000001E-2</v>
      </c>
      <c r="ER11" s="19">
        <v>1703490</v>
      </c>
      <c r="ES11" s="19">
        <v>447</v>
      </c>
      <c r="ET11" s="19">
        <v>0</v>
      </c>
      <c r="EU11" s="19">
        <v>0</v>
      </c>
      <c r="EV11" s="19">
        <v>16.229473204725505</v>
      </c>
      <c r="EW11" s="19">
        <f>DataTable[[#This Row],[Sens_13]]/AVERAGEIF(DataTable[Strålkälla],DataTable[[#This Row],[Strålkälla]],DataTable[Sens_13])</f>
        <v>0.99976031871761839</v>
      </c>
      <c r="EX11" s="19">
        <v>1241</v>
      </c>
      <c r="EY11" s="19">
        <v>1607</v>
      </c>
      <c r="EZ11" s="19">
        <v>0.129</v>
      </c>
      <c r="FA11" s="19">
        <v>4.7E-2</v>
      </c>
      <c r="FB11" s="19">
        <v>3.1E-2</v>
      </c>
      <c r="FC11" s="19">
        <v>1451898</v>
      </c>
      <c r="FD11" s="19">
        <v>447</v>
      </c>
      <c r="FE11" s="19">
        <v>1</v>
      </c>
      <c r="FF11" s="19">
        <v>1</v>
      </c>
      <c r="FG11" s="19">
        <v>13.832508372220881</v>
      </c>
      <c r="FH11" s="19">
        <f>DataTable[[#This Row],[Sens_14]]/AVERAGEIF(DataTable[Strålkälla],DataTable[[#This Row],[Strålkälla]],DataTable[Sens_14])</f>
        <v>0.99852404608583467</v>
      </c>
      <c r="FI11" s="19">
        <v>1463</v>
      </c>
      <c r="FJ11" s="19">
        <v>1732</v>
      </c>
      <c r="FK11" s="19">
        <v>8.4000000000000005E-2</v>
      </c>
      <c r="FL11" s="19">
        <v>4.9000000000000002E-2</v>
      </c>
      <c r="FM11" s="19">
        <v>2.7E-2</v>
      </c>
      <c r="FN11" s="19">
        <v>1624237</v>
      </c>
      <c r="FO11" s="19">
        <v>447</v>
      </c>
      <c r="FP11" s="19">
        <v>0</v>
      </c>
      <c r="FQ11" s="19">
        <v>0</v>
      </c>
      <c r="FR11" s="19">
        <v>15.474414801157469</v>
      </c>
      <c r="FS11" s="19">
        <f>DataTable[[#This Row],[Sens_15]]/AVERAGEIF(DataTable[Strålkälla],DataTable[[#This Row],[Strålkälla]],DataTable[Sens_15])</f>
        <v>1.0005039869591801</v>
      </c>
      <c r="FT11" s="19">
        <v>1276</v>
      </c>
      <c r="FU11" s="19">
        <v>1563</v>
      </c>
      <c r="FV11" s="19">
        <v>0.10100000000000001</v>
      </c>
      <c r="FW11" s="19">
        <v>4.4999999999999998E-2</v>
      </c>
      <c r="FX11" s="19">
        <v>0.03</v>
      </c>
      <c r="FY11" s="19">
        <v>1463551</v>
      </c>
      <c r="FZ11" s="19">
        <v>447</v>
      </c>
      <c r="GA11" s="19">
        <v>0</v>
      </c>
      <c r="GB11" s="19">
        <v>0</v>
      </c>
      <c r="GC11" s="19">
        <v>13.943528719422606</v>
      </c>
      <c r="GD11" s="19">
        <f>DataTable[[#This Row],[Sens_16]]/AVERAGEIF(DataTable[Strålkälla],DataTable[[#This Row],[Strålkälla]],DataTable[Sens_16])</f>
        <v>0.99850199908944071</v>
      </c>
      <c r="GE11" s="19">
        <v>1226</v>
      </c>
      <c r="GF11" s="19">
        <v>1553</v>
      </c>
      <c r="GG11" s="19">
        <v>0.11799999999999999</v>
      </c>
      <c r="GH11" s="19">
        <v>4.4999999999999998E-2</v>
      </c>
      <c r="GI11" s="19">
        <v>3.1E-2</v>
      </c>
      <c r="GJ11" s="19">
        <v>1409373</v>
      </c>
      <c r="GK11" s="19">
        <v>447</v>
      </c>
      <c r="GL11" s="19">
        <v>0</v>
      </c>
      <c r="GM11" s="19">
        <v>1</v>
      </c>
      <c r="GN11" s="19">
        <v>13.427364609691631</v>
      </c>
      <c r="GO11" s="19">
        <f>DataTable[[#This Row],[Sens_17]]/AVERAGEIF(DataTable[Strålkälla],DataTable[[#This Row],[Strålkälla]],DataTable[Sens_17])</f>
        <v>0.99877688277623433</v>
      </c>
      <c r="GP11" s="19">
        <v>1446</v>
      </c>
      <c r="GQ11" s="19">
        <v>1751</v>
      </c>
      <c r="GR11" s="19">
        <v>9.5000000000000001E-2</v>
      </c>
      <c r="GS11" s="19">
        <v>4.3999999999999997E-2</v>
      </c>
      <c r="GT11" s="19">
        <v>2.9000000000000001E-2</v>
      </c>
      <c r="GU11" s="19">
        <v>1633029</v>
      </c>
      <c r="GV11" s="19">
        <v>447</v>
      </c>
      <c r="GW11" s="19">
        <v>0</v>
      </c>
      <c r="GX11" s="19">
        <v>0</v>
      </c>
      <c r="GY11" s="19">
        <v>15.558177857245822</v>
      </c>
      <c r="GZ11" s="19">
        <f>DataTable[[#This Row],[Sens_18]]/AVERAGEIF(DataTable[Strålkälla],DataTable[[#This Row],[Strålkälla]],DataTable[Sens_18])</f>
        <v>1.0000210296210772</v>
      </c>
      <c r="HA11" s="19">
        <v>1318</v>
      </c>
      <c r="HB11" s="19">
        <v>1607</v>
      </c>
      <c r="HC11" s="19">
        <v>9.9000000000000005E-2</v>
      </c>
      <c r="HD11" s="19">
        <v>5.6000000000000001E-2</v>
      </c>
      <c r="HE11" s="19">
        <v>0.03</v>
      </c>
      <c r="HF11" s="19">
        <v>1482330</v>
      </c>
      <c r="HG11" s="19">
        <v>447</v>
      </c>
      <c r="HH11" s="19">
        <v>0</v>
      </c>
      <c r="HI11" s="19">
        <v>0</v>
      </c>
      <c r="HJ11" s="19">
        <v>14.122439823867914</v>
      </c>
      <c r="HK11" s="19">
        <f>DataTable[[#This Row],[Sens_19]]/AVERAGEIF(DataTable[Strålkälla],DataTable[[#This Row],[Strålkälla]],DataTable[Sens_19])</f>
        <v>0.99661761036894536</v>
      </c>
      <c r="HL11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0.129</v>
      </c>
      <c r="HM11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0.10042105263157894</v>
      </c>
      <c r="HN11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5.6000000000000001E-2</v>
      </c>
      <c r="HO11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4.2842105263157904E-2</v>
      </c>
      <c r="HP11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0.99661761036894536</v>
      </c>
      <c r="HQ11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0.9995827064888787</v>
      </c>
      <c r="HR11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1.0025172420102504</v>
      </c>
      <c r="HS11" s="49"/>
    </row>
    <row r="12" spans="2:227" x14ac:dyDescent="0.25">
      <c r="B12" s="19" t="s">
        <v>43</v>
      </c>
      <c r="C12" s="20">
        <v>42396</v>
      </c>
      <c r="D12" s="21">
        <v>0.3208449074074074</v>
      </c>
      <c r="E12" s="13" t="s">
        <v>217</v>
      </c>
      <c r="F12" s="13">
        <v>109.8</v>
      </c>
      <c r="G12" s="13">
        <v>134.19999999999999</v>
      </c>
      <c r="H12" s="24">
        <v>21.614999999999998</v>
      </c>
      <c r="I12" s="22">
        <f>MATCH(DataTable[[#This Row],[Datum]],Övrigt!$D$10:$M$10,1)</f>
        <v>1</v>
      </c>
      <c r="J12" s="13"/>
      <c r="K12" s="22">
        <v>1787</v>
      </c>
      <c r="L12" s="22">
        <v>2226</v>
      </c>
      <c r="M12" s="23">
        <v>0.109</v>
      </c>
      <c r="N12" s="23">
        <v>4.4999999999999998E-2</v>
      </c>
      <c r="O12" s="23">
        <v>2.7E-2</v>
      </c>
      <c r="P12" s="22">
        <v>2075280</v>
      </c>
      <c r="Q12" s="24">
        <v>429</v>
      </c>
      <c r="R12" s="22">
        <v>1</v>
      </c>
      <c r="S12" s="22">
        <v>0</v>
      </c>
      <c r="T12" s="19">
        <v>20.706530673621359</v>
      </c>
      <c r="U12" s="23">
        <f>DataTable[[#This Row],[Sens_1]]/AVERAGEIF(DataTable[Strålkälla],DataTable[[#This Row],[Strålkälla]],DataTable[Sens_1])</f>
        <v>1.0001228744584278</v>
      </c>
      <c r="V12" s="22">
        <v>2124</v>
      </c>
      <c r="W12" s="22">
        <v>2663</v>
      </c>
      <c r="X12" s="23">
        <v>0.113</v>
      </c>
      <c r="Y12" s="23">
        <v>4.9000000000000002E-2</v>
      </c>
      <c r="Z12" s="23">
        <v>2.5000000000000001E-2</v>
      </c>
      <c r="AA12" s="22">
        <v>2453244</v>
      </c>
      <c r="AB12" s="24">
        <v>429</v>
      </c>
      <c r="AC12" s="22">
        <v>1</v>
      </c>
      <c r="AD12" s="22">
        <v>1</v>
      </c>
      <c r="AE12" s="19">
        <v>24.477743791622125</v>
      </c>
      <c r="AF12" s="23">
        <f>DataTable[[#This Row],[Sens_2]]/AVERAGEIF(DataTable[Strålkälla],DataTable[[#This Row],[Strålkälla]],DataTable[Sens_2])</f>
        <v>1.0017509220887337</v>
      </c>
      <c r="AG12" s="22">
        <v>1923</v>
      </c>
      <c r="AH12" s="22">
        <v>2291</v>
      </c>
      <c r="AI12" s="23">
        <v>8.6999999999999994E-2</v>
      </c>
      <c r="AJ12" s="23">
        <v>3.4000000000000002E-2</v>
      </c>
      <c r="AK12" s="23">
        <v>2.5000000000000001E-2</v>
      </c>
      <c r="AL12" s="22">
        <v>2168997</v>
      </c>
      <c r="AM12" s="24">
        <v>429</v>
      </c>
      <c r="AN12" s="22">
        <v>0</v>
      </c>
      <c r="AO12" s="22">
        <v>0</v>
      </c>
      <c r="AP12" s="19">
        <v>21.641611209809138</v>
      </c>
      <c r="AQ12" s="23">
        <f>DataTable[[#This Row],[Sens_3]]/AVERAGEIF(DataTable[Strålkälla],DataTable[[#This Row],[Strålkälla]],DataTable[Sens_3])</f>
        <v>1.0002571810362657</v>
      </c>
      <c r="AR12" s="22">
        <v>1833</v>
      </c>
      <c r="AS12" s="22">
        <v>2242</v>
      </c>
      <c r="AT12" s="23">
        <v>0.1</v>
      </c>
      <c r="AU12" s="23">
        <v>4.1000000000000002E-2</v>
      </c>
      <c r="AV12" s="23">
        <v>2.5999999999999999E-2</v>
      </c>
      <c r="AW12" s="22">
        <v>2066477</v>
      </c>
      <c r="AX12" s="24">
        <v>429</v>
      </c>
      <c r="AY12" s="22">
        <v>0</v>
      </c>
      <c r="AZ12" s="22">
        <v>2</v>
      </c>
      <c r="BA12" s="19">
        <v>20.618696940573344</v>
      </c>
      <c r="BB12" s="23">
        <f>DataTable[[#This Row],[Sens_4]]/AVERAGEIF(DataTable[Strålkälla],DataTable[[#This Row],[Strålkälla]],DataTable[Sens_4])</f>
        <v>1.0012983460326859</v>
      </c>
      <c r="BC12" s="22">
        <v>2079</v>
      </c>
      <c r="BD12" s="22">
        <v>2420</v>
      </c>
      <c r="BE12" s="19">
        <v>7.5999999999999998E-2</v>
      </c>
      <c r="BF12" s="19">
        <v>4.2000000000000003E-2</v>
      </c>
      <c r="BG12" s="19">
        <v>2.3E-2</v>
      </c>
      <c r="BH12" s="19">
        <v>2307952</v>
      </c>
      <c r="BI12" s="19">
        <v>429</v>
      </c>
      <c r="BJ12" s="19">
        <v>0</v>
      </c>
      <c r="BK12" s="19">
        <v>0</v>
      </c>
      <c r="BL12" s="19">
        <v>23.028063143886978</v>
      </c>
      <c r="BM12" s="23">
        <f>DataTable[[#This Row],[Sens_5]]/AVERAGEIF(DataTable[Strålkälla],DataTable[[#This Row],[Strålkälla]],DataTable[Sens_5])</f>
        <v>1.0000805392887107</v>
      </c>
      <c r="BN12" s="19">
        <v>2058</v>
      </c>
      <c r="BO12" s="19">
        <v>2433</v>
      </c>
      <c r="BP12" s="19">
        <v>8.4000000000000005E-2</v>
      </c>
      <c r="BQ12" s="19">
        <v>3.6999999999999998E-2</v>
      </c>
      <c r="BR12" s="19">
        <v>2.5000000000000001E-2</v>
      </c>
      <c r="BS12" s="19">
        <v>2298378</v>
      </c>
      <c r="BT12" s="19">
        <v>429</v>
      </c>
      <c r="BU12" s="19">
        <v>0</v>
      </c>
      <c r="BV12" s="19">
        <v>0</v>
      </c>
      <c r="BW12" s="19">
        <v>22.932536600640162</v>
      </c>
      <c r="BX12" s="23">
        <f>DataTable[[#This Row],[Sens_6]]/AVERAGEIF(DataTable[Strålkälla],DataTable[[#This Row],[Strålkälla]],DataTable[Sens_6])</f>
        <v>0.99917431742868312</v>
      </c>
      <c r="BY12" s="19">
        <v>1795</v>
      </c>
      <c r="BZ12" s="19">
        <v>2214</v>
      </c>
      <c r="CA12" s="19">
        <v>0.105</v>
      </c>
      <c r="CB12" s="19">
        <v>5.1999999999999998E-2</v>
      </c>
      <c r="CC12" s="19">
        <v>2.5999999999999999E-2</v>
      </c>
      <c r="CD12" s="19">
        <v>2105006</v>
      </c>
      <c r="CE12" s="19">
        <v>429</v>
      </c>
      <c r="CF12" s="19">
        <v>2</v>
      </c>
      <c r="CG12" s="19">
        <v>0</v>
      </c>
      <c r="CH12" s="19">
        <v>21.003127918717958</v>
      </c>
      <c r="CI12" s="23">
        <f>DataTable[[#This Row],[Sens_7]]/AVERAGEIF(DataTable[Strålkälla],DataTable[[#This Row],[Strålkälla]],DataTable[Sens_7])</f>
        <v>0.9993002315496492</v>
      </c>
      <c r="CJ12" s="19">
        <v>2205</v>
      </c>
      <c r="CK12" s="19">
        <v>2586</v>
      </c>
      <c r="CL12" s="19">
        <v>0.08</v>
      </c>
      <c r="CM12" s="19">
        <v>3.3000000000000002E-2</v>
      </c>
      <c r="CN12" s="19">
        <v>2.4E-2</v>
      </c>
      <c r="CO12" s="19">
        <v>2450709</v>
      </c>
      <c r="CP12" s="19">
        <v>429</v>
      </c>
      <c r="CQ12" s="19">
        <v>0</v>
      </c>
      <c r="CR12" s="19">
        <v>0</v>
      </c>
      <c r="CS12" s="19">
        <v>24.452450310618293</v>
      </c>
      <c r="CT12" s="23">
        <f>DataTable[[#This Row],[Sens_8]]/AVERAGEIF(DataTable[Strålkälla],DataTable[[#This Row],[Strålkälla]],DataTable[Sens_8])</f>
        <v>1.002236285878356</v>
      </c>
      <c r="CU12" s="19">
        <v>1735</v>
      </c>
      <c r="CV12" s="19">
        <v>2106</v>
      </c>
      <c r="CW12" s="19">
        <v>9.7000000000000003E-2</v>
      </c>
      <c r="CX12" s="19">
        <v>4.9000000000000002E-2</v>
      </c>
      <c r="CY12" s="19">
        <v>2.8000000000000001E-2</v>
      </c>
      <c r="CZ12" s="19">
        <v>1967860</v>
      </c>
      <c r="DA12" s="19">
        <v>418</v>
      </c>
      <c r="DB12" s="19">
        <v>0</v>
      </c>
      <c r="DC12" s="19">
        <v>0</v>
      </c>
      <c r="DD12" s="19">
        <v>20.151428958784873</v>
      </c>
      <c r="DE12" s="23">
        <f>DataTable[[#This Row],[Sens_9]]/AVERAGEIF(DataTable[Strålkälla],DataTable[[#This Row],[Strålkälla]],DataTable[Sens_9])</f>
        <v>0.99849350526076375</v>
      </c>
      <c r="DF12" s="19">
        <v>1703</v>
      </c>
      <c r="DG12" s="19">
        <v>2063</v>
      </c>
      <c r="DH12" s="19">
        <v>9.6000000000000002E-2</v>
      </c>
      <c r="DI12" s="19">
        <v>4.4999999999999998E-2</v>
      </c>
      <c r="DJ12" s="19">
        <v>2.5999999999999999E-2</v>
      </c>
      <c r="DK12" s="19">
        <v>1906912</v>
      </c>
      <c r="DL12" s="19">
        <v>418</v>
      </c>
      <c r="DM12" s="19">
        <v>0</v>
      </c>
      <c r="DN12" s="19">
        <v>1</v>
      </c>
      <c r="DO12" s="19">
        <v>19.527304634808562</v>
      </c>
      <c r="DP12" s="23">
        <f>DataTable[[#This Row],[Sens_10]]/AVERAGEIF(DataTable[Strålkälla],DataTable[[#This Row],[Strålkälla]],DataTable[Sens_10])</f>
        <v>1.0008766796457218</v>
      </c>
      <c r="DQ12" s="19">
        <v>1497</v>
      </c>
      <c r="DR12" s="19">
        <v>1804</v>
      </c>
      <c r="DS12" s="19">
        <v>9.2999999999999999E-2</v>
      </c>
      <c r="DT12" s="19">
        <v>4.1000000000000002E-2</v>
      </c>
      <c r="DU12" s="19">
        <v>2.8000000000000001E-2</v>
      </c>
      <c r="DV12" s="19">
        <v>1677657</v>
      </c>
      <c r="DW12" s="19">
        <v>418</v>
      </c>
      <c r="DX12" s="19">
        <v>0</v>
      </c>
      <c r="DY12" s="19">
        <v>0</v>
      </c>
      <c r="DZ12" s="19">
        <v>17.179670226900367</v>
      </c>
      <c r="EA12" s="23">
        <f>DataTable[[#This Row],[Sens_11]]/AVERAGEIF(DataTable[Strålkälla],DataTable[[#This Row],[Strålkälla]],DataTable[Sens_11])</f>
        <v>1.0005638372647272</v>
      </c>
      <c r="EB12" s="19">
        <v>1711</v>
      </c>
      <c r="EC12" s="19">
        <v>2099</v>
      </c>
      <c r="ED12" s="19">
        <v>0.10199999999999999</v>
      </c>
      <c r="EE12" s="19">
        <v>4.2000000000000003E-2</v>
      </c>
      <c r="EF12" s="19">
        <v>2.7E-2</v>
      </c>
      <c r="EG12" s="19">
        <v>1998012</v>
      </c>
      <c r="EH12" s="19">
        <v>418</v>
      </c>
      <c r="EI12" s="19">
        <v>1</v>
      </c>
      <c r="EJ12" s="19">
        <v>0</v>
      </c>
      <c r="EK12" s="19">
        <v>20.460193751994389</v>
      </c>
      <c r="EL12" s="23">
        <f>DataTable[[#This Row],[Sens_12]]/AVERAGEIF(DataTable[Strålkälla],DataTable[[#This Row],[Strålkälla]],DataTable[Sens_12])</f>
        <v>0.99964904173788971</v>
      </c>
      <c r="EM12" s="19">
        <v>1534</v>
      </c>
      <c r="EN12" s="19">
        <v>1867</v>
      </c>
      <c r="EO12" s="19">
        <v>9.8000000000000004E-2</v>
      </c>
      <c r="EP12" s="19">
        <v>4.2000000000000003E-2</v>
      </c>
      <c r="EQ12" s="19">
        <v>2.8000000000000001E-2</v>
      </c>
      <c r="ER12" s="19">
        <v>1702891</v>
      </c>
      <c r="ES12" s="19">
        <v>449</v>
      </c>
      <c r="ET12" s="19">
        <v>0</v>
      </c>
      <c r="EU12" s="19">
        <v>1</v>
      </c>
      <c r="EV12" s="19">
        <v>16.234108369403469</v>
      </c>
      <c r="EW12" s="19">
        <f>DataTable[[#This Row],[Sens_13]]/AVERAGEIF(DataTable[Strålkälla],DataTable[[#This Row],[Strålkälla]],DataTable[Sens_13])</f>
        <v>1.0000458519359363</v>
      </c>
      <c r="EX12" s="19">
        <v>1289</v>
      </c>
      <c r="EY12" s="19">
        <v>1542</v>
      </c>
      <c r="EZ12" s="19">
        <v>8.8999999999999996E-2</v>
      </c>
      <c r="FA12" s="19">
        <v>4.2999999999999997E-2</v>
      </c>
      <c r="FB12" s="19">
        <v>0.03</v>
      </c>
      <c r="FC12" s="19">
        <v>1450131</v>
      </c>
      <c r="FD12" s="19">
        <v>449</v>
      </c>
      <c r="FE12" s="19">
        <v>0</v>
      </c>
      <c r="FF12" s="19">
        <v>0</v>
      </c>
      <c r="FG12" s="19">
        <v>13.82448072356447</v>
      </c>
      <c r="FH12" s="19">
        <f>DataTable[[#This Row],[Sens_14]]/AVERAGEIF(DataTable[Strålkälla],DataTable[[#This Row],[Strålkälla]],DataTable[Sens_14])</f>
        <v>0.99794455609014798</v>
      </c>
      <c r="FI12" s="19">
        <v>1418</v>
      </c>
      <c r="FJ12" s="19">
        <v>1774</v>
      </c>
      <c r="FK12" s="19">
        <v>0.112</v>
      </c>
      <c r="FL12" s="19">
        <v>4.1000000000000002E-2</v>
      </c>
      <c r="FM12" s="19">
        <v>2.8000000000000001E-2</v>
      </c>
      <c r="FN12" s="19">
        <v>1625709</v>
      </c>
      <c r="FO12" s="19">
        <v>449</v>
      </c>
      <c r="FP12" s="19">
        <v>0</v>
      </c>
      <c r="FQ12" s="19">
        <v>1</v>
      </c>
      <c r="FR12" s="19">
        <v>15.498312037067873</v>
      </c>
      <c r="FS12" s="19">
        <f>DataTable[[#This Row],[Sens_15]]/AVERAGEIF(DataTable[Strålkälla],DataTable[[#This Row],[Strålkälla]],DataTable[Sens_15])</f>
        <v>1.0020490715464094</v>
      </c>
      <c r="FT12" s="19">
        <v>1286</v>
      </c>
      <c r="FU12" s="19">
        <v>1584</v>
      </c>
      <c r="FV12" s="19">
        <v>0.104</v>
      </c>
      <c r="FW12" s="19">
        <v>4.8000000000000001E-2</v>
      </c>
      <c r="FX12" s="19">
        <v>2.8000000000000001E-2</v>
      </c>
      <c r="FY12" s="19">
        <v>1463838</v>
      </c>
      <c r="FZ12" s="19">
        <v>449</v>
      </c>
      <c r="GA12" s="19">
        <v>0</v>
      </c>
      <c r="GB12" s="19">
        <v>0</v>
      </c>
      <c r="GC12" s="19">
        <v>13.955153164383884</v>
      </c>
      <c r="GD12" s="19">
        <f>DataTable[[#This Row],[Sens_16]]/AVERAGEIF(DataTable[Strålkälla],DataTable[[#This Row],[Strålkälla]],DataTable[Sens_16])</f>
        <v>0.99933443051807702</v>
      </c>
      <c r="GE12" s="19">
        <v>1255</v>
      </c>
      <c r="GF12" s="19">
        <v>1581</v>
      </c>
      <c r="GG12" s="19">
        <v>0.115</v>
      </c>
      <c r="GH12" s="19">
        <v>4.2999999999999997E-2</v>
      </c>
      <c r="GI12" s="19">
        <v>0.03</v>
      </c>
      <c r="GJ12" s="19">
        <v>1408955</v>
      </c>
      <c r="GK12" s="19">
        <v>449</v>
      </c>
      <c r="GL12" s="19">
        <v>0</v>
      </c>
      <c r="GM12" s="19">
        <v>1</v>
      </c>
      <c r="GN12" s="19">
        <v>13.431939071621652</v>
      </c>
      <c r="GO12" s="19">
        <f>DataTable[[#This Row],[Sens_17]]/AVERAGEIF(DataTable[Strålkälla],DataTable[[#This Row],[Strålkälla]],DataTable[Sens_17])</f>
        <v>0.99911714811940877</v>
      </c>
      <c r="GP12" s="19">
        <v>1425</v>
      </c>
      <c r="GQ12" s="19">
        <v>1721</v>
      </c>
      <c r="GR12" s="19">
        <v>9.4E-2</v>
      </c>
      <c r="GS12" s="19">
        <v>4.9000000000000002E-2</v>
      </c>
      <c r="GT12" s="19">
        <v>2.9000000000000001E-2</v>
      </c>
      <c r="GU12" s="19">
        <v>1633099</v>
      </c>
      <c r="GV12" s="19">
        <v>449</v>
      </c>
      <c r="GW12" s="19">
        <v>0</v>
      </c>
      <c r="GX12" s="19">
        <v>0</v>
      </c>
      <c r="GY12" s="19">
        <v>15.568762853268023</v>
      </c>
      <c r="GZ12" s="19">
        <f>DataTable[[#This Row],[Sens_18]]/AVERAGEIF(DataTable[Strålkälla],DataTable[[#This Row],[Strålkälla]],DataTable[Sens_18])</f>
        <v>1.000701393267629</v>
      </c>
      <c r="HA12" s="19">
        <v>1291</v>
      </c>
      <c r="HB12" s="19">
        <v>1600</v>
      </c>
      <c r="HC12" s="19">
        <v>0.107</v>
      </c>
      <c r="HD12" s="19">
        <v>4.4999999999999998E-2</v>
      </c>
      <c r="HE12" s="19">
        <v>3.1E-2</v>
      </c>
      <c r="HF12" s="19">
        <v>1483392</v>
      </c>
      <c r="HG12" s="19">
        <v>449</v>
      </c>
      <c r="HH12" s="19">
        <v>0</v>
      </c>
      <c r="HI12" s="19">
        <v>0</v>
      </c>
      <c r="HJ12" s="19">
        <v>14.141566596045285</v>
      </c>
      <c r="HK12" s="19">
        <f>DataTable[[#This Row],[Sens_19]]/AVERAGEIF(DataTable[Strålkälla],DataTable[[#This Row],[Strålkälla]],DataTable[Sens_19])</f>
        <v>0.99796738266178009</v>
      </c>
      <c r="HL12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0.115</v>
      </c>
      <c r="HM12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9.7947368421052658E-2</v>
      </c>
      <c r="HN12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5.1999999999999998E-2</v>
      </c>
      <c r="HO12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4.3210526315789491E-2</v>
      </c>
      <c r="HP12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0.99794455609014798</v>
      </c>
      <c r="HQ12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1.0000507155689475</v>
      </c>
      <c r="HR12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1.002236285878356</v>
      </c>
      <c r="HS12" s="49"/>
    </row>
    <row r="13" spans="2:227" x14ac:dyDescent="0.25">
      <c r="B13" s="19" t="s">
        <v>43</v>
      </c>
      <c r="C13" s="20">
        <v>42397</v>
      </c>
      <c r="D13" s="21">
        <v>0.31942129629629629</v>
      </c>
      <c r="E13" s="13" t="s">
        <v>217</v>
      </c>
      <c r="F13" s="13">
        <v>109.8</v>
      </c>
      <c r="G13" s="13">
        <v>134.19999999999999</v>
      </c>
      <c r="H13" s="24">
        <v>21.5444</v>
      </c>
      <c r="I13" s="22">
        <f>MATCH(DataTable[[#This Row],[Datum]],Övrigt!$D$10:$M$10,1)</f>
        <v>1</v>
      </c>
      <c r="J13" s="13"/>
      <c r="K13" s="22">
        <v>1853</v>
      </c>
      <c r="L13" s="22">
        <v>2253</v>
      </c>
      <c r="M13" s="23">
        <v>9.7000000000000003E-2</v>
      </c>
      <c r="N13" s="23">
        <v>6.4000000000000001E-2</v>
      </c>
      <c r="O13" s="23">
        <v>2.5999999999999999E-2</v>
      </c>
      <c r="P13" s="22">
        <v>2076132</v>
      </c>
      <c r="Q13" s="24">
        <v>431</v>
      </c>
      <c r="R13" s="22">
        <v>0</v>
      </c>
      <c r="S13" s="22">
        <v>1</v>
      </c>
      <c r="T13" s="19">
        <v>20.671567534683962</v>
      </c>
      <c r="U13" s="23">
        <f>DataTable[[#This Row],[Sens_1]]/AVERAGEIF(DataTable[Strålkälla],DataTable[[#This Row],[Strålkälla]],DataTable[Sens_1])</f>
        <v>0.99843415916539691</v>
      </c>
      <c r="V13" s="22">
        <v>2167</v>
      </c>
      <c r="W13" s="22">
        <v>2720</v>
      </c>
      <c r="X13" s="23">
        <v>0.113</v>
      </c>
      <c r="Y13" s="23">
        <v>4.2000000000000003E-2</v>
      </c>
      <c r="Z13" s="23">
        <v>2.5000000000000001E-2</v>
      </c>
      <c r="AA13" s="22">
        <v>2453089</v>
      </c>
      <c r="AB13" s="24">
        <v>431</v>
      </c>
      <c r="AC13" s="22">
        <v>0</v>
      </c>
      <c r="AD13" s="22">
        <v>1</v>
      </c>
      <c r="AE13" s="19">
        <v>24.424841451357789</v>
      </c>
      <c r="AF13" s="23">
        <f>DataTable[[#This Row],[Sens_2]]/AVERAGEIF(DataTable[Strålkälla],DataTable[[#This Row],[Strålkälla]],DataTable[Sens_2])</f>
        <v>0.99958589541831866</v>
      </c>
      <c r="AG13" s="22">
        <v>1909</v>
      </c>
      <c r="AH13" s="22">
        <v>2275</v>
      </c>
      <c r="AI13" s="23">
        <v>8.6999999999999994E-2</v>
      </c>
      <c r="AJ13" s="23">
        <v>3.7999999999999999E-2</v>
      </c>
      <c r="AK13" s="23">
        <v>2.5000000000000001E-2</v>
      </c>
      <c r="AL13" s="22">
        <v>2170950</v>
      </c>
      <c r="AM13" s="24">
        <v>431</v>
      </c>
      <c r="AN13" s="22">
        <v>0</v>
      </c>
      <c r="AO13" s="22">
        <v>0</v>
      </c>
      <c r="AP13" s="19">
        <v>21.615648494133392</v>
      </c>
      <c r="AQ13" s="23">
        <f>DataTable[[#This Row],[Sens_3]]/AVERAGEIF(DataTable[Strålkälla],DataTable[[#This Row],[Strålkälla]],DataTable[Sens_3])</f>
        <v>0.99905720601859704</v>
      </c>
      <c r="AR13" s="22">
        <v>1873</v>
      </c>
      <c r="AS13" s="22">
        <v>2175</v>
      </c>
      <c r="AT13" s="23">
        <v>7.4999999999999997E-2</v>
      </c>
      <c r="AU13" s="23">
        <v>3.6999999999999998E-2</v>
      </c>
      <c r="AV13" s="23">
        <v>2.5000000000000001E-2</v>
      </c>
      <c r="AW13" s="22">
        <v>2066308</v>
      </c>
      <c r="AX13" s="24">
        <v>431</v>
      </c>
      <c r="AY13" s="22">
        <v>0</v>
      </c>
      <c r="AZ13" s="22">
        <v>0</v>
      </c>
      <c r="BA13" s="19">
        <v>20.573752232255824</v>
      </c>
      <c r="BB13" s="23">
        <f>DataTable[[#This Row],[Sens_4]]/AVERAGEIF(DataTable[Strålkälla],DataTable[[#This Row],[Strålkälla]],DataTable[Sens_4])</f>
        <v>0.9991157123662151</v>
      </c>
      <c r="BC13" s="22">
        <v>2017</v>
      </c>
      <c r="BD13" s="22">
        <v>2461</v>
      </c>
      <c r="BE13" s="19">
        <v>9.9000000000000005E-2</v>
      </c>
      <c r="BF13" s="19">
        <v>0.04</v>
      </c>
      <c r="BG13" s="19">
        <v>2.5000000000000001E-2</v>
      </c>
      <c r="BH13" s="19">
        <v>2305872</v>
      </c>
      <c r="BI13" s="19">
        <v>431</v>
      </c>
      <c r="BJ13" s="19">
        <v>1</v>
      </c>
      <c r="BK13" s="19">
        <v>0</v>
      </c>
      <c r="BL13" s="19">
        <v>22.959035732957624</v>
      </c>
      <c r="BM13" s="23">
        <f>DataTable[[#This Row],[Sens_5]]/AVERAGEIF(DataTable[Strålkälla],DataTable[[#This Row],[Strålkälla]],DataTable[Sens_5])</f>
        <v>0.997082763491563</v>
      </c>
      <c r="BN13" s="19">
        <v>2067</v>
      </c>
      <c r="BO13" s="19">
        <v>2414</v>
      </c>
      <c r="BP13" s="19">
        <v>7.6999999999999999E-2</v>
      </c>
      <c r="BQ13" s="19">
        <v>3.3000000000000002E-2</v>
      </c>
      <c r="BR13" s="19">
        <v>2.4E-2</v>
      </c>
      <c r="BS13" s="19">
        <v>2298893</v>
      </c>
      <c r="BT13" s="19">
        <v>431</v>
      </c>
      <c r="BU13" s="19">
        <v>0</v>
      </c>
      <c r="BV13" s="19">
        <v>0</v>
      </c>
      <c r="BW13" s="19">
        <v>22.889547439426885</v>
      </c>
      <c r="BX13" s="23">
        <f>DataTable[[#This Row],[Sens_6]]/AVERAGEIF(DataTable[Strålkälla],DataTable[[#This Row],[Strålkälla]],DataTable[Sens_6])</f>
        <v>0.99730127274286717</v>
      </c>
      <c r="BY13" s="19">
        <v>1887</v>
      </c>
      <c r="BZ13" s="19">
        <v>2228</v>
      </c>
      <c r="CA13" s="19">
        <v>8.3000000000000004E-2</v>
      </c>
      <c r="CB13" s="19">
        <v>4.9000000000000002E-2</v>
      </c>
      <c r="CC13" s="19">
        <v>2.5000000000000001E-2</v>
      </c>
      <c r="CD13" s="19">
        <v>2106796</v>
      </c>
      <c r="CE13" s="19">
        <v>431</v>
      </c>
      <c r="CF13" s="19">
        <v>0</v>
      </c>
      <c r="CG13" s="19">
        <v>0</v>
      </c>
      <c r="CH13" s="19">
        <v>20.97688191107407</v>
      </c>
      <c r="CI13" s="23">
        <f>DataTable[[#This Row],[Sens_7]]/AVERAGEIF(DataTable[Strålkälla],DataTable[[#This Row],[Strålkälla]],DataTable[Sens_7])</f>
        <v>0.9980514822387232</v>
      </c>
      <c r="CJ13" s="19">
        <v>2161</v>
      </c>
      <c r="CK13" s="19">
        <v>2646</v>
      </c>
      <c r="CL13" s="19">
        <v>0.10100000000000001</v>
      </c>
      <c r="CM13" s="19">
        <v>3.5999999999999997E-2</v>
      </c>
      <c r="CN13" s="19">
        <v>2.3E-2</v>
      </c>
      <c r="CO13" s="19">
        <v>2448299</v>
      </c>
      <c r="CP13" s="19">
        <v>431</v>
      </c>
      <c r="CQ13" s="19">
        <v>1</v>
      </c>
      <c r="CR13" s="19">
        <v>1</v>
      </c>
      <c r="CS13" s="19">
        <v>24.377148526008565</v>
      </c>
      <c r="CT13" s="23">
        <f>DataTable[[#This Row],[Sens_8]]/AVERAGEIF(DataTable[Strålkälla],DataTable[[#This Row],[Strålkälla]],DataTable[Sens_8])</f>
        <v>0.99914988022294826</v>
      </c>
      <c r="CU13" s="19">
        <v>1764</v>
      </c>
      <c r="CV13" s="19">
        <v>2091</v>
      </c>
      <c r="CW13" s="19">
        <v>8.5000000000000006E-2</v>
      </c>
      <c r="CX13" s="19">
        <v>3.9E-2</v>
      </c>
      <c r="CY13" s="19">
        <v>2.5000000000000001E-2</v>
      </c>
      <c r="CZ13" s="19">
        <v>1970427</v>
      </c>
      <c r="DA13" s="19">
        <v>419</v>
      </c>
      <c r="DB13" s="19">
        <v>0</v>
      </c>
      <c r="DC13" s="19">
        <v>0</v>
      </c>
      <c r="DD13" s="19">
        <v>20.180970393355565</v>
      </c>
      <c r="DE13" s="23">
        <f>DataTable[[#This Row],[Sens_9]]/AVERAGEIF(DataTable[Strålkälla],DataTable[[#This Row],[Strålkälla]],DataTable[Sens_9])</f>
        <v>0.99995726897773152</v>
      </c>
      <c r="DF13" s="19">
        <v>1718</v>
      </c>
      <c r="DG13" s="19">
        <v>2033</v>
      </c>
      <c r="DH13" s="19">
        <v>8.4000000000000005E-2</v>
      </c>
      <c r="DI13" s="19">
        <v>3.1E-2</v>
      </c>
      <c r="DJ13" s="19">
        <v>2.5999999999999999E-2</v>
      </c>
      <c r="DK13" s="19">
        <v>1906220</v>
      </c>
      <c r="DL13" s="19">
        <v>419</v>
      </c>
      <c r="DM13" s="19">
        <v>0</v>
      </c>
      <c r="DN13" s="19">
        <v>0</v>
      </c>
      <c r="DO13" s="19">
        <v>19.523366957122619</v>
      </c>
      <c r="DP13" s="23">
        <f>DataTable[[#This Row],[Sens_10]]/AVERAGEIF(DataTable[Strålkälla],DataTable[[#This Row],[Strålkälla]],DataTable[Sens_10])</f>
        <v>1.0006748530320888</v>
      </c>
      <c r="DQ13" s="19">
        <v>1470</v>
      </c>
      <c r="DR13" s="19">
        <v>1819</v>
      </c>
      <c r="DS13" s="19">
        <v>0.106</v>
      </c>
      <c r="DT13" s="19">
        <v>4.9000000000000002E-2</v>
      </c>
      <c r="DU13" s="19">
        <v>2.8000000000000001E-2</v>
      </c>
      <c r="DV13" s="19">
        <v>1676321</v>
      </c>
      <c r="DW13" s="19">
        <v>419</v>
      </c>
      <c r="DX13" s="19">
        <v>0</v>
      </c>
      <c r="DY13" s="19">
        <v>0</v>
      </c>
      <c r="DZ13" s="19">
        <v>17.168758076680941</v>
      </c>
      <c r="EA13" s="23">
        <f>DataTable[[#This Row],[Sens_11]]/AVERAGEIF(DataTable[Strålkälla],DataTable[[#This Row],[Strålkälla]],DataTable[Sens_11])</f>
        <v>0.99992830103195018</v>
      </c>
      <c r="EB13" s="19">
        <v>1753</v>
      </c>
      <c r="EC13" s="19">
        <v>2126</v>
      </c>
      <c r="ED13" s="19">
        <v>9.6000000000000002E-2</v>
      </c>
      <c r="EE13" s="19">
        <v>4.4999999999999998E-2</v>
      </c>
      <c r="EF13" s="19">
        <v>2.5999999999999999E-2</v>
      </c>
      <c r="EG13" s="19">
        <v>1997646</v>
      </c>
      <c r="EH13" s="19">
        <v>419</v>
      </c>
      <c r="EI13" s="19">
        <v>0</v>
      </c>
      <c r="EJ13" s="19">
        <v>0</v>
      </c>
      <c r="EK13" s="19">
        <v>20.459745416808222</v>
      </c>
      <c r="EL13" s="23">
        <f>DataTable[[#This Row],[Sens_12]]/AVERAGEIF(DataTable[Strålkälla],DataTable[[#This Row],[Strålkälla]],DataTable[Sens_12])</f>
        <v>0.99962713687009308</v>
      </c>
      <c r="EM13" s="19">
        <v>1455</v>
      </c>
      <c r="EN13" s="19">
        <v>1813</v>
      </c>
      <c r="EO13" s="19">
        <v>0.11</v>
      </c>
      <c r="EP13" s="19">
        <v>6.0999999999999999E-2</v>
      </c>
      <c r="EQ13" s="19">
        <v>3.1E-2</v>
      </c>
      <c r="ER13" s="19">
        <v>1673447</v>
      </c>
      <c r="ES13" s="19">
        <v>443</v>
      </c>
      <c r="ET13" s="19">
        <v>0</v>
      </c>
      <c r="EU13" s="19">
        <v>0</v>
      </c>
      <c r="EV13" s="19">
        <v>16.210781588338609</v>
      </c>
      <c r="EW13" s="19">
        <f>DataTable[[#This Row],[Sens_13]]/AVERAGEIF(DataTable[Strålkälla],DataTable[[#This Row],[Strålkälla]],DataTable[Sens_13])</f>
        <v>0.99860888662117364</v>
      </c>
      <c r="EX13" s="19">
        <v>1241</v>
      </c>
      <c r="EY13" s="19">
        <v>1645</v>
      </c>
      <c r="EZ13" s="19">
        <v>0.14000000000000001</v>
      </c>
      <c r="FA13" s="19">
        <v>6.8000000000000005E-2</v>
      </c>
      <c r="FB13" s="19">
        <v>3.5000000000000003E-2</v>
      </c>
      <c r="FC13" s="19">
        <v>1477299</v>
      </c>
      <c r="FD13" s="19">
        <v>443</v>
      </c>
      <c r="FE13" s="19">
        <v>0</v>
      </c>
      <c r="FF13" s="19">
        <v>0</v>
      </c>
      <c r="FG13" s="19">
        <v>14.310684132614321</v>
      </c>
      <c r="FH13" s="19">
        <f>DataTable[[#This Row],[Sens_14]]/AVERAGEIF(DataTable[Strålkälla],DataTable[[#This Row],[Strålkälla]],DataTable[Sens_14])</f>
        <v>1.0330420078437403</v>
      </c>
      <c r="FI13" s="19">
        <v>1356</v>
      </c>
      <c r="FJ13" s="19">
        <v>1720</v>
      </c>
      <c r="FK13" s="19">
        <v>0.11799999999999999</v>
      </c>
      <c r="FL13" s="19">
        <v>6.8000000000000005E-2</v>
      </c>
      <c r="FM13" s="19">
        <v>3.2000000000000001E-2</v>
      </c>
      <c r="FN13" s="19">
        <v>1597216</v>
      </c>
      <c r="FO13" s="19">
        <v>443</v>
      </c>
      <c r="FP13" s="19">
        <v>1</v>
      </c>
      <c r="FQ13" s="19">
        <v>0</v>
      </c>
      <c r="FR13" s="19">
        <v>15.472327313264083</v>
      </c>
      <c r="FS13" s="19">
        <f>DataTable[[#This Row],[Sens_15]]/AVERAGEIF(DataTable[Strålkälla],DataTable[[#This Row],[Strålkälla]],DataTable[Sens_15])</f>
        <v>1.0003690196607782</v>
      </c>
      <c r="FT13" s="19">
        <v>1280</v>
      </c>
      <c r="FU13" s="19">
        <v>1588</v>
      </c>
      <c r="FV13" s="19">
        <v>0.107</v>
      </c>
      <c r="FW13" s="19">
        <v>5.6000000000000001E-2</v>
      </c>
      <c r="FX13" s="19">
        <v>3.4000000000000002E-2</v>
      </c>
      <c r="FY13" s="19">
        <v>1466220</v>
      </c>
      <c r="FZ13" s="19">
        <v>443</v>
      </c>
      <c r="GA13" s="19">
        <v>0</v>
      </c>
      <c r="GB13" s="19">
        <v>0</v>
      </c>
      <c r="GC13" s="19">
        <v>14.203361194261806</v>
      </c>
      <c r="GD13" s="19">
        <f>DataTable[[#This Row],[Sens_16]]/AVERAGEIF(DataTable[Strålkälla],DataTable[[#This Row],[Strålkälla]],DataTable[Sens_16])</f>
        <v>1.0171087126965856</v>
      </c>
      <c r="GE13" s="19">
        <v>1214</v>
      </c>
      <c r="GF13" s="19">
        <v>1561</v>
      </c>
      <c r="GG13" s="19">
        <v>0.125</v>
      </c>
      <c r="GH13" s="19">
        <v>6.8000000000000005E-2</v>
      </c>
      <c r="GI13" s="19">
        <v>3.5000000000000003E-2</v>
      </c>
      <c r="GJ13" s="19">
        <v>1437204</v>
      </c>
      <c r="GK13" s="19">
        <v>443</v>
      </c>
      <c r="GL13" s="19">
        <v>0</v>
      </c>
      <c r="GM13" s="19">
        <v>0</v>
      </c>
      <c r="GN13" s="19">
        <v>13.92228145969762</v>
      </c>
      <c r="GO13" s="19">
        <f>DataTable[[#This Row],[Sens_17]]/AVERAGEIF(DataTable[Strålkälla],DataTable[[#This Row],[Strålkälla]],DataTable[Sens_17])</f>
        <v>1.0355906227059319</v>
      </c>
      <c r="GP13" s="19">
        <v>1349</v>
      </c>
      <c r="GQ13" s="19">
        <v>1772</v>
      </c>
      <c r="GR13" s="19">
        <v>0.13600000000000001</v>
      </c>
      <c r="GS13" s="19">
        <v>6.5000000000000002E-2</v>
      </c>
      <c r="GT13" s="19">
        <v>3.3000000000000002E-2</v>
      </c>
      <c r="GU13" s="19">
        <v>1606554</v>
      </c>
      <c r="GV13" s="19">
        <v>443</v>
      </c>
      <c r="GW13" s="19">
        <v>1</v>
      </c>
      <c r="GX13" s="19">
        <v>0</v>
      </c>
      <c r="GY13" s="19">
        <v>15.562785080060346</v>
      </c>
      <c r="GZ13" s="19">
        <f>DataTable[[#This Row],[Sens_18]]/AVERAGEIF(DataTable[Strålkälla],DataTable[[#This Row],[Strålkälla]],DataTable[Sens_18])</f>
        <v>1.0003171645377074</v>
      </c>
      <c r="HA13" s="19">
        <v>1292</v>
      </c>
      <c r="HB13" s="19">
        <v>1628</v>
      </c>
      <c r="HC13" s="19">
        <v>0.115</v>
      </c>
      <c r="HD13" s="19">
        <v>6.3E-2</v>
      </c>
      <c r="HE13" s="19">
        <v>3.5000000000000003E-2</v>
      </c>
      <c r="HF13" s="19">
        <v>1510594</v>
      </c>
      <c r="HG13" s="19">
        <v>443</v>
      </c>
      <c r="HH13" s="19">
        <v>0</v>
      </c>
      <c r="HI13" s="19">
        <v>0</v>
      </c>
      <c r="HJ13" s="19">
        <v>14.633214797155077</v>
      </c>
      <c r="HK13" s="19">
        <f>DataTable[[#This Row],[Sens_19]]/AVERAGEIF(DataTable[Strålkälla],DataTable[[#This Row],[Strålkälla]],DataTable[Sens_19])</f>
        <v>1.0326628928882866</v>
      </c>
      <c r="HL13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0.14000000000000001</v>
      </c>
      <c r="HM13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0.10284210526315789</v>
      </c>
      <c r="HN13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6.8000000000000005E-2</v>
      </c>
      <c r="HO13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5.0105263157894736E-2</v>
      </c>
      <c r="HP13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0.997082763491563</v>
      </c>
      <c r="HQ13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1.005561328343721</v>
      </c>
      <c r="HR13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1.0355906227059319</v>
      </c>
      <c r="HS13" s="49"/>
    </row>
    <row r="14" spans="2:227" x14ac:dyDescent="0.25">
      <c r="B14" s="19" t="s">
        <v>43</v>
      </c>
      <c r="C14" s="20">
        <v>42401</v>
      </c>
      <c r="D14" s="21">
        <v>0.32135416666666666</v>
      </c>
      <c r="E14" s="13" t="s">
        <v>217</v>
      </c>
      <c r="F14" s="13">
        <v>109.8</v>
      </c>
      <c r="G14" s="13">
        <v>134.19999999999999</v>
      </c>
      <c r="H14" s="24">
        <v>21.905899999999999</v>
      </c>
      <c r="I14" s="22">
        <f>MATCH(DataTable[[#This Row],[Datum]],Övrigt!$D$10:$M$10,1)</f>
        <v>1</v>
      </c>
      <c r="J14" s="13"/>
      <c r="K14" s="22">
        <v>1871</v>
      </c>
      <c r="L14" s="22">
        <v>2292</v>
      </c>
      <c r="M14" s="23">
        <v>0.10100000000000001</v>
      </c>
      <c r="N14" s="23">
        <v>4.3999999999999997E-2</v>
      </c>
      <c r="O14" s="23">
        <v>2.7E-2</v>
      </c>
      <c r="P14" s="22">
        <v>2071527</v>
      </c>
      <c r="Q14" s="24">
        <v>435</v>
      </c>
      <c r="R14" s="22">
        <v>0</v>
      </c>
      <c r="S14" s="22">
        <v>2</v>
      </c>
      <c r="T14" s="19">
        <v>20.645633190835717</v>
      </c>
      <c r="U14" s="23">
        <f>DataTable[[#This Row],[Sens_1]]/AVERAGEIF(DataTable[Strålkälla],DataTable[[#This Row],[Strålkälla]],DataTable[Sens_1])</f>
        <v>0.99718153356019379</v>
      </c>
      <c r="V14" s="22">
        <v>2202</v>
      </c>
      <c r="W14" s="22">
        <v>2635</v>
      </c>
      <c r="X14" s="23">
        <v>0.09</v>
      </c>
      <c r="Y14" s="23">
        <v>3.2000000000000001E-2</v>
      </c>
      <c r="Z14" s="23">
        <v>2.5000000000000001E-2</v>
      </c>
      <c r="AA14" s="22">
        <v>2455499</v>
      </c>
      <c r="AB14" s="24">
        <v>435</v>
      </c>
      <c r="AC14" s="22">
        <v>0</v>
      </c>
      <c r="AD14" s="22">
        <v>0</v>
      </c>
      <c r="AE14" s="19">
        <v>24.47244552181261</v>
      </c>
      <c r="AF14" s="23">
        <f>DataTable[[#This Row],[Sens_2]]/AVERAGEIF(DataTable[Strålkälla],DataTable[[#This Row],[Strålkälla]],DataTable[Sens_2])</f>
        <v>1.0015340905575134</v>
      </c>
      <c r="AG14" s="22">
        <v>1930</v>
      </c>
      <c r="AH14" s="22">
        <v>2328</v>
      </c>
      <c r="AI14" s="23">
        <v>9.2999999999999999E-2</v>
      </c>
      <c r="AJ14" s="23">
        <v>5.1999999999999998E-2</v>
      </c>
      <c r="AK14" s="23">
        <v>2.5000000000000001E-2</v>
      </c>
      <c r="AL14" s="22">
        <v>2166732</v>
      </c>
      <c r="AM14" s="24">
        <v>435</v>
      </c>
      <c r="AN14" s="22">
        <v>0</v>
      </c>
      <c r="AO14" s="22">
        <v>1</v>
      </c>
      <c r="AP14" s="19">
        <v>21.594482763123946</v>
      </c>
      <c r="AQ14" s="23">
        <f>DataTable[[#This Row],[Sens_3]]/AVERAGEIF(DataTable[Strålkälla],DataTable[[#This Row],[Strålkälla]],DataTable[Sens_3])</f>
        <v>0.99807894362265837</v>
      </c>
      <c r="AR14" s="22">
        <v>1818</v>
      </c>
      <c r="AS14" s="22">
        <v>2201</v>
      </c>
      <c r="AT14" s="23">
        <v>9.5000000000000001E-2</v>
      </c>
      <c r="AU14" s="23">
        <v>4.2000000000000003E-2</v>
      </c>
      <c r="AV14" s="23">
        <v>2.5999999999999999E-2</v>
      </c>
      <c r="AW14" s="22">
        <v>2065468</v>
      </c>
      <c r="AX14" s="24">
        <v>435</v>
      </c>
      <c r="AY14" s="22">
        <v>0</v>
      </c>
      <c r="AZ14" s="22">
        <v>0</v>
      </c>
      <c r="BA14" s="19">
        <v>20.585246871225461</v>
      </c>
      <c r="BB14" s="23">
        <f>DataTable[[#This Row],[Sens_4]]/AVERAGEIF(DataTable[Strålkälla],DataTable[[#This Row],[Strålkälla]],DataTable[Sens_4])</f>
        <v>0.9996739223744282</v>
      </c>
      <c r="BC14" s="22">
        <v>2059</v>
      </c>
      <c r="BD14" s="22">
        <v>2431</v>
      </c>
      <c r="BE14" s="19">
        <v>8.3000000000000004E-2</v>
      </c>
      <c r="BF14" s="19">
        <v>3.9E-2</v>
      </c>
      <c r="BG14" s="19">
        <v>2.5000000000000001E-2</v>
      </c>
      <c r="BH14" s="19">
        <v>2309088</v>
      </c>
      <c r="BI14" s="19">
        <v>435</v>
      </c>
      <c r="BJ14" s="19">
        <v>0</v>
      </c>
      <c r="BK14" s="19">
        <v>0</v>
      </c>
      <c r="BL14" s="19">
        <v>23.013257299258211</v>
      </c>
      <c r="BM14" s="23">
        <f>DataTable[[#This Row],[Sens_5]]/AVERAGEIF(DataTable[Strålkälla],DataTable[[#This Row],[Strålkälla]],DataTable[Sens_5])</f>
        <v>0.99943753961529291</v>
      </c>
      <c r="BN14" s="19">
        <v>2072</v>
      </c>
      <c r="BO14" s="19">
        <v>2399</v>
      </c>
      <c r="BP14" s="19">
        <v>7.2999999999999995E-2</v>
      </c>
      <c r="BQ14" s="19">
        <v>3.2000000000000001E-2</v>
      </c>
      <c r="BR14" s="19">
        <v>2.4E-2</v>
      </c>
      <c r="BS14" s="19">
        <v>2301472</v>
      </c>
      <c r="BT14" s="19">
        <v>435</v>
      </c>
      <c r="BU14" s="19">
        <v>0</v>
      </c>
      <c r="BV14" s="19">
        <v>0</v>
      </c>
      <c r="BW14" s="19">
        <v>22.937353320028684</v>
      </c>
      <c r="BX14" s="23">
        <f>DataTable[[#This Row],[Sens_6]]/AVERAGEIF(DataTable[Strålkälla],DataTable[[#This Row],[Strålkälla]],DataTable[Sens_6])</f>
        <v>0.99938418266910911</v>
      </c>
      <c r="BY14" s="19">
        <v>1865</v>
      </c>
      <c r="BZ14" s="19">
        <v>2258</v>
      </c>
      <c r="CA14" s="19">
        <v>9.5000000000000001E-2</v>
      </c>
      <c r="CB14" s="19">
        <v>3.6999999999999998E-2</v>
      </c>
      <c r="CC14" s="19">
        <v>2.7E-2</v>
      </c>
      <c r="CD14" s="19">
        <v>2109743</v>
      </c>
      <c r="CE14" s="19">
        <v>435</v>
      </c>
      <c r="CF14" s="19">
        <v>0</v>
      </c>
      <c r="CG14" s="19">
        <v>0</v>
      </c>
      <c r="CH14" s="19">
        <v>21.026508515183881</v>
      </c>
      <c r="CI14" s="23">
        <f>DataTable[[#This Row],[Sens_7]]/AVERAGEIF(DataTable[Strålkälla],DataTable[[#This Row],[Strålkälla]],DataTable[Sens_7])</f>
        <v>1.0004126484978575</v>
      </c>
      <c r="CJ14" s="19">
        <v>2166</v>
      </c>
      <c r="CK14" s="19">
        <v>2601</v>
      </c>
      <c r="CL14" s="19">
        <v>9.0999999999999998E-2</v>
      </c>
      <c r="CM14" s="19">
        <v>4.1000000000000002E-2</v>
      </c>
      <c r="CN14" s="19">
        <v>2.4E-2</v>
      </c>
      <c r="CO14" s="19">
        <v>2449947</v>
      </c>
      <c r="CP14" s="19">
        <v>435</v>
      </c>
      <c r="CQ14" s="19">
        <v>1</v>
      </c>
      <c r="CR14" s="19">
        <v>0</v>
      </c>
      <c r="CS14" s="19">
        <v>24.417112158802851</v>
      </c>
      <c r="CT14" s="23">
        <f>DataTable[[#This Row],[Sens_8]]/AVERAGEIF(DataTable[Strålkälla],DataTable[[#This Row],[Strålkälla]],DataTable[Sens_8])</f>
        <v>1.0007878756955149</v>
      </c>
      <c r="CU14" s="19">
        <v>1746</v>
      </c>
      <c r="CV14" s="19">
        <v>2154</v>
      </c>
      <c r="CW14" s="19">
        <v>0.105</v>
      </c>
      <c r="CX14" s="19">
        <v>5.0999999999999997E-2</v>
      </c>
      <c r="CY14" s="19">
        <v>2.7E-2</v>
      </c>
      <c r="CZ14" s="19">
        <v>1968918</v>
      </c>
      <c r="DA14" s="19">
        <v>424</v>
      </c>
      <c r="DB14" s="19">
        <v>0</v>
      </c>
      <c r="DC14" s="19">
        <v>1</v>
      </c>
      <c r="DD14" s="19">
        <v>20.132079582594052</v>
      </c>
      <c r="DE14" s="23">
        <f>DataTable[[#This Row],[Sens_9]]/AVERAGEIF(DataTable[Strålkälla],DataTable[[#This Row],[Strålkälla]],DataTable[Sens_9])</f>
        <v>0.99753475308011708</v>
      </c>
      <c r="DF14" s="19">
        <v>1725</v>
      </c>
      <c r="DG14" s="19">
        <v>2069</v>
      </c>
      <c r="DH14" s="19">
        <v>9.0999999999999998E-2</v>
      </c>
      <c r="DI14" s="19">
        <v>0.04</v>
      </c>
      <c r="DJ14" s="19">
        <v>2.5999999999999999E-2</v>
      </c>
      <c r="DK14" s="19">
        <v>1906021</v>
      </c>
      <c r="DL14" s="19">
        <v>424</v>
      </c>
      <c r="DM14" s="19">
        <v>0</v>
      </c>
      <c r="DN14" s="19">
        <v>1</v>
      </c>
      <c r="DO14" s="19">
        <v>19.488961174663189</v>
      </c>
      <c r="DP14" s="23">
        <f>DataTable[[#This Row],[Sens_10]]/AVERAGEIF(DataTable[Strålkälla],DataTable[[#This Row],[Strålkälla]],DataTable[Sens_10])</f>
        <v>0.99891137640525196</v>
      </c>
      <c r="DQ14" s="19">
        <v>1465</v>
      </c>
      <c r="DR14" s="19">
        <v>1779</v>
      </c>
      <c r="DS14" s="19">
        <v>9.7000000000000003E-2</v>
      </c>
      <c r="DT14" s="19">
        <v>4.4999999999999998E-2</v>
      </c>
      <c r="DU14" s="19">
        <v>2.8000000000000001E-2</v>
      </c>
      <c r="DV14" s="19">
        <v>1678340</v>
      </c>
      <c r="DW14" s="19">
        <v>424</v>
      </c>
      <c r="DX14" s="19">
        <v>0</v>
      </c>
      <c r="DY14" s="19">
        <v>0</v>
      </c>
      <c r="DZ14" s="19">
        <v>17.160935319119893</v>
      </c>
      <c r="EA14" s="23">
        <f>DataTable[[#This Row],[Sens_11]]/AVERAGEIF(DataTable[Strålkälla],DataTable[[#This Row],[Strålkälla]],DataTable[Sens_11])</f>
        <v>0.99947269459597687</v>
      </c>
      <c r="EB14" s="19">
        <v>1785</v>
      </c>
      <c r="EC14" s="19">
        <v>2133</v>
      </c>
      <c r="ED14" s="19">
        <v>8.8999999999999996E-2</v>
      </c>
      <c r="EE14" s="19">
        <v>3.5999999999999997E-2</v>
      </c>
      <c r="EF14" s="19">
        <v>2.7E-2</v>
      </c>
      <c r="EG14" s="19">
        <v>1997487</v>
      </c>
      <c r="EH14" s="19">
        <v>424</v>
      </c>
      <c r="EI14" s="19">
        <v>0</v>
      </c>
      <c r="EJ14" s="19">
        <v>0</v>
      </c>
      <c r="EK14" s="19">
        <v>20.424196055496999</v>
      </c>
      <c r="EL14" s="23">
        <f>DataTable[[#This Row],[Sens_12]]/AVERAGEIF(DataTable[Strålkälla],DataTable[[#This Row],[Strålkälla]],DataTable[Sens_12])</f>
        <v>0.99789025766944073</v>
      </c>
      <c r="EM14" s="19">
        <v>1468</v>
      </c>
      <c r="EN14" s="19">
        <v>1831</v>
      </c>
      <c r="EO14" s="19">
        <v>0.11</v>
      </c>
      <c r="EP14" s="19">
        <v>4.1000000000000002E-2</v>
      </c>
      <c r="EQ14" s="19">
        <v>2.8000000000000001E-2</v>
      </c>
      <c r="ER14" s="19">
        <v>1698995</v>
      </c>
      <c r="ES14" s="19">
        <v>455</v>
      </c>
      <c r="ET14" s="19">
        <v>1</v>
      </c>
      <c r="EU14" s="19">
        <v>0</v>
      </c>
      <c r="EV14" s="19">
        <v>16.188535794543501</v>
      </c>
      <c r="EW14" s="19">
        <f>DataTable[[#This Row],[Sens_13]]/AVERAGEIF(DataTable[Strålkälla],DataTable[[#This Row],[Strålkälla]],DataTable[Sens_13])</f>
        <v>0.99723851177202283</v>
      </c>
      <c r="EX14" s="19">
        <v>1278</v>
      </c>
      <c r="EY14" s="19">
        <v>1591</v>
      </c>
      <c r="EZ14" s="19">
        <v>0.109</v>
      </c>
      <c r="FA14" s="19">
        <v>4.2999999999999997E-2</v>
      </c>
      <c r="FB14" s="19">
        <v>0.03</v>
      </c>
      <c r="FC14" s="19">
        <v>1451421</v>
      </c>
      <c r="FD14" s="19">
        <v>455</v>
      </c>
      <c r="FE14" s="19">
        <v>0</v>
      </c>
      <c r="FF14" s="19">
        <v>1</v>
      </c>
      <c r="FG14" s="19">
        <v>13.829576197370871</v>
      </c>
      <c r="FH14" s="19">
        <f>DataTable[[#This Row],[Sens_14]]/AVERAGEIF(DataTable[Strålkälla],DataTable[[#This Row],[Strålkälla]],DataTable[Sens_14])</f>
        <v>0.99831238186584825</v>
      </c>
      <c r="FI14" s="19">
        <v>1431</v>
      </c>
      <c r="FJ14" s="19">
        <v>1736</v>
      </c>
      <c r="FK14" s="19">
        <v>9.6000000000000002E-2</v>
      </c>
      <c r="FL14" s="19">
        <v>3.5999999999999997E-2</v>
      </c>
      <c r="FM14" s="19">
        <v>2.7E-2</v>
      </c>
      <c r="FN14" s="19">
        <v>1624211</v>
      </c>
      <c r="FO14" s="19">
        <v>455</v>
      </c>
      <c r="FP14" s="19">
        <v>0</v>
      </c>
      <c r="FQ14" s="19">
        <v>0</v>
      </c>
      <c r="FR14" s="19">
        <v>15.475971330928752</v>
      </c>
      <c r="FS14" s="19">
        <f>DataTable[[#This Row],[Sens_15]]/AVERAGEIF(DataTable[Strålkälla],DataTable[[#This Row],[Strålkälla]],DataTable[Sens_15])</f>
        <v>1.0006046249646878</v>
      </c>
      <c r="FT14" s="19">
        <v>1303</v>
      </c>
      <c r="FU14" s="19">
        <v>1559</v>
      </c>
      <c r="FV14" s="19">
        <v>8.8999999999999996E-2</v>
      </c>
      <c r="FW14" s="19">
        <v>3.5999999999999997E-2</v>
      </c>
      <c r="FX14" s="19">
        <v>2.8000000000000001E-2</v>
      </c>
      <c r="FY14" s="19">
        <v>1465529</v>
      </c>
      <c r="FZ14" s="19">
        <v>455</v>
      </c>
      <c r="GA14" s="19">
        <v>0</v>
      </c>
      <c r="GB14" s="19">
        <v>0</v>
      </c>
      <c r="GC14" s="19">
        <v>13.964001468186511</v>
      </c>
      <c r="GD14" s="19">
        <f>DataTable[[#This Row],[Sens_16]]/AVERAGEIF(DataTable[Strålkälla],DataTable[[#This Row],[Strålkälla]],DataTable[Sens_16])</f>
        <v>0.99996806130216742</v>
      </c>
      <c r="GE14" s="19">
        <v>1222</v>
      </c>
      <c r="GF14" s="19">
        <v>1527</v>
      </c>
      <c r="GG14" s="19">
        <v>0.111</v>
      </c>
      <c r="GH14" s="19">
        <v>4.3999999999999997E-2</v>
      </c>
      <c r="GI14" s="19">
        <v>0.03</v>
      </c>
      <c r="GJ14" s="19">
        <v>1408989</v>
      </c>
      <c r="GK14" s="19">
        <v>455</v>
      </c>
      <c r="GL14" s="19">
        <v>0</v>
      </c>
      <c r="GM14" s="19">
        <v>0</v>
      </c>
      <c r="GN14" s="19">
        <v>13.425271328413594</v>
      </c>
      <c r="GO14" s="19">
        <f>DataTable[[#This Row],[Sens_17]]/AVERAGEIF(DataTable[Strålkälla],DataTable[[#This Row],[Strålkälla]],DataTable[Sens_17])</f>
        <v>0.99862117679740481</v>
      </c>
      <c r="GP14" s="19">
        <v>1464</v>
      </c>
      <c r="GQ14" s="19">
        <v>1774</v>
      </c>
      <c r="GR14" s="19">
        <v>9.6000000000000002E-2</v>
      </c>
      <c r="GS14" s="19">
        <v>4.5999999999999999E-2</v>
      </c>
      <c r="GT14" s="19">
        <v>2.8000000000000001E-2</v>
      </c>
      <c r="GU14" s="19">
        <v>1633610</v>
      </c>
      <c r="GV14" s="19">
        <v>455</v>
      </c>
      <c r="GW14" s="19">
        <v>0</v>
      </c>
      <c r="GX14" s="19">
        <v>1</v>
      </c>
      <c r="GY14" s="19">
        <v>15.565527832232707</v>
      </c>
      <c r="GZ14" s="19">
        <f>DataTable[[#This Row],[Sens_18]]/AVERAGEIF(DataTable[Strålkälla],DataTable[[#This Row],[Strålkälla]],DataTable[Sens_18])</f>
        <v>1.0004934583091609</v>
      </c>
      <c r="HA14" s="19">
        <v>1316</v>
      </c>
      <c r="HB14" s="19">
        <v>1576</v>
      </c>
      <c r="HC14" s="19">
        <v>0.09</v>
      </c>
      <c r="HD14" s="19">
        <v>0.05</v>
      </c>
      <c r="HE14" s="19">
        <v>2.8000000000000001E-2</v>
      </c>
      <c r="HF14" s="19">
        <v>1485430</v>
      </c>
      <c r="HG14" s="19">
        <v>455</v>
      </c>
      <c r="HH14" s="19">
        <v>0</v>
      </c>
      <c r="HI14" s="19">
        <v>0</v>
      </c>
      <c r="HJ14" s="19">
        <v>14.153624186821476</v>
      </c>
      <c r="HK14" s="19">
        <f>DataTable[[#This Row],[Sens_19]]/AVERAGEIF(DataTable[Strålkälla],DataTable[[#This Row],[Strålkälla]],DataTable[Sens_19])</f>
        <v>0.99881828430880748</v>
      </c>
      <c r="HL14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0.111</v>
      </c>
      <c r="HM14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9.4947368421052641E-2</v>
      </c>
      <c r="HN14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5.1999999999999998E-2</v>
      </c>
      <c r="HO14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4.1421052631578956E-2</v>
      </c>
      <c r="HP14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0.99718153356019379</v>
      </c>
      <c r="HQ14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0.99917664829807651</v>
      </c>
      <c r="HR14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1.0015340905575134</v>
      </c>
      <c r="HS14" s="49"/>
    </row>
    <row r="15" spans="2:227" x14ac:dyDescent="0.25">
      <c r="B15" s="19" t="s">
        <v>43</v>
      </c>
      <c r="C15" s="20">
        <v>42403</v>
      </c>
      <c r="D15" s="21">
        <v>0.31556712962962963</v>
      </c>
      <c r="E15" s="13" t="s">
        <v>217</v>
      </c>
      <c r="F15" s="13">
        <v>109.8</v>
      </c>
      <c r="G15" s="13">
        <v>134.19999999999999</v>
      </c>
      <c r="H15" s="24">
        <v>21.979099999999999</v>
      </c>
      <c r="I15" s="22">
        <f>MATCH(DataTable[[#This Row],[Datum]],Övrigt!$D$10:$M$10,1)</f>
        <v>1</v>
      </c>
      <c r="J15" s="13"/>
      <c r="K15" s="22">
        <v>1873</v>
      </c>
      <c r="L15" s="22">
        <v>2203</v>
      </c>
      <c r="M15" s="23">
        <v>8.1000000000000003E-2</v>
      </c>
      <c r="N15" s="23">
        <v>4.1000000000000002E-2</v>
      </c>
      <c r="O15" s="23">
        <v>2.5999999999999999E-2</v>
      </c>
      <c r="P15" s="22">
        <v>2077606</v>
      </c>
      <c r="Q15" s="24">
        <v>437</v>
      </c>
      <c r="R15" s="22">
        <v>0</v>
      </c>
      <c r="S15" s="22">
        <v>0</v>
      </c>
      <c r="T15" s="19">
        <v>20.716872503166609</v>
      </c>
      <c r="U15" s="23">
        <f>DataTable[[#This Row],[Sens_1]]/AVERAGEIF(DataTable[Strålkälla],DataTable[[#This Row],[Strålkälla]],DataTable[Sens_1])</f>
        <v>1.0006223835483368</v>
      </c>
      <c r="V15" s="22">
        <v>2190</v>
      </c>
      <c r="W15" s="22">
        <v>2675</v>
      </c>
      <c r="X15" s="23">
        <v>0.1</v>
      </c>
      <c r="Y15" s="23">
        <v>4.2000000000000003E-2</v>
      </c>
      <c r="Z15" s="23">
        <v>2.4E-2</v>
      </c>
      <c r="AA15" s="22">
        <v>2450902</v>
      </c>
      <c r="AB15" s="24">
        <v>437</v>
      </c>
      <c r="AC15" s="22">
        <v>0</v>
      </c>
      <c r="AD15" s="22">
        <v>1</v>
      </c>
      <c r="AE15" s="19">
        <v>24.439197928652518</v>
      </c>
      <c r="AF15" s="23">
        <f>DataTable[[#This Row],[Sens_2]]/AVERAGEIF(DataTable[Strålkälla],DataTable[[#This Row],[Strålkälla]],DataTable[Sens_2])</f>
        <v>1.0001734338160717</v>
      </c>
      <c r="AG15" s="22">
        <v>1936</v>
      </c>
      <c r="AH15" s="22">
        <v>2329</v>
      </c>
      <c r="AI15" s="23">
        <v>9.1999999999999998E-2</v>
      </c>
      <c r="AJ15" s="23">
        <v>3.5999999999999997E-2</v>
      </c>
      <c r="AK15" s="23">
        <v>2.5000000000000001E-2</v>
      </c>
      <c r="AL15" s="22">
        <v>2167662</v>
      </c>
      <c r="AM15" s="24">
        <v>437</v>
      </c>
      <c r="AN15" s="22">
        <v>0</v>
      </c>
      <c r="AO15" s="22">
        <v>0</v>
      </c>
      <c r="AP15" s="19">
        <v>21.614866959355687</v>
      </c>
      <c r="AQ15" s="23">
        <f>DataTable[[#This Row],[Sens_3]]/AVERAGEIF(DataTable[Strålkälla],DataTable[[#This Row],[Strålkälla]],DataTable[Sens_3])</f>
        <v>0.99902108413441526</v>
      </c>
      <c r="AR15" s="22">
        <v>1835</v>
      </c>
      <c r="AS15" s="22">
        <v>2196</v>
      </c>
      <c r="AT15" s="23">
        <v>0.09</v>
      </c>
      <c r="AU15" s="23">
        <v>0.04</v>
      </c>
      <c r="AV15" s="23">
        <v>2.5000000000000001E-2</v>
      </c>
      <c r="AW15" s="22">
        <v>2067053</v>
      </c>
      <c r="AX15" s="24">
        <v>437</v>
      </c>
      <c r="AY15" s="22">
        <v>0</v>
      </c>
      <c r="AZ15" s="22">
        <v>0</v>
      </c>
      <c r="BA15" s="19">
        <v>20.611643140368312</v>
      </c>
      <c r="BB15" s="23">
        <f>DataTable[[#This Row],[Sens_4]]/AVERAGEIF(DataTable[Strålkälla],DataTable[[#This Row],[Strålkälla]],DataTable[Sens_4])</f>
        <v>1.0009557948763785</v>
      </c>
      <c r="BC15" s="22">
        <v>2024</v>
      </c>
      <c r="BD15" s="22">
        <v>2456</v>
      </c>
      <c r="BE15" s="19">
        <v>9.6000000000000002E-2</v>
      </c>
      <c r="BF15" s="19">
        <v>3.4000000000000002E-2</v>
      </c>
      <c r="BG15" s="19">
        <v>2.3E-2</v>
      </c>
      <c r="BH15" s="19">
        <v>2307011</v>
      </c>
      <c r="BI15" s="19">
        <v>437</v>
      </c>
      <c r="BJ15" s="19">
        <v>1</v>
      </c>
      <c r="BK15" s="19">
        <v>0</v>
      </c>
      <c r="BL15" s="19">
        <v>23.004387140970376</v>
      </c>
      <c r="BM15" s="23">
        <f>DataTable[[#This Row],[Sens_5]]/AVERAGEIF(DataTable[Strålkälla],DataTable[[#This Row],[Strålkälla]],DataTable[Sens_5])</f>
        <v>0.9990523195197667</v>
      </c>
      <c r="BN15" s="19">
        <v>2065</v>
      </c>
      <c r="BO15" s="19">
        <v>2416</v>
      </c>
      <c r="BP15" s="19">
        <v>7.8E-2</v>
      </c>
      <c r="BQ15" s="19">
        <v>3.1E-2</v>
      </c>
      <c r="BR15" s="19">
        <v>2.3E-2</v>
      </c>
      <c r="BS15" s="19">
        <v>2303234</v>
      </c>
      <c r="BT15" s="19">
        <v>437</v>
      </c>
      <c r="BU15" s="19">
        <v>0</v>
      </c>
      <c r="BV15" s="19">
        <v>0</v>
      </c>
      <c r="BW15" s="19">
        <v>22.966724741340965</v>
      </c>
      <c r="BX15" s="23">
        <f>DataTable[[#This Row],[Sens_6]]/AVERAGEIF(DataTable[Strålkälla],DataTable[[#This Row],[Strålkälla]],DataTable[Sens_6])</f>
        <v>1.0006639002316569</v>
      </c>
      <c r="BY15" s="19">
        <v>1894</v>
      </c>
      <c r="BZ15" s="19">
        <v>2246</v>
      </c>
      <c r="CA15" s="19">
        <v>8.5000000000000006E-2</v>
      </c>
      <c r="CB15" s="19">
        <v>0.05</v>
      </c>
      <c r="CC15" s="19">
        <v>2.5999999999999999E-2</v>
      </c>
      <c r="CD15" s="19">
        <v>2107003</v>
      </c>
      <c r="CE15" s="19">
        <v>437</v>
      </c>
      <c r="CF15" s="19">
        <v>0</v>
      </c>
      <c r="CG15" s="19">
        <v>0</v>
      </c>
      <c r="CH15" s="19">
        <v>21.010005032132923</v>
      </c>
      <c r="CI15" s="23">
        <f>DataTable[[#This Row],[Sens_7]]/AVERAGEIF(DataTable[Strålkälla],DataTable[[#This Row],[Strålkälla]],DataTable[Sens_7])</f>
        <v>0.99962743524304976</v>
      </c>
      <c r="CJ15" s="19">
        <v>2170</v>
      </c>
      <c r="CK15" s="19">
        <v>2618</v>
      </c>
      <c r="CL15" s="19">
        <v>9.4E-2</v>
      </c>
      <c r="CM15" s="19">
        <v>4.2999999999999997E-2</v>
      </c>
      <c r="CN15" s="19">
        <v>2.5000000000000001E-2</v>
      </c>
      <c r="CO15" s="19">
        <v>2449436</v>
      </c>
      <c r="CP15" s="19">
        <v>437</v>
      </c>
      <c r="CQ15" s="19">
        <v>0</v>
      </c>
      <c r="CR15" s="19">
        <v>0</v>
      </c>
      <c r="CS15" s="19">
        <v>24.424579692524187</v>
      </c>
      <c r="CT15" s="23">
        <f>DataTable[[#This Row],[Sens_8]]/AVERAGEIF(DataTable[Strålkälla],DataTable[[#This Row],[Strålkälla]],DataTable[Sens_8])</f>
        <v>1.0010939486316204</v>
      </c>
      <c r="CU15" s="19">
        <v>1723</v>
      </c>
      <c r="CV15" s="19">
        <v>2094</v>
      </c>
      <c r="CW15" s="19">
        <v>9.7000000000000003E-2</v>
      </c>
      <c r="CX15" s="19">
        <v>4.8000000000000001E-2</v>
      </c>
      <c r="CY15" s="19">
        <v>2.7E-2</v>
      </c>
      <c r="CZ15" s="19">
        <v>1969160</v>
      </c>
      <c r="DA15" s="19">
        <v>425</v>
      </c>
      <c r="DB15" s="19">
        <v>0</v>
      </c>
      <c r="DC15" s="19">
        <v>0</v>
      </c>
      <c r="DD15" s="19">
        <v>20.18991611973831</v>
      </c>
      <c r="DE15" s="23">
        <f>DataTable[[#This Row],[Sens_9]]/AVERAGEIF(DataTable[Strålkälla],DataTable[[#This Row],[Strålkälla]],DataTable[Sens_9])</f>
        <v>1.0004005253696866</v>
      </c>
      <c r="DF15" s="19">
        <v>1675</v>
      </c>
      <c r="DG15" s="19">
        <v>2079</v>
      </c>
      <c r="DH15" s="19">
        <v>0.108</v>
      </c>
      <c r="DI15" s="19">
        <v>3.9E-2</v>
      </c>
      <c r="DJ15" s="19">
        <v>2.5999999999999999E-2</v>
      </c>
      <c r="DK15" s="19">
        <v>1907350</v>
      </c>
      <c r="DL15" s="19">
        <v>425</v>
      </c>
      <c r="DM15" s="19">
        <v>0</v>
      </c>
      <c r="DN15" s="19">
        <v>1</v>
      </c>
      <c r="DO15" s="19">
        <v>19.556174465753347</v>
      </c>
      <c r="DP15" s="23">
        <f>DataTable[[#This Row],[Sens_10]]/AVERAGEIF(DataTable[Strålkälla],DataTable[[#This Row],[Strålkälla]],DataTable[Sens_10])</f>
        <v>1.002356409750738</v>
      </c>
      <c r="DQ15" s="19">
        <v>1485</v>
      </c>
      <c r="DR15" s="19">
        <v>1796</v>
      </c>
      <c r="DS15" s="19">
        <v>9.5000000000000001E-2</v>
      </c>
      <c r="DT15" s="19">
        <v>4.5999999999999999E-2</v>
      </c>
      <c r="DU15" s="19">
        <v>2.7E-2</v>
      </c>
      <c r="DV15" s="19">
        <v>1677180</v>
      </c>
      <c r="DW15" s="19">
        <v>425</v>
      </c>
      <c r="DX15" s="19">
        <v>0</v>
      </c>
      <c r="DY15" s="19">
        <v>0</v>
      </c>
      <c r="DZ15" s="19">
        <v>17.196227588262353</v>
      </c>
      <c r="EA15" s="23">
        <f>DataTable[[#This Row],[Sens_11]]/AVERAGEIF(DataTable[Strålkälla],DataTable[[#This Row],[Strålkälla]],DataTable[Sens_11])</f>
        <v>1.0015281571149062</v>
      </c>
      <c r="EB15" s="19">
        <v>1773</v>
      </c>
      <c r="EC15" s="19">
        <v>2132</v>
      </c>
      <c r="ED15" s="19">
        <v>9.1999999999999998E-2</v>
      </c>
      <c r="EE15" s="19">
        <v>3.9E-2</v>
      </c>
      <c r="EF15" s="19">
        <v>2.7E-2</v>
      </c>
      <c r="EG15" s="19">
        <v>1997064</v>
      </c>
      <c r="EH15" s="19">
        <v>425</v>
      </c>
      <c r="EI15" s="19">
        <v>0</v>
      </c>
      <c r="EJ15" s="19">
        <v>0</v>
      </c>
      <c r="EK15" s="19">
        <v>20.476017512923818</v>
      </c>
      <c r="EL15" s="23">
        <f>DataTable[[#This Row],[Sens_12]]/AVERAGEIF(DataTable[Strålkälla],DataTable[[#This Row],[Strålkälla]],DataTable[Sens_12])</f>
        <v>1.0004221628354477</v>
      </c>
      <c r="EM15" s="19">
        <v>1505</v>
      </c>
      <c r="EN15" s="19">
        <v>1801</v>
      </c>
      <c r="EO15" s="19">
        <v>0.09</v>
      </c>
      <c r="EP15" s="19">
        <v>4.2000000000000003E-2</v>
      </c>
      <c r="EQ15" s="19">
        <v>2.8000000000000001E-2</v>
      </c>
      <c r="ER15" s="19">
        <v>1698217</v>
      </c>
      <c r="ES15" s="19">
        <v>457</v>
      </c>
      <c r="ET15" s="19">
        <v>0</v>
      </c>
      <c r="EU15" s="19">
        <v>0</v>
      </c>
      <c r="EV15" s="19">
        <v>16.192705726707686</v>
      </c>
      <c r="EW15" s="19">
        <f>DataTable[[#This Row],[Sens_13]]/AVERAGEIF(DataTable[Strålkälla],DataTable[[#This Row],[Strålkälla]],DataTable[Sens_13])</f>
        <v>0.99749538595745746</v>
      </c>
      <c r="EX15" s="19">
        <v>1257</v>
      </c>
      <c r="EY15" s="19">
        <v>1573</v>
      </c>
      <c r="EZ15" s="19">
        <v>0.112</v>
      </c>
      <c r="FA15" s="19">
        <v>5.6000000000000001E-2</v>
      </c>
      <c r="FB15" s="19">
        <v>0.03</v>
      </c>
      <c r="FC15" s="19">
        <v>1450162</v>
      </c>
      <c r="FD15" s="19">
        <v>457</v>
      </c>
      <c r="FE15" s="19">
        <v>0</v>
      </c>
      <c r="FF15" s="19">
        <v>0</v>
      </c>
      <c r="FG15" s="19">
        <v>13.827471119446967</v>
      </c>
      <c r="FH15" s="19">
        <f>DataTable[[#This Row],[Sens_14]]/AVERAGEIF(DataTable[Strålkälla],DataTable[[#This Row],[Strålkälla]],DataTable[Sens_14])</f>
        <v>0.9981604230981872</v>
      </c>
      <c r="FI15" s="19">
        <v>1446</v>
      </c>
      <c r="FJ15" s="19">
        <v>1739</v>
      </c>
      <c r="FK15" s="19">
        <v>9.1999999999999998E-2</v>
      </c>
      <c r="FL15" s="19">
        <v>4.2999999999999997E-2</v>
      </c>
      <c r="FM15" s="19">
        <v>2.5999999999999999E-2</v>
      </c>
      <c r="FN15" s="19">
        <v>1624306</v>
      </c>
      <c r="FO15" s="19">
        <v>457</v>
      </c>
      <c r="FP15" s="19">
        <v>0</v>
      </c>
      <c r="FQ15" s="19">
        <v>0</v>
      </c>
      <c r="FR15" s="19">
        <v>15.487955348536525</v>
      </c>
      <c r="FS15" s="19">
        <f>DataTable[[#This Row],[Sens_15]]/AVERAGEIF(DataTable[Strålkälla],DataTable[[#This Row],[Strålkälla]],DataTable[Sens_15])</f>
        <v>1.0013794560358744</v>
      </c>
      <c r="FT15" s="19">
        <v>1287</v>
      </c>
      <c r="FU15" s="19">
        <v>1582</v>
      </c>
      <c r="FV15" s="19">
        <v>0.10299999999999999</v>
      </c>
      <c r="FW15" s="19">
        <v>4.5999999999999999E-2</v>
      </c>
      <c r="FX15" s="19">
        <v>0.03</v>
      </c>
      <c r="FY15" s="19">
        <v>1467343</v>
      </c>
      <c r="FZ15" s="19">
        <v>457</v>
      </c>
      <c r="GA15" s="19">
        <v>0</v>
      </c>
      <c r="GB15" s="19">
        <v>0</v>
      </c>
      <c r="GC15" s="19">
        <v>13.99129404495682</v>
      </c>
      <c r="GD15" s="19">
        <f>DataTable[[#This Row],[Sens_16]]/AVERAGEIF(DataTable[Strålkälla],DataTable[[#This Row],[Strålkälla]],DataTable[Sens_16])</f>
        <v>1.0019224942878073</v>
      </c>
      <c r="GE15" s="19">
        <v>1175</v>
      </c>
      <c r="GF15" s="19">
        <v>1550</v>
      </c>
      <c r="GG15" s="19">
        <v>0.13800000000000001</v>
      </c>
      <c r="GH15" s="19">
        <v>4.2999999999999997E-2</v>
      </c>
      <c r="GI15" s="19">
        <v>0.03</v>
      </c>
      <c r="GJ15" s="19">
        <v>1410224</v>
      </c>
      <c r="GK15" s="19">
        <v>457</v>
      </c>
      <c r="GL15" s="19">
        <v>1</v>
      </c>
      <c r="GM15" s="19">
        <v>1</v>
      </c>
      <c r="GN15" s="19">
        <v>13.446657429963674</v>
      </c>
      <c r="GO15" s="19">
        <f>DataTable[[#This Row],[Sens_17]]/AVERAGEIF(DataTable[Strålkälla],DataTable[[#This Row],[Strålkälla]],DataTable[Sens_17])</f>
        <v>1.0002119538755447</v>
      </c>
      <c r="GP15" s="19">
        <v>1445</v>
      </c>
      <c r="GQ15" s="19">
        <v>1760</v>
      </c>
      <c r="GR15" s="19">
        <v>9.8000000000000004E-2</v>
      </c>
      <c r="GS15" s="19">
        <v>4.7E-2</v>
      </c>
      <c r="GT15" s="19">
        <v>2.9000000000000001E-2</v>
      </c>
      <c r="GU15" s="19">
        <v>1631690</v>
      </c>
      <c r="GV15" s="19">
        <v>457</v>
      </c>
      <c r="GW15" s="19">
        <v>0</v>
      </c>
      <c r="GX15" s="19">
        <v>0</v>
      </c>
      <c r="GY15" s="19">
        <v>15.558362686989744</v>
      </c>
      <c r="GZ15" s="19">
        <f>DataTable[[#This Row],[Sens_18]]/AVERAGEIF(DataTable[Strålkälla],DataTable[[#This Row],[Strålkälla]],DataTable[Sens_18])</f>
        <v>1.0000329097803424</v>
      </c>
      <c r="HA15" s="19">
        <v>1308</v>
      </c>
      <c r="HB15" s="19">
        <v>1611</v>
      </c>
      <c r="HC15" s="19">
        <v>0.104</v>
      </c>
      <c r="HD15" s="19">
        <v>5.8999999999999997E-2</v>
      </c>
      <c r="HE15" s="19">
        <v>3.2000000000000001E-2</v>
      </c>
      <c r="HF15" s="19">
        <v>1487110</v>
      </c>
      <c r="HG15" s="19">
        <v>457</v>
      </c>
      <c r="HH15" s="19">
        <v>0</v>
      </c>
      <c r="HI15" s="19">
        <v>0</v>
      </c>
      <c r="HJ15" s="19">
        <v>14.179774795119979</v>
      </c>
      <c r="HK15" s="19">
        <f>DataTable[[#This Row],[Sens_19]]/AVERAGEIF(DataTable[Strålkälla],DataTable[[#This Row],[Strålkälla]],DataTable[Sens_19])</f>
        <v>1.0006637272405663</v>
      </c>
      <c r="HL15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0.13800000000000001</v>
      </c>
      <c r="HM15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9.7105263157894764E-2</v>
      </c>
      <c r="HN15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5.8999999999999997E-2</v>
      </c>
      <c r="HO15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4.3421052631578957E-2</v>
      </c>
      <c r="HP15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0.99749538595745746</v>
      </c>
      <c r="HQ15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1.0003044160709398</v>
      </c>
      <c r="HR15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1.002356409750738</v>
      </c>
      <c r="HS15" s="49"/>
    </row>
    <row r="16" spans="2:227" x14ac:dyDescent="0.25">
      <c r="B16" s="19" t="s">
        <v>43</v>
      </c>
      <c r="C16" s="20">
        <v>42404</v>
      </c>
      <c r="D16" s="21">
        <v>0.32217592592592592</v>
      </c>
      <c r="E16" s="13" t="s">
        <v>217</v>
      </c>
      <c r="F16" s="13">
        <v>109.8</v>
      </c>
      <c r="G16" s="13">
        <v>134.19999999999999</v>
      </c>
      <c r="H16" s="24">
        <v>22.0595</v>
      </c>
      <c r="I16" s="22">
        <f>MATCH(DataTable[[#This Row],[Datum]],Övrigt!$D$10:$M$10,1)</f>
        <v>1</v>
      </c>
      <c r="J16" s="13"/>
      <c r="K16" s="22">
        <v>1835</v>
      </c>
      <c r="L16" s="22">
        <v>2227</v>
      </c>
      <c r="M16" s="23">
        <v>9.7000000000000003E-2</v>
      </c>
      <c r="N16" s="23">
        <v>4.2000000000000003E-2</v>
      </c>
      <c r="O16" s="23">
        <v>2.5999999999999999E-2</v>
      </c>
      <c r="P16" s="22">
        <v>2078537</v>
      </c>
      <c r="Q16" s="24">
        <v>438</v>
      </c>
      <c r="R16" s="22">
        <v>0</v>
      </c>
      <c r="S16" s="22">
        <v>0</v>
      </c>
      <c r="T16" s="19">
        <v>20.731650345881238</v>
      </c>
      <c r="U16" s="23">
        <f>DataTable[[#This Row],[Sens_1]]/AVERAGEIF(DataTable[Strålkälla],DataTable[[#This Row],[Strålkälla]],DataTable[Sens_1])</f>
        <v>1.0013361515265178</v>
      </c>
      <c r="V16" s="22">
        <v>2155</v>
      </c>
      <c r="W16" s="22">
        <v>2611</v>
      </c>
      <c r="X16" s="23">
        <v>9.6000000000000002E-2</v>
      </c>
      <c r="Y16" s="23">
        <v>3.5999999999999997E-2</v>
      </c>
      <c r="Z16" s="23">
        <v>2.4E-2</v>
      </c>
      <c r="AA16" s="22">
        <v>2451398</v>
      </c>
      <c r="AB16" s="24">
        <v>438</v>
      </c>
      <c r="AC16" s="22">
        <v>1</v>
      </c>
      <c r="AD16" s="22">
        <v>0</v>
      </c>
      <c r="AE16" s="19">
        <v>24.450623777489927</v>
      </c>
      <c r="AF16" s="23">
        <f>DataTable[[#This Row],[Sens_2]]/AVERAGEIF(DataTable[Strålkälla],DataTable[[#This Row],[Strålkälla]],DataTable[Sens_2])</f>
        <v>1.0006410363331157</v>
      </c>
      <c r="AG16" s="22">
        <v>1929</v>
      </c>
      <c r="AH16" s="22">
        <v>2358</v>
      </c>
      <c r="AI16" s="23">
        <v>0.1</v>
      </c>
      <c r="AJ16" s="23">
        <v>4.1000000000000002E-2</v>
      </c>
      <c r="AK16" s="23">
        <v>2.5000000000000001E-2</v>
      </c>
      <c r="AL16" s="22">
        <v>2169487</v>
      </c>
      <c r="AM16" s="24">
        <v>438</v>
      </c>
      <c r="AN16" s="22">
        <v>0</v>
      </c>
      <c r="AO16" s="22">
        <v>1</v>
      </c>
      <c r="AP16" s="19">
        <v>21.638799749022919</v>
      </c>
      <c r="AQ16" s="23">
        <f>DataTable[[#This Row],[Sens_3]]/AVERAGEIF(DataTable[Strålkälla],DataTable[[#This Row],[Strålkälla]],DataTable[Sens_3])</f>
        <v>1.0001272376686783</v>
      </c>
      <c r="AR16" s="22">
        <v>1820</v>
      </c>
      <c r="AS16" s="22">
        <v>2188</v>
      </c>
      <c r="AT16" s="23">
        <v>9.1999999999999998E-2</v>
      </c>
      <c r="AU16" s="23">
        <v>0.04</v>
      </c>
      <c r="AV16" s="23">
        <v>2.5000000000000001E-2</v>
      </c>
      <c r="AW16" s="22">
        <v>2067553</v>
      </c>
      <c r="AX16" s="24">
        <v>438</v>
      </c>
      <c r="AY16" s="22">
        <v>1</v>
      </c>
      <c r="AZ16" s="22">
        <v>0</v>
      </c>
      <c r="BA16" s="19">
        <v>20.622094226649704</v>
      </c>
      <c r="BB16" s="23">
        <f>DataTable[[#This Row],[Sens_4]]/AVERAGEIF(DataTable[Strålkälla],DataTable[[#This Row],[Strålkälla]],DataTable[Sens_4])</f>
        <v>1.001463327211616</v>
      </c>
      <c r="BC16" s="22">
        <v>2082</v>
      </c>
      <c r="BD16" s="22">
        <v>2458</v>
      </c>
      <c r="BE16" s="19">
        <v>8.3000000000000004E-2</v>
      </c>
      <c r="BF16" s="19">
        <v>3.7999999999999999E-2</v>
      </c>
      <c r="BG16" s="19">
        <v>2.3E-2</v>
      </c>
      <c r="BH16" s="19">
        <v>2309806</v>
      </c>
      <c r="BI16" s="19">
        <v>438</v>
      </c>
      <c r="BJ16" s="19">
        <v>0</v>
      </c>
      <c r="BK16" s="19">
        <v>0</v>
      </c>
      <c r="BL16" s="19">
        <v>23.038363213557691</v>
      </c>
      <c r="BM16" s="23">
        <f>DataTable[[#This Row],[Sens_5]]/AVERAGEIF(DataTable[Strålkälla],DataTable[[#This Row],[Strålkälla]],DataTable[Sens_5])</f>
        <v>1.0005278586818631</v>
      </c>
      <c r="BN16" s="19">
        <v>2058</v>
      </c>
      <c r="BO16" s="19">
        <v>2490</v>
      </c>
      <c r="BP16" s="19">
        <v>9.5000000000000001E-2</v>
      </c>
      <c r="BQ16" s="19">
        <v>3.5999999999999997E-2</v>
      </c>
      <c r="BR16" s="19">
        <v>2.3E-2</v>
      </c>
      <c r="BS16" s="19">
        <v>2302233</v>
      </c>
      <c r="BT16" s="19">
        <v>438</v>
      </c>
      <c r="BU16" s="19">
        <v>0</v>
      </c>
      <c r="BV16" s="19">
        <v>1</v>
      </c>
      <c r="BW16" s="19">
        <v>22.962828937252116</v>
      </c>
      <c r="BX16" s="23">
        <f>DataTable[[#This Row],[Sens_6]]/AVERAGEIF(DataTable[Strålkälla],DataTable[[#This Row],[Strålkälla]],DataTable[Sens_6])</f>
        <v>1.00049415941933</v>
      </c>
      <c r="BY16" s="19">
        <v>1879</v>
      </c>
      <c r="BZ16" s="19">
        <v>2245</v>
      </c>
      <c r="CA16" s="19">
        <v>8.8999999999999996E-2</v>
      </c>
      <c r="CB16" s="19">
        <v>4.5999999999999999E-2</v>
      </c>
      <c r="CC16" s="19">
        <v>2.5000000000000001E-2</v>
      </c>
      <c r="CD16" s="19">
        <v>2106331</v>
      </c>
      <c r="CE16" s="19">
        <v>438</v>
      </c>
      <c r="CF16" s="19">
        <v>0</v>
      </c>
      <c r="CG16" s="19">
        <v>0</v>
      </c>
      <c r="CH16" s="19">
        <v>21.008872011751716</v>
      </c>
      <c r="CI16" s="23">
        <f>DataTable[[#This Row],[Sens_7]]/AVERAGEIF(DataTable[Strålkälla],DataTable[[#This Row],[Strålkälla]],DataTable[Sens_7])</f>
        <v>0.99957352767586871</v>
      </c>
      <c r="CJ16" s="19">
        <v>2160</v>
      </c>
      <c r="CK16" s="19">
        <v>2646</v>
      </c>
      <c r="CL16" s="19">
        <v>0.10100000000000001</v>
      </c>
      <c r="CM16" s="19">
        <v>0.04</v>
      </c>
      <c r="CN16" s="19">
        <v>2.4E-2</v>
      </c>
      <c r="CO16" s="19">
        <v>2445166</v>
      </c>
      <c r="CP16" s="19">
        <v>438</v>
      </c>
      <c r="CQ16" s="19">
        <v>0</v>
      </c>
      <c r="CR16" s="19">
        <v>1</v>
      </c>
      <c r="CS16" s="19">
        <v>24.388464843126222</v>
      </c>
      <c r="CT16" s="23">
        <f>DataTable[[#This Row],[Sens_8]]/AVERAGEIF(DataTable[Strålkälla],DataTable[[#This Row],[Strålkälla]],DataTable[Sens_8])</f>
        <v>0.99961370382728043</v>
      </c>
      <c r="CU16" s="19">
        <v>1749</v>
      </c>
      <c r="CV16" s="19">
        <v>2074</v>
      </c>
      <c r="CW16" s="19">
        <v>8.5000000000000006E-2</v>
      </c>
      <c r="CX16" s="19">
        <v>5.2999999999999999E-2</v>
      </c>
      <c r="CY16" s="19">
        <v>2.7E-2</v>
      </c>
      <c r="CZ16" s="19">
        <v>1968028</v>
      </c>
      <c r="DA16" s="19">
        <v>427</v>
      </c>
      <c r="DB16" s="19">
        <v>0</v>
      </c>
      <c r="DC16" s="19">
        <v>0</v>
      </c>
      <c r="DD16" s="19">
        <v>20.135092277275085</v>
      </c>
      <c r="DE16" s="23">
        <f>DataTable[[#This Row],[Sens_9]]/AVERAGEIF(DataTable[Strålkälla],DataTable[[#This Row],[Strålkälla]],DataTable[Sens_9])</f>
        <v>0.9976840306364877</v>
      </c>
      <c r="DF16" s="19">
        <v>1685</v>
      </c>
      <c r="DG16" s="19">
        <v>2043</v>
      </c>
      <c r="DH16" s="19">
        <v>9.6000000000000002E-2</v>
      </c>
      <c r="DI16" s="19">
        <v>3.5000000000000003E-2</v>
      </c>
      <c r="DJ16" s="19">
        <v>2.5999999999999999E-2</v>
      </c>
      <c r="DK16" s="19">
        <v>1906817</v>
      </c>
      <c r="DL16" s="19">
        <v>427</v>
      </c>
      <c r="DM16" s="19">
        <v>0</v>
      </c>
      <c r="DN16" s="19">
        <v>0</v>
      </c>
      <c r="DO16" s="19">
        <v>19.508836383870985</v>
      </c>
      <c r="DP16" s="23">
        <f>DataTable[[#This Row],[Sens_10]]/AVERAGEIF(DataTable[Strålkälla],DataTable[[#This Row],[Strålkälla]],DataTable[Sens_10])</f>
        <v>0.99993008501717706</v>
      </c>
      <c r="DQ16" s="19">
        <v>1459</v>
      </c>
      <c r="DR16" s="19">
        <v>1833</v>
      </c>
      <c r="DS16" s="19">
        <v>0.114</v>
      </c>
      <c r="DT16" s="19">
        <v>0.04</v>
      </c>
      <c r="DU16" s="19">
        <v>2.7E-2</v>
      </c>
      <c r="DV16" s="19">
        <v>1678095</v>
      </c>
      <c r="DW16" s="19">
        <v>427</v>
      </c>
      <c r="DX16" s="19">
        <v>1</v>
      </c>
      <c r="DY16" s="19">
        <v>1</v>
      </c>
      <c r="DZ16" s="19">
        <v>17.168758612699584</v>
      </c>
      <c r="EA16" s="23">
        <f>DataTable[[#This Row],[Sens_11]]/AVERAGEIF(DataTable[Strålkälla],DataTable[[#This Row],[Strålkälla]],DataTable[Sens_11])</f>
        <v>0.99992833225029498</v>
      </c>
      <c r="EB16" s="19">
        <v>1714</v>
      </c>
      <c r="EC16" s="19">
        <v>2147</v>
      </c>
      <c r="ED16" s="19">
        <v>0.112</v>
      </c>
      <c r="EE16" s="19">
        <v>4.4999999999999998E-2</v>
      </c>
      <c r="EF16" s="19">
        <v>2.7E-2</v>
      </c>
      <c r="EG16" s="19">
        <v>1998091</v>
      </c>
      <c r="EH16" s="19">
        <v>427</v>
      </c>
      <c r="EI16" s="19">
        <v>1</v>
      </c>
      <c r="EJ16" s="19">
        <v>0</v>
      </c>
      <c r="EK16" s="19">
        <v>20.442669851949695</v>
      </c>
      <c r="EL16" s="23">
        <f>DataTable[[#This Row],[Sens_12]]/AVERAGEIF(DataTable[Strålkälla],DataTable[[#This Row],[Strålkälla]],DataTable[Sens_12])</f>
        <v>0.99879285483665459</v>
      </c>
      <c r="EM16" s="19">
        <v>1503</v>
      </c>
      <c r="EN16" s="19">
        <v>1806</v>
      </c>
      <c r="EO16" s="19">
        <v>9.1999999999999998E-2</v>
      </c>
      <c r="EP16" s="19">
        <v>4.2000000000000003E-2</v>
      </c>
      <c r="EQ16" s="19">
        <v>2.8000000000000001E-2</v>
      </c>
      <c r="ER16" s="19">
        <v>1704568</v>
      </c>
      <c r="ES16" s="19">
        <v>459</v>
      </c>
      <c r="ET16" s="19">
        <v>0</v>
      </c>
      <c r="EU16" s="19">
        <v>0</v>
      </c>
      <c r="EV16" s="19">
        <v>16.22377340109329</v>
      </c>
      <c r="EW16" s="19">
        <f>DataTable[[#This Row],[Sens_13]]/AVERAGEIF(DataTable[Strålkälla],DataTable[[#This Row],[Strålkälla]],DataTable[Sens_13])</f>
        <v>0.99940920211487416</v>
      </c>
      <c r="EX16" s="19">
        <v>1280</v>
      </c>
      <c r="EY16" s="19">
        <v>1575</v>
      </c>
      <c r="EZ16" s="19">
        <v>0.10299999999999999</v>
      </c>
      <c r="FA16" s="19">
        <v>4.5999999999999999E-2</v>
      </c>
      <c r="FB16" s="19">
        <v>3.1E-2</v>
      </c>
      <c r="FC16" s="19">
        <v>1452450</v>
      </c>
      <c r="FD16" s="19">
        <v>459</v>
      </c>
      <c r="FE16" s="19">
        <v>0</v>
      </c>
      <c r="FF16" s="19">
        <v>0</v>
      </c>
      <c r="FG16" s="19">
        <v>13.82415936261736</v>
      </c>
      <c r="FH16" s="19">
        <f>DataTable[[#This Row],[Sens_14]]/AVERAGEIF(DataTable[Strålkälla],DataTable[[#This Row],[Strålkälla]],DataTable[Sens_14])</f>
        <v>0.99792135808263349</v>
      </c>
      <c r="FI16" s="19">
        <v>1417</v>
      </c>
      <c r="FJ16" s="19">
        <v>1731</v>
      </c>
      <c r="FK16" s="19">
        <v>0.1</v>
      </c>
      <c r="FL16" s="19">
        <v>3.5999999999999997E-2</v>
      </c>
      <c r="FM16" s="19">
        <v>2.8000000000000001E-2</v>
      </c>
      <c r="FN16" s="19">
        <v>1624735</v>
      </c>
      <c r="FO16" s="19">
        <v>459</v>
      </c>
      <c r="FP16" s="19">
        <v>0</v>
      </c>
      <c r="FQ16" s="19">
        <v>0</v>
      </c>
      <c r="FR16" s="19">
        <v>15.463937183395034</v>
      </c>
      <c r="FS16" s="19">
        <f>DataTable[[#This Row],[Sens_15]]/AVERAGEIF(DataTable[Strålkälla],DataTable[[#This Row],[Strålkälla]],DataTable[Sens_15])</f>
        <v>0.99982655272468046</v>
      </c>
      <c r="FT16" s="19">
        <v>1273</v>
      </c>
      <c r="FU16" s="19">
        <v>1566</v>
      </c>
      <c r="FV16" s="19">
        <v>0.10299999999999999</v>
      </c>
      <c r="FW16" s="19">
        <v>4.5999999999999999E-2</v>
      </c>
      <c r="FX16" s="19">
        <v>0.03</v>
      </c>
      <c r="FY16" s="19">
        <v>1464434</v>
      </c>
      <c r="FZ16" s="19">
        <v>459</v>
      </c>
      <c r="GA16" s="19">
        <v>0</v>
      </c>
      <c r="GB16" s="19">
        <v>0</v>
      </c>
      <c r="GC16" s="19">
        <v>13.938220931553714</v>
      </c>
      <c r="GD16" s="19">
        <f>DataTable[[#This Row],[Sens_16]]/AVERAGEIF(DataTable[Strålkälla],DataTable[[#This Row],[Strålkälla]],DataTable[Sens_16])</f>
        <v>0.99812190615138485</v>
      </c>
      <c r="GE16" s="19">
        <v>1235</v>
      </c>
      <c r="GF16" s="19">
        <v>1514</v>
      </c>
      <c r="GG16" s="19">
        <v>0.10100000000000001</v>
      </c>
      <c r="GH16" s="19">
        <v>4.2999999999999997E-2</v>
      </c>
      <c r="GI16" s="19">
        <v>2.9000000000000001E-2</v>
      </c>
      <c r="GJ16" s="19">
        <v>1409919</v>
      </c>
      <c r="GK16" s="19">
        <v>459</v>
      </c>
      <c r="GL16" s="19">
        <v>0</v>
      </c>
      <c r="GM16" s="19">
        <v>0</v>
      </c>
      <c r="GN16" s="19">
        <v>13.419356910311617</v>
      </c>
      <c r="GO16" s="19">
        <f>DataTable[[#This Row],[Sens_17]]/AVERAGEIF(DataTable[Strålkälla],DataTable[[#This Row],[Strålkälla]],DataTable[Sens_17])</f>
        <v>0.99818124057409974</v>
      </c>
      <c r="GP16" s="19">
        <v>1415</v>
      </c>
      <c r="GQ16" s="19">
        <v>1786</v>
      </c>
      <c r="GR16" s="19">
        <v>0.11600000000000001</v>
      </c>
      <c r="GS16" s="19">
        <v>4.4999999999999998E-2</v>
      </c>
      <c r="GT16" s="19">
        <v>2.8000000000000001E-2</v>
      </c>
      <c r="GU16" s="19">
        <v>1630692</v>
      </c>
      <c r="GV16" s="19">
        <v>459</v>
      </c>
      <c r="GW16" s="19">
        <v>0</v>
      </c>
      <c r="GX16" s="19">
        <v>1</v>
      </c>
      <c r="GY16" s="19">
        <v>15.520634844122158</v>
      </c>
      <c r="GZ16" s="19">
        <f>DataTable[[#This Row],[Sens_18]]/AVERAGEIF(DataTable[Strålkälla],DataTable[[#This Row],[Strålkälla]],DataTable[Sens_18])</f>
        <v>0.99760790624740914</v>
      </c>
      <c r="HA16" s="19">
        <v>1255</v>
      </c>
      <c r="HB16" s="19">
        <v>1638</v>
      </c>
      <c r="HC16" s="19">
        <v>0.13200000000000001</v>
      </c>
      <c r="HD16" s="19">
        <v>4.8000000000000001E-2</v>
      </c>
      <c r="HE16" s="19">
        <v>3.1E-2</v>
      </c>
      <c r="HF16" s="19">
        <v>1481679</v>
      </c>
      <c r="HG16" s="19">
        <v>459</v>
      </c>
      <c r="HH16" s="19">
        <v>1</v>
      </c>
      <c r="HI16" s="19">
        <v>1</v>
      </c>
      <c r="HJ16" s="19">
        <v>14.102355757680835</v>
      </c>
      <c r="HK16" s="19">
        <f>DataTable[[#This Row],[Sens_19]]/AVERAGEIF(DataTable[Strålkälla],DataTable[[#This Row],[Strålkälla]],DataTable[Sens_19])</f>
        <v>0.99520028203903244</v>
      </c>
      <c r="HL16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0.13200000000000001</v>
      </c>
      <c r="HM16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0.10036842105263161</v>
      </c>
      <c r="HN16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5.2999999999999999E-2</v>
      </c>
      <c r="HO16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4.2000000000000016E-2</v>
      </c>
      <c r="HP16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0.99520028203903244</v>
      </c>
      <c r="HQ16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0.99928319752731587</v>
      </c>
      <c r="HR16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1.001463327211616</v>
      </c>
      <c r="HS16" s="49"/>
    </row>
    <row r="17" spans="2:227" x14ac:dyDescent="0.25">
      <c r="B17" s="19" t="s">
        <v>43</v>
      </c>
      <c r="C17" s="20">
        <v>42408</v>
      </c>
      <c r="D17" s="21">
        <v>0.31872685185185184</v>
      </c>
      <c r="E17" s="13" t="s">
        <v>217</v>
      </c>
      <c r="F17" s="13">
        <v>109.8</v>
      </c>
      <c r="G17" s="13">
        <v>134.19999999999999</v>
      </c>
      <c r="H17" s="24">
        <v>22.251999999999999</v>
      </c>
      <c r="I17" s="22">
        <f>MATCH(DataTable[[#This Row],[Datum]],Övrigt!$D$10:$M$10,1)</f>
        <v>1</v>
      </c>
      <c r="J17" s="13"/>
      <c r="K17" s="22">
        <v>1874</v>
      </c>
      <c r="L17" s="22">
        <v>2251</v>
      </c>
      <c r="M17" s="23">
        <v>9.0999999999999998E-2</v>
      </c>
      <c r="N17" s="23">
        <v>4.7E-2</v>
      </c>
      <c r="O17" s="23">
        <v>2.7E-2</v>
      </c>
      <c r="P17" s="22">
        <v>2078532</v>
      </c>
      <c r="Q17" s="24">
        <v>442</v>
      </c>
      <c r="R17" s="22">
        <v>0</v>
      </c>
      <c r="S17" s="22">
        <v>1</v>
      </c>
      <c r="T17" s="19">
        <v>20.754669372468772</v>
      </c>
      <c r="U17" s="23">
        <f>DataTable[[#This Row],[Sens_1]]/AVERAGEIF(DataTable[Strålkälla],DataTable[[#This Row],[Strålkälla]],DataTable[Sens_1])</f>
        <v>1.0024479676680449</v>
      </c>
      <c r="V17" s="22">
        <v>2158</v>
      </c>
      <c r="W17" s="22">
        <v>2689</v>
      </c>
      <c r="X17" s="23">
        <v>0.11</v>
      </c>
      <c r="Y17" s="23">
        <v>3.2000000000000001E-2</v>
      </c>
      <c r="Z17" s="23">
        <v>2.5000000000000001E-2</v>
      </c>
      <c r="AA17" s="22">
        <v>2452302</v>
      </c>
      <c r="AB17" s="24">
        <v>442</v>
      </c>
      <c r="AC17" s="22">
        <v>1</v>
      </c>
      <c r="AD17" s="22">
        <v>2</v>
      </c>
      <c r="AE17" s="19">
        <v>24.486857653114754</v>
      </c>
      <c r="AF17" s="23">
        <f>DataTable[[#This Row],[Sens_2]]/AVERAGEIF(DataTable[Strålkälla],DataTable[[#This Row],[Strålkälla]],DataTable[Sens_2])</f>
        <v>1.0021239065938317</v>
      </c>
      <c r="AG17" s="22">
        <v>1952</v>
      </c>
      <c r="AH17" s="22">
        <v>2300</v>
      </c>
      <c r="AI17" s="23">
        <v>8.2000000000000003E-2</v>
      </c>
      <c r="AJ17" s="23">
        <v>3.5000000000000003E-2</v>
      </c>
      <c r="AK17" s="23">
        <v>2.5000000000000001E-2</v>
      </c>
      <c r="AL17" s="22">
        <v>2165480</v>
      </c>
      <c r="AM17" s="24">
        <v>442</v>
      </c>
      <c r="AN17" s="22">
        <v>0</v>
      </c>
      <c r="AO17" s="22">
        <v>0</v>
      </c>
      <c r="AP17" s="19">
        <v>21.622867212385316</v>
      </c>
      <c r="AQ17" s="23">
        <f>DataTable[[#This Row],[Sens_3]]/AVERAGEIF(DataTable[Strålkälla],DataTable[[#This Row],[Strålkälla]],DataTable[Sens_3])</f>
        <v>0.99939084914245524</v>
      </c>
      <c r="AR17" s="22">
        <v>1854</v>
      </c>
      <c r="AS17" s="22">
        <v>2228</v>
      </c>
      <c r="AT17" s="23">
        <v>9.1999999999999998E-2</v>
      </c>
      <c r="AU17" s="23">
        <v>3.4000000000000002E-2</v>
      </c>
      <c r="AV17" s="23">
        <v>2.5000000000000001E-2</v>
      </c>
      <c r="AW17" s="22">
        <v>2065696</v>
      </c>
      <c r="AX17" s="24">
        <v>442</v>
      </c>
      <c r="AY17" s="22">
        <v>0</v>
      </c>
      <c r="AZ17" s="22">
        <v>1</v>
      </c>
      <c r="BA17" s="19">
        <v>20.626498655797096</v>
      </c>
      <c r="BB17" s="23">
        <f>DataTable[[#This Row],[Sens_4]]/AVERAGEIF(DataTable[Strålkälla],DataTable[[#This Row],[Strålkälla]],DataTable[Sens_4])</f>
        <v>1.0016772179164075</v>
      </c>
      <c r="BC17" s="22">
        <v>2061</v>
      </c>
      <c r="BD17" s="22">
        <v>2417</v>
      </c>
      <c r="BE17" s="19">
        <v>7.9000000000000001E-2</v>
      </c>
      <c r="BF17" s="19">
        <v>0.04</v>
      </c>
      <c r="BG17" s="19">
        <v>2.4E-2</v>
      </c>
      <c r="BH17" s="19">
        <v>2306185</v>
      </c>
      <c r="BI17" s="19">
        <v>442</v>
      </c>
      <c r="BJ17" s="19">
        <v>0</v>
      </c>
      <c r="BK17" s="19">
        <v>0</v>
      </c>
      <c r="BL17" s="19">
        <v>23.027842336200212</v>
      </c>
      <c r="BM17" s="23">
        <f>DataTable[[#This Row],[Sens_5]]/AVERAGEIF(DataTable[Strålkälla],DataTable[[#This Row],[Strålkälla]],DataTable[Sens_5])</f>
        <v>1.0000709498816867</v>
      </c>
      <c r="BN17" s="19">
        <v>2077</v>
      </c>
      <c r="BO17" s="19">
        <v>2437</v>
      </c>
      <c r="BP17" s="19">
        <v>0.08</v>
      </c>
      <c r="BQ17" s="19">
        <v>3.5000000000000003E-2</v>
      </c>
      <c r="BR17" s="19">
        <v>2.4E-2</v>
      </c>
      <c r="BS17" s="19">
        <v>2307164</v>
      </c>
      <c r="BT17" s="19">
        <v>442</v>
      </c>
      <c r="BU17" s="19">
        <v>0</v>
      </c>
      <c r="BV17" s="19">
        <v>0</v>
      </c>
      <c r="BW17" s="19">
        <v>23.037617899586124</v>
      </c>
      <c r="BX17" s="23">
        <f>DataTable[[#This Row],[Sens_6]]/AVERAGEIF(DataTable[Strålkälla],DataTable[[#This Row],[Strålkälla]],DataTable[Sens_6])</f>
        <v>1.0037527265675099</v>
      </c>
      <c r="BY17" s="19">
        <v>1892</v>
      </c>
      <c r="BZ17" s="19">
        <v>2227</v>
      </c>
      <c r="CA17" s="19">
        <v>8.1000000000000003E-2</v>
      </c>
      <c r="CB17" s="19">
        <v>3.2000000000000001E-2</v>
      </c>
      <c r="CC17" s="19">
        <v>2.5999999999999999E-2</v>
      </c>
      <c r="CD17" s="19">
        <v>2107001</v>
      </c>
      <c r="CE17" s="19">
        <v>442</v>
      </c>
      <c r="CF17" s="19">
        <v>0</v>
      </c>
      <c r="CG17" s="19">
        <v>0</v>
      </c>
      <c r="CH17" s="19">
        <v>21.038939560449911</v>
      </c>
      <c r="CI17" s="23">
        <f>DataTable[[#This Row],[Sens_7]]/AVERAGEIF(DataTable[Strålkälla],DataTable[[#This Row],[Strålkälla]],DataTable[Sens_7])</f>
        <v>1.0010041007073007</v>
      </c>
      <c r="CJ17" s="19">
        <v>2168</v>
      </c>
      <c r="CK17" s="19">
        <v>2607</v>
      </c>
      <c r="CL17" s="19">
        <v>9.1999999999999998E-2</v>
      </c>
      <c r="CM17" s="19">
        <v>3.5999999999999997E-2</v>
      </c>
      <c r="CN17" s="19">
        <v>2.4E-2</v>
      </c>
      <c r="CO17" s="19">
        <v>2448650</v>
      </c>
      <c r="CP17" s="19">
        <v>442</v>
      </c>
      <c r="CQ17" s="19">
        <v>0</v>
      </c>
      <c r="CR17" s="19">
        <v>0</v>
      </c>
      <c r="CS17" s="19">
        <v>24.450391506551576</v>
      </c>
      <c r="CT17" s="23">
        <f>DataTable[[#This Row],[Sens_8]]/AVERAGEIF(DataTable[Strålkälla],DataTable[[#This Row],[Strålkälla]],DataTable[Sens_8])</f>
        <v>1.0021519013641267</v>
      </c>
      <c r="CU17" s="19">
        <v>1749</v>
      </c>
      <c r="CV17" s="19">
        <v>2152</v>
      </c>
      <c r="CW17" s="19">
        <v>0.10299999999999999</v>
      </c>
      <c r="CX17" s="19">
        <v>4.2999999999999997E-2</v>
      </c>
      <c r="CY17" s="19">
        <v>2.5999999999999999E-2</v>
      </c>
      <c r="CZ17" s="19">
        <v>1969612</v>
      </c>
      <c r="DA17" s="19">
        <v>430</v>
      </c>
      <c r="DB17" s="19">
        <v>0</v>
      </c>
      <c r="DC17" s="19">
        <v>1</v>
      </c>
      <c r="DD17" s="19">
        <v>20.215924157614058</v>
      </c>
      <c r="DE17" s="23">
        <f>DataTable[[#This Row],[Sens_9]]/AVERAGEIF(DataTable[Strålkälla],DataTable[[#This Row],[Strålkälla]],DataTable[Sens_9])</f>
        <v>1.0016892109987119</v>
      </c>
      <c r="DF17" s="19">
        <v>1696</v>
      </c>
      <c r="DG17" s="19">
        <v>2018</v>
      </c>
      <c r="DH17" s="19">
        <v>8.6999999999999994E-2</v>
      </c>
      <c r="DI17" s="19">
        <v>4.3999999999999997E-2</v>
      </c>
      <c r="DJ17" s="19">
        <v>2.5000000000000001E-2</v>
      </c>
      <c r="DK17" s="19">
        <v>1906727</v>
      </c>
      <c r="DL17" s="19">
        <v>430</v>
      </c>
      <c r="DM17" s="19">
        <v>0</v>
      </c>
      <c r="DN17" s="19">
        <v>0</v>
      </c>
      <c r="DO17" s="19">
        <v>19.570478054192897</v>
      </c>
      <c r="DP17" s="23">
        <f>DataTable[[#This Row],[Sens_10]]/AVERAGEIF(DataTable[Strålkälla],DataTable[[#This Row],[Strålkälla]],DataTable[Sens_10])</f>
        <v>1.0030895436046994</v>
      </c>
      <c r="DQ17" s="19">
        <v>1483</v>
      </c>
      <c r="DR17" s="19">
        <v>1790</v>
      </c>
      <c r="DS17" s="19">
        <v>9.4E-2</v>
      </c>
      <c r="DT17" s="19">
        <v>3.7999999999999999E-2</v>
      </c>
      <c r="DU17" s="19">
        <v>2.5999999999999999E-2</v>
      </c>
      <c r="DV17" s="19">
        <v>1676957</v>
      </c>
      <c r="DW17" s="19">
        <v>430</v>
      </c>
      <c r="DX17" s="19">
        <v>0</v>
      </c>
      <c r="DY17" s="19">
        <v>0</v>
      </c>
      <c r="DZ17" s="19">
        <v>17.212139003813945</v>
      </c>
      <c r="EA17" s="23">
        <f>DataTable[[#This Row],[Sens_11]]/AVERAGEIF(DataTable[Strålkälla],DataTable[[#This Row],[Strålkälla]],DataTable[Sens_11])</f>
        <v>1.0024548563349929</v>
      </c>
      <c r="EB17" s="19">
        <v>1752</v>
      </c>
      <c r="EC17" s="19">
        <v>2100</v>
      </c>
      <c r="ED17" s="19">
        <v>0.09</v>
      </c>
      <c r="EE17" s="19">
        <v>0.04</v>
      </c>
      <c r="EF17" s="19">
        <v>2.5999999999999999E-2</v>
      </c>
      <c r="EG17" s="19">
        <v>1997553</v>
      </c>
      <c r="EH17" s="19">
        <v>430</v>
      </c>
      <c r="EI17" s="19">
        <v>0</v>
      </c>
      <c r="EJ17" s="19">
        <v>0</v>
      </c>
      <c r="EK17" s="19">
        <v>20.502708121606911</v>
      </c>
      <c r="EL17" s="23">
        <f>DataTable[[#This Row],[Sens_12]]/AVERAGEIF(DataTable[Strålkälla],DataTable[[#This Row],[Strålkälla]],DataTable[Sens_12])</f>
        <v>1.001726218980608</v>
      </c>
      <c r="EM17" s="19">
        <v>1496</v>
      </c>
      <c r="EN17" s="19">
        <v>1810</v>
      </c>
      <c r="EO17" s="19">
        <v>9.5000000000000001E-2</v>
      </c>
      <c r="EP17" s="19">
        <v>4.1000000000000002E-2</v>
      </c>
      <c r="EQ17" s="19">
        <v>2.8000000000000001E-2</v>
      </c>
      <c r="ER17" s="19">
        <v>1699912</v>
      </c>
      <c r="ES17" s="19">
        <v>463</v>
      </c>
      <c r="ET17" s="19">
        <v>0</v>
      </c>
      <c r="EU17" s="19">
        <v>0</v>
      </c>
      <c r="EV17" s="19">
        <v>16.204171175376192</v>
      </c>
      <c r="EW17" s="19">
        <f>DataTable[[#This Row],[Sens_13]]/AVERAGEIF(DataTable[Strålkälla],DataTable[[#This Row],[Strålkälla]],DataTable[Sens_13])</f>
        <v>0.99820167509392355</v>
      </c>
      <c r="EX17" s="19">
        <v>1268</v>
      </c>
      <c r="EY17" s="19">
        <v>1564</v>
      </c>
      <c r="EZ17" s="19">
        <v>0.105</v>
      </c>
      <c r="FA17" s="19">
        <v>4.9000000000000002E-2</v>
      </c>
      <c r="FB17" s="19">
        <v>3.1E-2</v>
      </c>
      <c r="FC17" s="19">
        <v>1452402</v>
      </c>
      <c r="FD17" s="19">
        <v>463</v>
      </c>
      <c r="FE17" s="19">
        <v>0</v>
      </c>
      <c r="FF17" s="19">
        <v>0</v>
      </c>
      <c r="FG17" s="19">
        <v>13.844817039622482</v>
      </c>
      <c r="FH17" s="19">
        <f>DataTable[[#This Row],[Sens_14]]/AVERAGEIF(DataTable[Strålkälla],DataTable[[#This Row],[Strålkälla]],DataTable[Sens_14])</f>
        <v>0.99941256898024</v>
      </c>
      <c r="FI17" s="19">
        <v>1440</v>
      </c>
      <c r="FJ17" s="19">
        <v>1730</v>
      </c>
      <c r="FK17" s="19">
        <v>9.0999999999999998E-2</v>
      </c>
      <c r="FL17" s="19">
        <v>4.1000000000000002E-2</v>
      </c>
      <c r="FM17" s="19">
        <v>2.7E-2</v>
      </c>
      <c r="FN17" s="19">
        <v>1622116</v>
      </c>
      <c r="FO17" s="19">
        <v>463</v>
      </c>
      <c r="FP17" s="19">
        <v>0</v>
      </c>
      <c r="FQ17" s="19">
        <v>0</v>
      </c>
      <c r="FR17" s="19">
        <v>15.462591787290476</v>
      </c>
      <c r="FS17" s="19">
        <f>DataTable[[#This Row],[Sens_15]]/AVERAGEIF(DataTable[Strålkälla],DataTable[[#This Row],[Strålkälla]],DataTable[Sens_15])</f>
        <v>0.99973956564413846</v>
      </c>
      <c r="FT17" s="19">
        <v>1313</v>
      </c>
      <c r="FU17" s="19">
        <v>1581</v>
      </c>
      <c r="FV17" s="19">
        <v>9.2999999999999999E-2</v>
      </c>
      <c r="FW17" s="19">
        <v>4.7E-2</v>
      </c>
      <c r="FX17" s="19">
        <v>2.9000000000000001E-2</v>
      </c>
      <c r="FY17" s="19">
        <v>1465937</v>
      </c>
      <c r="FZ17" s="19">
        <v>463</v>
      </c>
      <c r="GA17" s="19">
        <v>0</v>
      </c>
      <c r="GB17" s="19">
        <v>0</v>
      </c>
      <c r="GC17" s="19">
        <v>13.973837516481705</v>
      </c>
      <c r="GD17" s="19">
        <f>DataTable[[#This Row],[Sens_16]]/AVERAGEIF(DataTable[Strålkälla],DataTable[[#This Row],[Strålkälla]],DataTable[Sens_16])</f>
        <v>1.0006724248878507</v>
      </c>
      <c r="GE17" s="19">
        <v>1219</v>
      </c>
      <c r="GF17" s="19">
        <v>1524</v>
      </c>
      <c r="GG17" s="19">
        <v>0.111</v>
      </c>
      <c r="GH17" s="19">
        <v>0.04</v>
      </c>
      <c r="GI17" s="19">
        <v>0.03</v>
      </c>
      <c r="GJ17" s="19">
        <v>1409334</v>
      </c>
      <c r="GK17" s="19">
        <v>463</v>
      </c>
      <c r="GL17" s="19">
        <v>0</v>
      </c>
      <c r="GM17" s="19">
        <v>0</v>
      </c>
      <c r="GN17" s="19">
        <v>13.434277409229201</v>
      </c>
      <c r="GO17" s="19">
        <f>DataTable[[#This Row],[Sens_17]]/AVERAGEIF(DataTable[Strålkälla],DataTable[[#This Row],[Strålkälla]],DataTable[Sens_17])</f>
        <v>0.99929108229148456</v>
      </c>
      <c r="GP17" s="19">
        <v>1450</v>
      </c>
      <c r="GQ17" s="19">
        <v>1777</v>
      </c>
      <c r="GR17" s="19">
        <v>0.10100000000000001</v>
      </c>
      <c r="GS17" s="19">
        <v>4.8000000000000001E-2</v>
      </c>
      <c r="GT17" s="19">
        <v>2.8000000000000001E-2</v>
      </c>
      <c r="GU17" s="19">
        <v>1633516</v>
      </c>
      <c r="GV17" s="19">
        <v>463</v>
      </c>
      <c r="GW17" s="19">
        <v>0</v>
      </c>
      <c r="GX17" s="19">
        <v>1</v>
      </c>
      <c r="GY17" s="19">
        <v>15.571260678032637</v>
      </c>
      <c r="GZ17" s="19">
        <f>DataTable[[#This Row],[Sens_18]]/AVERAGEIF(DataTable[Strålkälla],DataTable[[#This Row],[Strålkälla]],DataTable[Sens_18])</f>
        <v>1.0008619440285111</v>
      </c>
      <c r="HA17" s="19">
        <v>1289</v>
      </c>
      <c r="HB17" s="19">
        <v>1605</v>
      </c>
      <c r="HC17" s="19">
        <v>0.109</v>
      </c>
      <c r="HD17" s="19">
        <v>6.6000000000000003E-2</v>
      </c>
      <c r="HE17" s="19">
        <v>3.1E-2</v>
      </c>
      <c r="HF17" s="19">
        <v>1485787</v>
      </c>
      <c r="HG17" s="19">
        <v>463</v>
      </c>
      <c r="HH17" s="19">
        <v>0</v>
      </c>
      <c r="HI17" s="19">
        <v>0</v>
      </c>
      <c r="HJ17" s="19">
        <v>14.163054839396784</v>
      </c>
      <c r="HK17" s="19">
        <f>DataTable[[#This Row],[Sens_19]]/AVERAGEIF(DataTable[Strålkälla],DataTable[[#This Row],[Strålkälla]],DataTable[Sens_19])</f>
        <v>0.99948380347908128</v>
      </c>
      <c r="HL17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0.111</v>
      </c>
      <c r="HM17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9.3999999999999986E-2</v>
      </c>
      <c r="HN17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6.6000000000000003E-2</v>
      </c>
      <c r="HO17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4.1473684210526315E-2</v>
      </c>
      <c r="HP17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0.99820167509392355</v>
      </c>
      <c r="HQ17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1.001012763903453</v>
      </c>
      <c r="HR17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1.0037527265675099</v>
      </c>
      <c r="HS17" s="49"/>
    </row>
    <row r="18" spans="2:227" x14ac:dyDescent="0.25">
      <c r="B18" s="19" t="s">
        <v>43</v>
      </c>
      <c r="C18" s="20">
        <v>42410</v>
      </c>
      <c r="D18" s="21">
        <v>0.32049768518518518</v>
      </c>
      <c r="E18" s="13" t="s">
        <v>217</v>
      </c>
      <c r="F18" s="13">
        <v>109.8</v>
      </c>
      <c r="G18" s="13">
        <v>134.19999999999999</v>
      </c>
      <c r="H18" s="24">
        <v>22.391100000000002</v>
      </c>
      <c r="I18" s="22">
        <f>MATCH(DataTable[[#This Row],[Datum]],Övrigt!$D$10:$M$10,1)</f>
        <v>1</v>
      </c>
      <c r="J18" s="13"/>
      <c r="K18" s="22">
        <v>1867</v>
      </c>
      <c r="L18" s="22">
        <v>2204</v>
      </c>
      <c r="M18" s="23">
        <v>8.3000000000000004E-2</v>
      </c>
      <c r="N18" s="23">
        <v>3.6999999999999998E-2</v>
      </c>
      <c r="O18" s="23">
        <v>2.5000000000000001E-2</v>
      </c>
      <c r="P18" s="22">
        <v>2079867</v>
      </c>
      <c r="Q18" s="24">
        <v>445</v>
      </c>
      <c r="R18" s="22">
        <v>0</v>
      </c>
      <c r="S18" s="22">
        <v>0</v>
      </c>
      <c r="T18" s="19">
        <v>20.73349424886554</v>
      </c>
      <c r="U18" s="23">
        <f>DataTable[[#This Row],[Sens_1]]/AVERAGEIF(DataTable[Strålkälla],DataTable[[#This Row],[Strålkälla]],DataTable[Sens_1])</f>
        <v>1.0014252118129534</v>
      </c>
      <c r="V18" s="22">
        <v>2116</v>
      </c>
      <c r="W18" s="22">
        <v>2646</v>
      </c>
      <c r="X18" s="23">
        <v>0.111</v>
      </c>
      <c r="Y18" s="23">
        <v>3.5999999999999997E-2</v>
      </c>
      <c r="Z18" s="23">
        <v>2.4E-2</v>
      </c>
      <c r="AA18" s="22">
        <v>2452556</v>
      </c>
      <c r="AB18" s="24">
        <v>445</v>
      </c>
      <c r="AC18" s="22">
        <v>1</v>
      </c>
      <c r="AD18" s="22">
        <v>1</v>
      </c>
      <c r="AE18" s="19">
        <v>24.448705480216127</v>
      </c>
      <c r="AF18" s="23">
        <f>DataTable[[#This Row],[Sens_2]]/AVERAGEIF(DataTable[Strålkälla],DataTable[[#This Row],[Strålkälla]],DataTable[Sens_2])</f>
        <v>1.0005625300753811</v>
      </c>
      <c r="AG18" s="22">
        <v>1913</v>
      </c>
      <c r="AH18" s="22">
        <v>2318</v>
      </c>
      <c r="AI18" s="23">
        <v>9.6000000000000002E-2</v>
      </c>
      <c r="AJ18" s="23">
        <v>3.7999999999999999E-2</v>
      </c>
      <c r="AK18" s="23">
        <v>2.5000000000000001E-2</v>
      </c>
      <c r="AL18" s="22">
        <v>2171036</v>
      </c>
      <c r="AM18" s="24">
        <v>445</v>
      </c>
      <c r="AN18" s="22">
        <v>0</v>
      </c>
      <c r="AO18" s="22">
        <v>0</v>
      </c>
      <c r="AP18" s="19">
        <v>21.642327331545744</v>
      </c>
      <c r="AQ18" s="23">
        <f>DataTable[[#This Row],[Sens_3]]/AVERAGEIF(DataTable[Strålkälla],DataTable[[#This Row],[Strålkälla]],DataTable[Sens_3])</f>
        <v>1.0002902795843631</v>
      </c>
      <c r="AR18" s="22">
        <v>1865</v>
      </c>
      <c r="AS18" s="22">
        <v>2211</v>
      </c>
      <c r="AT18" s="23">
        <v>8.5000000000000006E-2</v>
      </c>
      <c r="AU18" s="23">
        <v>4.2999999999999997E-2</v>
      </c>
      <c r="AV18" s="23">
        <v>2.5000000000000001E-2</v>
      </c>
      <c r="AW18" s="22">
        <v>2068695</v>
      </c>
      <c r="AX18" s="24">
        <v>445</v>
      </c>
      <c r="AY18" s="22">
        <v>0</v>
      </c>
      <c r="AZ18" s="22">
        <v>0</v>
      </c>
      <c r="BA18" s="19">
        <v>20.622124340237573</v>
      </c>
      <c r="BB18" s="23">
        <f>DataTable[[#This Row],[Sens_4]]/AVERAGEIF(DataTable[Strålkälla],DataTable[[#This Row],[Strålkälla]],DataTable[Sens_4])</f>
        <v>1.0014647896069271</v>
      </c>
      <c r="BC18" s="22">
        <v>2054</v>
      </c>
      <c r="BD18" s="22">
        <v>2453</v>
      </c>
      <c r="BE18" s="19">
        <v>8.8999999999999996E-2</v>
      </c>
      <c r="BF18" s="19">
        <v>4.3999999999999997E-2</v>
      </c>
      <c r="BG18" s="19">
        <v>2.4E-2</v>
      </c>
      <c r="BH18" s="19">
        <v>2306131</v>
      </c>
      <c r="BI18" s="19">
        <v>445</v>
      </c>
      <c r="BJ18" s="19">
        <v>0</v>
      </c>
      <c r="BK18" s="19">
        <v>0</v>
      </c>
      <c r="BL18" s="19">
        <v>22.989043927150409</v>
      </c>
      <c r="BM18" s="23">
        <f>DataTable[[#This Row],[Sens_5]]/AVERAGEIF(DataTable[Strålkälla],DataTable[[#This Row],[Strålkälla]],DataTable[Sens_5])</f>
        <v>0.99838598256143807</v>
      </c>
      <c r="BN18" s="19">
        <v>2095</v>
      </c>
      <c r="BO18" s="19">
        <v>2444</v>
      </c>
      <c r="BP18" s="19">
        <v>7.6999999999999999E-2</v>
      </c>
      <c r="BQ18" s="19">
        <v>4.1000000000000002E-2</v>
      </c>
      <c r="BR18" s="19">
        <v>2.4E-2</v>
      </c>
      <c r="BS18" s="19">
        <v>2300186</v>
      </c>
      <c r="BT18" s="19">
        <v>445</v>
      </c>
      <c r="BU18" s="19">
        <v>0</v>
      </c>
      <c r="BV18" s="19">
        <v>0</v>
      </c>
      <c r="BW18" s="19">
        <v>22.929780222639735</v>
      </c>
      <c r="BX18" s="23">
        <f>DataTable[[#This Row],[Sens_6]]/AVERAGEIF(DataTable[Strålkälla],DataTable[[#This Row],[Strålkälla]],DataTable[Sens_6])</f>
        <v>0.99905422159475454</v>
      </c>
      <c r="BY18" s="19">
        <v>1816</v>
      </c>
      <c r="BZ18" s="19">
        <v>2249</v>
      </c>
      <c r="CA18" s="19">
        <v>0.107</v>
      </c>
      <c r="CB18" s="19">
        <v>3.7999999999999999E-2</v>
      </c>
      <c r="CC18" s="19">
        <v>2.5999999999999999E-2</v>
      </c>
      <c r="CD18" s="19">
        <v>2105583</v>
      </c>
      <c r="CE18" s="19">
        <v>445</v>
      </c>
      <c r="CF18" s="19">
        <v>2</v>
      </c>
      <c r="CG18" s="19">
        <v>0</v>
      </c>
      <c r="CH18" s="19">
        <v>20.989848399445279</v>
      </c>
      <c r="CI18" s="23">
        <f>DataTable[[#This Row],[Sens_7]]/AVERAGEIF(DataTable[Strålkälla],DataTable[[#This Row],[Strålkälla]],DataTable[Sens_7])</f>
        <v>0.99866841010212903</v>
      </c>
      <c r="CJ18" s="19">
        <v>2177</v>
      </c>
      <c r="CK18" s="19">
        <v>2645</v>
      </c>
      <c r="CL18" s="19">
        <v>9.7000000000000003E-2</v>
      </c>
      <c r="CM18" s="19">
        <v>3.5000000000000003E-2</v>
      </c>
      <c r="CN18" s="19">
        <v>2.4E-2</v>
      </c>
      <c r="CO18" s="19">
        <v>2447444</v>
      </c>
      <c r="CP18" s="19">
        <v>445</v>
      </c>
      <c r="CQ18" s="19">
        <v>0</v>
      </c>
      <c r="CR18" s="19">
        <v>1</v>
      </c>
      <c r="CS18" s="19">
        <v>24.397745672401395</v>
      </c>
      <c r="CT18" s="23">
        <f>DataTable[[#This Row],[Sens_8]]/AVERAGEIF(DataTable[Strålkälla],DataTable[[#This Row],[Strålkälla]],DataTable[Sens_8])</f>
        <v>0.9999940985829987</v>
      </c>
      <c r="CU18" s="19">
        <v>1747</v>
      </c>
      <c r="CV18" s="19">
        <v>2099</v>
      </c>
      <c r="CW18" s="19">
        <v>9.1999999999999998E-2</v>
      </c>
      <c r="CX18" s="19">
        <v>4.1000000000000002E-2</v>
      </c>
      <c r="CY18" s="19">
        <v>2.5999999999999999E-2</v>
      </c>
      <c r="CZ18" s="19">
        <v>1971971</v>
      </c>
      <c r="DA18" s="19">
        <v>433</v>
      </c>
      <c r="DB18" s="19">
        <v>0</v>
      </c>
      <c r="DC18" s="19">
        <v>0</v>
      </c>
      <c r="DD18" s="19">
        <v>20.202707442624241</v>
      </c>
      <c r="DE18" s="23">
        <f>DataTable[[#This Row],[Sens_9]]/AVERAGEIF(DataTable[Strålkälla],DataTable[[#This Row],[Strålkälla]],DataTable[Sens_9])</f>
        <v>1.0010343291982597</v>
      </c>
      <c r="DF18" s="19">
        <v>1709</v>
      </c>
      <c r="DG18" s="19">
        <v>2029</v>
      </c>
      <c r="DH18" s="19">
        <v>8.5999999999999993E-2</v>
      </c>
      <c r="DI18" s="19">
        <v>0.04</v>
      </c>
      <c r="DJ18" s="19">
        <v>2.5999999999999999E-2</v>
      </c>
      <c r="DK18" s="19">
        <v>1907957</v>
      </c>
      <c r="DL18" s="19">
        <v>433</v>
      </c>
      <c r="DM18" s="19">
        <v>0</v>
      </c>
      <c r="DN18" s="19">
        <v>0</v>
      </c>
      <c r="DO18" s="19">
        <v>19.546888409670842</v>
      </c>
      <c r="DP18" s="23">
        <f>DataTable[[#This Row],[Sens_10]]/AVERAGEIF(DataTable[Strålkälla],DataTable[[#This Row],[Strålkälla]],DataTable[Sens_10])</f>
        <v>1.0018804507204122</v>
      </c>
      <c r="DQ18" s="19">
        <v>1498</v>
      </c>
      <c r="DR18" s="19">
        <v>1802</v>
      </c>
      <c r="DS18" s="19">
        <v>9.1999999999999998E-2</v>
      </c>
      <c r="DT18" s="19">
        <v>4.2000000000000003E-2</v>
      </c>
      <c r="DU18" s="19">
        <v>2.9000000000000001E-2</v>
      </c>
      <c r="DV18" s="19">
        <v>1678367</v>
      </c>
      <c r="DW18" s="19">
        <v>433</v>
      </c>
      <c r="DX18" s="19">
        <v>0</v>
      </c>
      <c r="DY18" s="19">
        <v>0</v>
      </c>
      <c r="DZ18" s="19">
        <v>17.194754629938739</v>
      </c>
      <c r="EA18" s="23">
        <f>DataTable[[#This Row],[Sens_11]]/AVERAGEIF(DataTable[Strålkälla],DataTable[[#This Row],[Strålkälla]],DataTable[Sens_11])</f>
        <v>1.0014423703208093</v>
      </c>
      <c r="EB18" s="19">
        <v>1725</v>
      </c>
      <c r="EC18" s="19">
        <v>2127</v>
      </c>
      <c r="ED18" s="19">
        <v>0.104</v>
      </c>
      <c r="EE18" s="19">
        <v>4.5999999999999999E-2</v>
      </c>
      <c r="EF18" s="19">
        <v>2.5999999999999999E-2</v>
      </c>
      <c r="EG18" s="19">
        <v>1992406</v>
      </c>
      <c r="EH18" s="19">
        <v>433</v>
      </c>
      <c r="EI18" s="19">
        <v>1</v>
      </c>
      <c r="EJ18" s="19">
        <v>0</v>
      </c>
      <c r="EK18" s="19">
        <v>20.412062613968054</v>
      </c>
      <c r="EL18" s="23">
        <f>DataTable[[#This Row],[Sens_12]]/AVERAGEIF(DataTable[Strålkälla],DataTable[[#This Row],[Strålkälla]],DataTable[Sens_12])</f>
        <v>0.9972974390801147</v>
      </c>
      <c r="EM18" s="19">
        <v>1540</v>
      </c>
      <c r="EN18" s="19">
        <v>1829</v>
      </c>
      <c r="EO18" s="19">
        <v>8.5999999999999993E-2</v>
      </c>
      <c r="EP18" s="19">
        <v>0.04</v>
      </c>
      <c r="EQ18" s="19">
        <v>2.7E-2</v>
      </c>
      <c r="ER18" s="19">
        <v>1703321</v>
      </c>
      <c r="ES18" s="19">
        <v>466</v>
      </c>
      <c r="ET18" s="19">
        <v>0</v>
      </c>
      <c r="EU18" s="19">
        <v>0</v>
      </c>
      <c r="EV18" s="19">
        <v>16.214648235332749</v>
      </c>
      <c r="EW18" s="19">
        <f>DataTable[[#This Row],[Sens_13]]/AVERAGEIF(DataTable[Strålkälla],DataTable[[#This Row],[Strålkälla]],DataTable[Sens_13])</f>
        <v>0.9988470779772618</v>
      </c>
      <c r="EX18" s="19">
        <v>1266</v>
      </c>
      <c r="EY18" s="19">
        <v>1550</v>
      </c>
      <c r="EZ18" s="19">
        <v>0.10100000000000001</v>
      </c>
      <c r="FA18" s="19">
        <v>3.3000000000000002E-2</v>
      </c>
      <c r="FB18" s="19">
        <v>0.03</v>
      </c>
      <c r="FC18" s="19">
        <v>1449534</v>
      </c>
      <c r="FD18" s="19">
        <v>466</v>
      </c>
      <c r="FE18" s="19">
        <v>0</v>
      </c>
      <c r="FF18" s="19">
        <v>0</v>
      </c>
      <c r="FG18" s="19">
        <v>13.798740175900386</v>
      </c>
      <c r="FH18" s="19">
        <f>DataTable[[#This Row],[Sens_14]]/AVERAGEIF(DataTable[Strålkälla],DataTable[[#This Row],[Strålkälla]],DataTable[Sens_14])</f>
        <v>0.99608642919729729</v>
      </c>
      <c r="FI18" s="19">
        <v>1445</v>
      </c>
      <c r="FJ18" s="19">
        <v>1729</v>
      </c>
      <c r="FK18" s="19">
        <v>8.8999999999999996E-2</v>
      </c>
      <c r="FL18" s="19">
        <v>4.1000000000000002E-2</v>
      </c>
      <c r="FM18" s="19">
        <v>2.5999999999999999E-2</v>
      </c>
      <c r="FN18" s="19">
        <v>1626756</v>
      </c>
      <c r="FO18" s="19">
        <v>466</v>
      </c>
      <c r="FP18" s="19">
        <v>0</v>
      </c>
      <c r="FQ18" s="19">
        <v>0</v>
      </c>
      <c r="FR18" s="19">
        <v>15.485792933168183</v>
      </c>
      <c r="FS18" s="19">
        <f>DataTable[[#This Row],[Sens_15]]/AVERAGEIF(DataTable[Strålkälla],DataTable[[#This Row],[Strålkälla]],DataTable[Sens_15])</f>
        <v>1.0012396442739895</v>
      </c>
      <c r="FT18" s="19">
        <v>1294</v>
      </c>
      <c r="FU18" s="19">
        <v>1568</v>
      </c>
      <c r="FV18" s="19">
        <v>9.6000000000000002E-2</v>
      </c>
      <c r="FW18" s="19">
        <v>4.5999999999999999E-2</v>
      </c>
      <c r="FX18" s="19">
        <v>2.9000000000000001E-2</v>
      </c>
      <c r="FY18" s="19">
        <v>1463349</v>
      </c>
      <c r="FZ18" s="19">
        <v>466</v>
      </c>
      <c r="GA18" s="19">
        <v>0</v>
      </c>
      <c r="GB18" s="19">
        <v>0</v>
      </c>
      <c r="GC18" s="19">
        <v>13.930251127371729</v>
      </c>
      <c r="GD18" s="19">
        <f>DataTable[[#This Row],[Sens_16]]/AVERAGEIF(DataTable[Strålkälla],DataTable[[#This Row],[Strålkälla]],DataTable[Sens_16])</f>
        <v>0.99755118509732499</v>
      </c>
      <c r="GE18" s="19">
        <v>1233</v>
      </c>
      <c r="GF18" s="19">
        <v>1569</v>
      </c>
      <c r="GG18" s="19">
        <v>0.12</v>
      </c>
      <c r="GH18" s="19">
        <v>5.3999999999999999E-2</v>
      </c>
      <c r="GI18" s="19">
        <v>0.03</v>
      </c>
      <c r="GJ18" s="19">
        <v>1408741</v>
      </c>
      <c r="GK18" s="19">
        <v>466</v>
      </c>
      <c r="GL18" s="19">
        <v>0</v>
      </c>
      <c r="GM18" s="19">
        <v>1</v>
      </c>
      <c r="GN18" s="19">
        <v>13.410413991074432</v>
      </c>
      <c r="GO18" s="19">
        <f>DataTable[[#This Row],[Sens_17]]/AVERAGEIF(DataTable[Strålkälla],DataTable[[#This Row],[Strålkälla]],DataTable[Sens_17])</f>
        <v>0.99751603327108307</v>
      </c>
      <c r="GP18" s="19">
        <v>1455</v>
      </c>
      <c r="GQ18" s="19">
        <v>1758</v>
      </c>
      <c r="GR18" s="19">
        <v>9.4E-2</v>
      </c>
      <c r="GS18" s="19">
        <v>4.7E-2</v>
      </c>
      <c r="GT18" s="19">
        <v>2.9000000000000001E-2</v>
      </c>
      <c r="GU18" s="19">
        <v>1631381</v>
      </c>
      <c r="GV18" s="19">
        <v>466</v>
      </c>
      <c r="GW18" s="19">
        <v>0</v>
      </c>
      <c r="GX18" s="19">
        <v>0</v>
      </c>
      <c r="GY18" s="19">
        <v>15.529820305629634</v>
      </c>
      <c r="GZ18" s="19">
        <f>DataTable[[#This Row],[Sens_18]]/AVERAGEIF(DataTable[Strålkälla],DataTable[[#This Row],[Strålkälla]],DataTable[Sens_18])</f>
        <v>0.99819831309058404</v>
      </c>
      <c r="HA18" s="19">
        <v>1293</v>
      </c>
      <c r="HB18" s="19">
        <v>1607</v>
      </c>
      <c r="HC18" s="19">
        <v>0.108</v>
      </c>
      <c r="HD18" s="19">
        <v>4.9000000000000002E-2</v>
      </c>
      <c r="HE18" s="19">
        <v>0.03</v>
      </c>
      <c r="HF18" s="19">
        <v>1485522</v>
      </c>
      <c r="HG18" s="19">
        <v>466</v>
      </c>
      <c r="HH18" s="19">
        <v>0</v>
      </c>
      <c r="HI18" s="19">
        <v>0</v>
      </c>
      <c r="HJ18" s="19">
        <v>14.141325490525846</v>
      </c>
      <c r="HK18" s="19">
        <f>DataTable[[#This Row],[Sens_19]]/AVERAGEIF(DataTable[Strålkälla],DataTable[[#This Row],[Strålkälla]],DataTable[Sens_19])</f>
        <v>0.99795036789594449</v>
      </c>
      <c r="HL18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</v>
      </c>
      <c r="HM18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9.5421052631578962E-2</v>
      </c>
      <c r="HN18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5.3999999999999999E-2</v>
      </c>
      <c r="HO18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4.1631578947368429E-2</v>
      </c>
      <c r="HP18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0.99608642919729729</v>
      </c>
      <c r="HQ18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0.99941521916021203</v>
      </c>
      <c r="HR18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1.0018804507204122</v>
      </c>
      <c r="HS18" s="49"/>
    </row>
    <row r="19" spans="2:227" x14ac:dyDescent="0.25">
      <c r="B19" s="19" t="s">
        <v>43</v>
      </c>
      <c r="C19" s="20">
        <v>42411</v>
      </c>
      <c r="D19" s="21">
        <v>0.34834490740740742</v>
      </c>
      <c r="E19" s="13" t="s">
        <v>217</v>
      </c>
      <c r="F19" s="13">
        <v>109.8</v>
      </c>
      <c r="G19" s="13">
        <v>134.19999999999999</v>
      </c>
      <c r="H19" s="24">
        <v>22.470500000000001</v>
      </c>
      <c r="I19" s="22">
        <f>MATCH(DataTable[[#This Row],[Datum]],Övrigt!$D$10:$M$10,1)</f>
        <v>1</v>
      </c>
      <c r="J19" s="13"/>
      <c r="K19" s="22">
        <v>1820</v>
      </c>
      <c r="L19" s="22">
        <v>2212</v>
      </c>
      <c r="M19" s="23">
        <v>9.7000000000000003E-2</v>
      </c>
      <c r="N19" s="23">
        <v>0.04</v>
      </c>
      <c r="O19" s="23">
        <v>2.5999999999999999E-2</v>
      </c>
      <c r="P19" s="22">
        <v>2073795</v>
      </c>
      <c r="Q19" s="24">
        <v>447</v>
      </c>
      <c r="R19" s="22">
        <v>0</v>
      </c>
      <c r="S19" s="22">
        <v>0</v>
      </c>
      <c r="T19" s="19">
        <v>20.633031160039604</v>
      </c>
      <c r="U19" s="23">
        <f>DataTable[[#This Row],[Sens_1]]/AVERAGEIF(DataTable[Strålkälla],DataTable[[#This Row],[Strålkälla]],DataTable[Sens_1])</f>
        <v>0.99657285702898335</v>
      </c>
      <c r="V19" s="22">
        <v>2155</v>
      </c>
      <c r="W19" s="22">
        <v>2598</v>
      </c>
      <c r="X19" s="23">
        <v>9.2999999999999999E-2</v>
      </c>
      <c r="Y19" s="23">
        <v>3.5999999999999997E-2</v>
      </c>
      <c r="Z19" s="23">
        <v>2.5000000000000001E-2</v>
      </c>
      <c r="AA19" s="22">
        <v>2450974</v>
      </c>
      <c r="AB19" s="24">
        <v>447</v>
      </c>
      <c r="AC19" s="22">
        <v>0</v>
      </c>
      <c r="AD19" s="22">
        <v>0</v>
      </c>
      <c r="AE19" s="19">
        <v>24.385738664837611</v>
      </c>
      <c r="AF19" s="23">
        <f>DataTable[[#This Row],[Sens_2]]/AVERAGEIF(DataTable[Strålkälla],DataTable[[#This Row],[Strålkälla]],DataTable[Sens_2])</f>
        <v>0.99798561506624495</v>
      </c>
      <c r="AG19" s="22">
        <v>1893</v>
      </c>
      <c r="AH19" s="22">
        <v>2334</v>
      </c>
      <c r="AI19" s="23">
        <v>0.104</v>
      </c>
      <c r="AJ19" s="23">
        <v>3.5000000000000003E-2</v>
      </c>
      <c r="AK19" s="23">
        <v>2.5999999999999999E-2</v>
      </c>
      <c r="AL19" s="22">
        <v>2167887</v>
      </c>
      <c r="AM19" s="24">
        <v>447</v>
      </c>
      <c r="AN19" s="22">
        <v>1</v>
      </c>
      <c r="AO19" s="22">
        <v>1</v>
      </c>
      <c r="AP19" s="19">
        <v>21.569190793904305</v>
      </c>
      <c r="AQ19" s="23">
        <f>DataTable[[#This Row],[Sens_3]]/AVERAGEIF(DataTable[Strålkälla],DataTable[[#This Row],[Strålkälla]],DataTable[Sens_3])</f>
        <v>0.99690996994554937</v>
      </c>
      <c r="AR19" s="22">
        <v>1827</v>
      </c>
      <c r="AS19" s="22">
        <v>2193</v>
      </c>
      <c r="AT19" s="23">
        <v>9.0999999999999998E-2</v>
      </c>
      <c r="AU19" s="23">
        <v>3.5999999999999997E-2</v>
      </c>
      <c r="AV19" s="23">
        <v>2.5000000000000001E-2</v>
      </c>
      <c r="AW19" s="22">
        <v>2067078</v>
      </c>
      <c r="AX19" s="24">
        <v>447</v>
      </c>
      <c r="AY19" s="22">
        <v>0</v>
      </c>
      <c r="AZ19" s="22">
        <v>0</v>
      </c>
      <c r="BA19" s="19">
        <v>20.566200991048945</v>
      </c>
      <c r="BB19" s="23">
        <f>DataTable[[#This Row],[Sens_4]]/AVERAGEIF(DataTable[Strålkälla],DataTable[[#This Row],[Strålkälla]],DataTable[Sens_4])</f>
        <v>0.99874900416187351</v>
      </c>
      <c r="BC19" s="22">
        <v>2064</v>
      </c>
      <c r="BD19" s="22">
        <v>2425</v>
      </c>
      <c r="BE19" s="19">
        <v>0.08</v>
      </c>
      <c r="BF19" s="19">
        <v>3.5999999999999997E-2</v>
      </c>
      <c r="BG19" s="19">
        <v>2.4E-2</v>
      </c>
      <c r="BH19" s="19">
        <v>2308139</v>
      </c>
      <c r="BI19" s="19">
        <v>447</v>
      </c>
      <c r="BJ19" s="19">
        <v>0</v>
      </c>
      <c r="BK19" s="19">
        <v>0</v>
      </c>
      <c r="BL19" s="19">
        <v>22.964615069812904</v>
      </c>
      <c r="BM19" s="23">
        <f>DataTable[[#This Row],[Sens_5]]/AVERAGEIF(DataTable[Strålkälla],DataTable[[#This Row],[Strålkälla]],DataTable[Sens_5])</f>
        <v>0.9973250672483418</v>
      </c>
      <c r="BN19" s="19">
        <v>2009</v>
      </c>
      <c r="BO19" s="19">
        <v>2475</v>
      </c>
      <c r="BP19" s="19">
        <v>0.104</v>
      </c>
      <c r="BQ19" s="19">
        <v>0.03</v>
      </c>
      <c r="BR19" s="19">
        <v>2.5000000000000001E-2</v>
      </c>
      <c r="BS19" s="19">
        <v>2303693</v>
      </c>
      <c r="BT19" s="19">
        <v>447</v>
      </c>
      <c r="BU19" s="19">
        <v>1</v>
      </c>
      <c r="BV19" s="19">
        <v>1</v>
      </c>
      <c r="BW19" s="19">
        <v>22.920380004853477</v>
      </c>
      <c r="BX19" s="23">
        <f>DataTable[[#This Row],[Sens_6]]/AVERAGEIF(DataTable[Strålkälla],DataTable[[#This Row],[Strålkälla]],DataTable[Sens_6])</f>
        <v>0.99864465259007651</v>
      </c>
      <c r="BY19" s="19">
        <v>1858</v>
      </c>
      <c r="BZ19" s="19">
        <v>2303</v>
      </c>
      <c r="CA19" s="19">
        <v>0.107</v>
      </c>
      <c r="CB19" s="19">
        <v>4.5999999999999999E-2</v>
      </c>
      <c r="CC19" s="19">
        <v>2.7E-2</v>
      </c>
      <c r="CD19" s="19">
        <v>2111405</v>
      </c>
      <c r="CE19" s="19">
        <v>447</v>
      </c>
      <c r="CF19" s="19">
        <v>0</v>
      </c>
      <c r="CG19" s="19">
        <v>2</v>
      </c>
      <c r="CH19" s="19">
        <v>21.007228369469221</v>
      </c>
      <c r="CI19" s="23">
        <f>DataTable[[#This Row],[Sens_7]]/AVERAGEIF(DataTable[Strålkälla],DataTable[[#This Row],[Strålkälla]],DataTable[Sens_7])</f>
        <v>0.99949532541381325</v>
      </c>
      <c r="CJ19" s="19">
        <v>2166</v>
      </c>
      <c r="CK19" s="19">
        <v>2616</v>
      </c>
      <c r="CL19" s="19">
        <v>9.4E-2</v>
      </c>
      <c r="CM19" s="19">
        <v>2.8000000000000001E-2</v>
      </c>
      <c r="CN19" s="19">
        <v>2.4E-2</v>
      </c>
      <c r="CO19" s="19">
        <v>2450598</v>
      </c>
      <c r="CP19" s="19">
        <v>447</v>
      </c>
      <c r="CQ19" s="19">
        <v>1</v>
      </c>
      <c r="CR19" s="19">
        <v>0</v>
      </c>
      <c r="CS19" s="19">
        <v>24.381997687684045</v>
      </c>
      <c r="CT19" s="23">
        <f>DataTable[[#This Row],[Sens_8]]/AVERAGEIF(DataTable[Strålkälla],DataTable[[#This Row],[Strålkälla]],DataTable[Sens_8])</f>
        <v>0.99934863354727865</v>
      </c>
      <c r="CU19" s="19">
        <v>1766</v>
      </c>
      <c r="CV19" s="19">
        <v>2113</v>
      </c>
      <c r="CW19" s="19">
        <v>8.8999999999999996E-2</v>
      </c>
      <c r="CX19" s="19">
        <v>4.2999999999999997E-2</v>
      </c>
      <c r="CY19" s="19">
        <v>2.5999999999999999E-2</v>
      </c>
      <c r="CZ19" s="19">
        <v>1971859</v>
      </c>
      <c r="DA19" s="19">
        <v>434</v>
      </c>
      <c r="DB19" s="19">
        <v>0</v>
      </c>
      <c r="DC19" s="19">
        <v>0</v>
      </c>
      <c r="DD19" s="19">
        <v>20.206489132911294</v>
      </c>
      <c r="DE19" s="23">
        <f>DataTable[[#This Row],[Sens_9]]/AVERAGEIF(DataTable[Strålkälla],DataTable[[#This Row],[Strålkälla]],DataTable[Sens_9])</f>
        <v>1.0012217101129457</v>
      </c>
      <c r="DF19" s="19">
        <v>1717</v>
      </c>
      <c r="DG19" s="19">
        <v>2006</v>
      </c>
      <c r="DH19" s="19">
        <v>7.8E-2</v>
      </c>
      <c r="DI19" s="19">
        <v>3.3000000000000002E-2</v>
      </c>
      <c r="DJ19" s="19">
        <v>2.5000000000000001E-2</v>
      </c>
      <c r="DK19" s="19">
        <v>1904069</v>
      </c>
      <c r="DL19" s="19">
        <v>434</v>
      </c>
      <c r="DM19" s="19">
        <v>0</v>
      </c>
      <c r="DN19" s="19">
        <v>0</v>
      </c>
      <c r="DO19" s="19">
        <v>19.511815782372512</v>
      </c>
      <c r="DP19" s="23">
        <f>DataTable[[#This Row],[Sens_10]]/AVERAGEIF(DataTable[Strålkälla],DataTable[[#This Row],[Strålkälla]],DataTable[Sens_10])</f>
        <v>1.0000827948015183</v>
      </c>
      <c r="DQ19" s="19">
        <v>1478</v>
      </c>
      <c r="DR19" s="19">
        <v>1796</v>
      </c>
      <c r="DS19" s="19">
        <v>9.7000000000000003E-2</v>
      </c>
      <c r="DT19" s="19">
        <v>3.6999999999999998E-2</v>
      </c>
      <c r="DU19" s="19">
        <v>2.7E-2</v>
      </c>
      <c r="DV19" s="19">
        <v>1677854</v>
      </c>
      <c r="DW19" s="19">
        <v>434</v>
      </c>
      <c r="DX19" s="19">
        <v>0</v>
      </c>
      <c r="DY19" s="19">
        <v>0</v>
      </c>
      <c r="DZ19" s="19">
        <v>17.193693168533727</v>
      </c>
      <c r="EA19" s="23">
        <f>DataTable[[#This Row],[Sens_11]]/AVERAGEIF(DataTable[Strålkälla],DataTable[[#This Row],[Strålkälla]],DataTable[Sens_11])</f>
        <v>1.0013805495825483</v>
      </c>
      <c r="EB19" s="19">
        <v>1758</v>
      </c>
      <c r="EC19" s="19">
        <v>2158</v>
      </c>
      <c r="ED19" s="19">
        <v>0.10199999999999999</v>
      </c>
      <c r="EE19" s="19">
        <v>5.5E-2</v>
      </c>
      <c r="EF19" s="19">
        <v>2.5999999999999999E-2</v>
      </c>
      <c r="EG19" s="19">
        <v>1997058</v>
      </c>
      <c r="EH19" s="19">
        <v>434</v>
      </c>
      <c r="EI19" s="19">
        <v>0</v>
      </c>
      <c r="EJ19" s="19">
        <v>1</v>
      </c>
      <c r="EK19" s="19">
        <v>20.464714147813595</v>
      </c>
      <c r="EL19" s="23">
        <f>DataTable[[#This Row],[Sens_12]]/AVERAGEIF(DataTable[Strålkälla],DataTable[[#This Row],[Strålkälla]],DataTable[Sens_12])</f>
        <v>0.99986990031839573</v>
      </c>
      <c r="EM19" s="19">
        <v>1530</v>
      </c>
      <c r="EN19" s="19">
        <v>1846</v>
      </c>
      <c r="EO19" s="19">
        <v>9.4E-2</v>
      </c>
      <c r="EP19" s="19">
        <v>0.04</v>
      </c>
      <c r="EQ19" s="19">
        <v>2.7E-2</v>
      </c>
      <c r="ER19" s="19">
        <v>1703182</v>
      </c>
      <c r="ES19" s="19">
        <v>467</v>
      </c>
      <c r="ET19" s="19">
        <v>0</v>
      </c>
      <c r="EU19" s="19">
        <v>1</v>
      </c>
      <c r="EV19" s="19">
        <v>16.219927632303467</v>
      </c>
      <c r="EW19" s="19">
        <f>DataTable[[#This Row],[Sens_13]]/AVERAGEIF(DataTable[Strålkälla],DataTable[[#This Row],[Strålkälla]],DataTable[Sens_13])</f>
        <v>0.9991722968880361</v>
      </c>
      <c r="EX19" s="19">
        <v>1257</v>
      </c>
      <c r="EY19" s="19">
        <v>1578</v>
      </c>
      <c r="EZ19" s="19">
        <v>0.113</v>
      </c>
      <c r="FA19" s="19">
        <v>4.5999999999999999E-2</v>
      </c>
      <c r="FB19" s="19">
        <v>0.03</v>
      </c>
      <c r="FC19" s="19">
        <v>1450568</v>
      </c>
      <c r="FD19" s="19">
        <v>467</v>
      </c>
      <c r="FE19" s="19">
        <v>0</v>
      </c>
      <c r="FF19" s="19">
        <v>0</v>
      </c>
      <c r="FG19" s="19">
        <v>13.814206576710637</v>
      </c>
      <c r="FH19" s="19">
        <f>DataTable[[#This Row],[Sens_14]]/AVERAGEIF(DataTable[Strålkälla],DataTable[[#This Row],[Strålkälla]],DataTable[Sens_14])</f>
        <v>0.99720289865459766</v>
      </c>
      <c r="FI19" s="19">
        <v>1434</v>
      </c>
      <c r="FJ19" s="19">
        <v>1737</v>
      </c>
      <c r="FK19" s="19">
        <v>9.6000000000000002E-2</v>
      </c>
      <c r="FL19" s="19">
        <v>3.9E-2</v>
      </c>
      <c r="FM19" s="19">
        <v>2.8000000000000001E-2</v>
      </c>
      <c r="FN19" s="19">
        <v>1623034</v>
      </c>
      <c r="FO19" s="19">
        <v>467</v>
      </c>
      <c r="FP19" s="19">
        <v>0</v>
      </c>
      <c r="FQ19" s="19">
        <v>0</v>
      </c>
      <c r="FR19" s="19">
        <v>15.456653501955767</v>
      </c>
      <c r="FS19" s="19">
        <f>DataTable[[#This Row],[Sens_15]]/AVERAGEIF(DataTable[Strålkälla],DataTable[[#This Row],[Strålkälla]],DataTable[Sens_15])</f>
        <v>0.99935562361922692</v>
      </c>
      <c r="FT19" s="19">
        <v>1283</v>
      </c>
      <c r="FU19" s="19">
        <v>1558</v>
      </c>
      <c r="FV19" s="19">
        <v>9.7000000000000003E-2</v>
      </c>
      <c r="FW19" s="19">
        <v>4.2000000000000003E-2</v>
      </c>
      <c r="FX19" s="19">
        <v>2.8000000000000001E-2</v>
      </c>
      <c r="FY19" s="19">
        <v>1465073</v>
      </c>
      <c r="FZ19" s="19">
        <v>467</v>
      </c>
      <c r="GA19" s="19">
        <v>0</v>
      </c>
      <c r="GB19" s="19">
        <v>0</v>
      </c>
      <c r="GC19" s="19">
        <v>13.952342166627957</v>
      </c>
      <c r="GD19" s="19">
        <f>DataTable[[#This Row],[Sens_16]]/AVERAGEIF(DataTable[Strålkälla],DataTable[[#This Row],[Strålkälla]],DataTable[Sens_16])</f>
        <v>0.99913313377783231</v>
      </c>
      <c r="GE19" s="19">
        <v>1263</v>
      </c>
      <c r="GF19" s="19">
        <v>1515</v>
      </c>
      <c r="GG19" s="19">
        <v>9.0999999999999998E-2</v>
      </c>
      <c r="GH19" s="19">
        <v>4.2000000000000003E-2</v>
      </c>
      <c r="GI19" s="19">
        <v>2.8000000000000001E-2</v>
      </c>
      <c r="GJ19" s="19">
        <v>1410615</v>
      </c>
      <c r="GK19" s="19">
        <v>467</v>
      </c>
      <c r="GL19" s="19">
        <v>0</v>
      </c>
      <c r="GM19" s="19">
        <v>0</v>
      </c>
      <c r="GN19" s="19">
        <v>13.433721831866327</v>
      </c>
      <c r="GO19" s="19">
        <f>DataTable[[#This Row],[Sens_17]]/AVERAGEIF(DataTable[Strålkälla],DataTable[[#This Row],[Strålkälla]],DataTable[Sens_17])</f>
        <v>0.99924975639896862</v>
      </c>
      <c r="GP19" s="19">
        <v>1436</v>
      </c>
      <c r="GQ19" s="19">
        <v>1760</v>
      </c>
      <c r="GR19" s="19">
        <v>0.10100000000000001</v>
      </c>
      <c r="GS19" s="19">
        <v>4.3999999999999997E-2</v>
      </c>
      <c r="GT19" s="19">
        <v>2.8000000000000001E-2</v>
      </c>
      <c r="GU19" s="19">
        <v>1631236</v>
      </c>
      <c r="GV19" s="19">
        <v>467</v>
      </c>
      <c r="GW19" s="19">
        <v>0</v>
      </c>
      <c r="GX19" s="19">
        <v>0</v>
      </c>
      <c r="GY19" s="19">
        <v>15.534763678343348</v>
      </c>
      <c r="GZ19" s="19">
        <f>DataTable[[#This Row],[Sens_18]]/AVERAGEIF(DataTable[Strålkälla],DataTable[[#This Row],[Strålkälla]],DataTable[Sens_18])</f>
        <v>0.99851605445569303</v>
      </c>
      <c r="HA19" s="19">
        <v>1317</v>
      </c>
      <c r="HB19" s="19">
        <v>1583</v>
      </c>
      <c r="HC19" s="19">
        <v>9.1999999999999998E-2</v>
      </c>
      <c r="HD19" s="19">
        <v>3.7999999999999999E-2</v>
      </c>
      <c r="HE19" s="19">
        <v>0.03</v>
      </c>
      <c r="HF19" s="19">
        <v>1484693</v>
      </c>
      <c r="HG19" s="19">
        <v>467</v>
      </c>
      <c r="HH19" s="19">
        <v>0</v>
      </c>
      <c r="HI19" s="19">
        <v>0</v>
      </c>
      <c r="HJ19" s="19">
        <v>14.139189479566795</v>
      </c>
      <c r="HK19" s="19">
        <f>DataTable[[#This Row],[Sens_19]]/AVERAGEIF(DataTable[Strålkälla],DataTable[[#This Row],[Strålkälla]],DataTable[Sens_19])</f>
        <v>0.99779963005147276</v>
      </c>
      <c r="HL19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0.113</v>
      </c>
      <c r="HM19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9.5789473684210535E-2</v>
      </c>
      <c r="HN19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5.5E-2</v>
      </c>
      <c r="HO19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3.9263157894736847E-2</v>
      </c>
      <c r="HP19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0.99657285702898335</v>
      </c>
      <c r="HQ19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0.99884291966649441</v>
      </c>
      <c r="HR19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1.0013805495825483</v>
      </c>
      <c r="HS19" s="49"/>
    </row>
    <row r="20" spans="2:227" x14ac:dyDescent="0.25">
      <c r="B20" s="19" t="s">
        <v>43</v>
      </c>
      <c r="C20" s="20">
        <v>42415</v>
      </c>
      <c r="D20" s="21">
        <v>0.32565972222222223</v>
      </c>
      <c r="E20" s="13" t="s">
        <v>217</v>
      </c>
      <c r="F20" s="13">
        <v>109.8</v>
      </c>
      <c r="G20" s="13">
        <v>134.19999999999999</v>
      </c>
      <c r="H20" s="24">
        <v>22.6983</v>
      </c>
      <c r="I20" s="22">
        <f>MATCH(DataTable[[#This Row],[Datum]],Övrigt!$D$10:$M$10,1)</f>
        <v>1</v>
      </c>
      <c r="J20" s="13"/>
      <c r="K20" s="22">
        <v>1873</v>
      </c>
      <c r="L20" s="22">
        <v>2246</v>
      </c>
      <c r="M20" s="23">
        <v>9.0999999999999998E-2</v>
      </c>
      <c r="N20" s="23">
        <v>4.9000000000000002E-2</v>
      </c>
      <c r="O20" s="23">
        <v>2.5000000000000001E-2</v>
      </c>
      <c r="P20" s="22">
        <v>2073870</v>
      </c>
      <c r="Q20" s="24">
        <v>451</v>
      </c>
      <c r="R20" s="22">
        <v>0</v>
      </c>
      <c r="S20" s="22">
        <v>1</v>
      </c>
      <c r="T20" s="19">
        <v>20.660501965586814</v>
      </c>
      <c r="U20" s="23">
        <f>DataTable[[#This Row],[Sens_1]]/AVERAGEIF(DataTable[Strålkälla],DataTable[[#This Row],[Strålkälla]],DataTable[Sens_1])</f>
        <v>0.99789969354450669</v>
      </c>
      <c r="V20" s="22">
        <v>2182</v>
      </c>
      <c r="W20" s="22">
        <v>2636</v>
      </c>
      <c r="X20" s="23">
        <v>9.4E-2</v>
      </c>
      <c r="Y20" s="23">
        <v>3.4000000000000002E-2</v>
      </c>
      <c r="Z20" s="23">
        <v>2.5000000000000001E-2</v>
      </c>
      <c r="AA20" s="22">
        <v>2454362</v>
      </c>
      <c r="AB20" s="24">
        <v>451</v>
      </c>
      <c r="AC20" s="22">
        <v>0</v>
      </c>
      <c r="AD20" s="22">
        <v>1</v>
      </c>
      <c r="AE20" s="19">
        <v>24.45107500723844</v>
      </c>
      <c r="AF20" s="23">
        <f>DataTable[[#This Row],[Sens_2]]/AVERAGEIF(DataTable[Strålkälla],DataTable[[#This Row],[Strålkälla]],DataTable[Sens_2])</f>
        <v>1.0006595028968848</v>
      </c>
      <c r="AG20" s="22">
        <v>1914</v>
      </c>
      <c r="AH20" s="22">
        <v>2298</v>
      </c>
      <c r="AI20" s="23">
        <v>9.0999999999999998E-2</v>
      </c>
      <c r="AJ20" s="23">
        <v>3.1E-2</v>
      </c>
      <c r="AK20" s="23">
        <v>2.5999999999999999E-2</v>
      </c>
      <c r="AL20" s="22">
        <v>2170385</v>
      </c>
      <c r="AM20" s="24">
        <v>451</v>
      </c>
      <c r="AN20" s="22">
        <v>0</v>
      </c>
      <c r="AO20" s="22">
        <v>0</v>
      </c>
      <c r="AP20" s="19">
        <v>21.622012738783116</v>
      </c>
      <c r="AQ20" s="23">
        <f>DataTable[[#This Row],[Sens_3]]/AVERAGEIF(DataTable[Strålkälla],DataTable[[#This Row],[Strålkälla]],DataTable[Sens_3])</f>
        <v>0.99935135608677095</v>
      </c>
      <c r="AR20" s="22">
        <v>1826</v>
      </c>
      <c r="AS20" s="22">
        <v>2183</v>
      </c>
      <c r="AT20" s="23">
        <v>8.8999999999999996E-2</v>
      </c>
      <c r="AU20" s="23">
        <v>3.5000000000000003E-2</v>
      </c>
      <c r="AV20" s="23">
        <v>2.5000000000000001E-2</v>
      </c>
      <c r="AW20" s="22">
        <v>2064883</v>
      </c>
      <c r="AX20" s="24">
        <v>451</v>
      </c>
      <c r="AY20" s="22">
        <v>0</v>
      </c>
      <c r="AZ20" s="22">
        <v>0</v>
      </c>
      <c r="BA20" s="19">
        <v>20.570970832408396</v>
      </c>
      <c r="BB20" s="23">
        <f>DataTable[[#This Row],[Sens_4]]/AVERAGEIF(DataTable[Strålkälla],DataTable[[#This Row],[Strålkälla]],DataTable[Sens_4])</f>
        <v>0.99898064024818012</v>
      </c>
      <c r="BC20" s="22">
        <v>2081</v>
      </c>
      <c r="BD20" s="22">
        <v>2432</v>
      </c>
      <c r="BE20" s="19">
        <v>7.8E-2</v>
      </c>
      <c r="BF20" s="19">
        <v>3.6999999999999998E-2</v>
      </c>
      <c r="BG20" s="19">
        <v>2.3E-2</v>
      </c>
      <c r="BH20" s="19">
        <v>2311311</v>
      </c>
      <c r="BI20" s="19">
        <v>451</v>
      </c>
      <c r="BJ20" s="19">
        <v>0</v>
      </c>
      <c r="BK20" s="19">
        <v>0</v>
      </c>
      <c r="BL20" s="19">
        <v>23.025958935990406</v>
      </c>
      <c r="BM20" s="23">
        <f>DataTable[[#This Row],[Sens_5]]/AVERAGEIF(DataTable[Strålkälla],DataTable[[#This Row],[Strålkälla]],DataTable[Sens_5])</f>
        <v>0.9999891561204941</v>
      </c>
      <c r="BN20" s="19">
        <v>2080</v>
      </c>
      <c r="BO20" s="19">
        <v>2411</v>
      </c>
      <c r="BP20" s="19">
        <v>7.3999999999999996E-2</v>
      </c>
      <c r="BQ20" s="19">
        <v>3.7999999999999999E-2</v>
      </c>
      <c r="BR20" s="19">
        <v>2.3E-2</v>
      </c>
      <c r="BS20" s="19">
        <v>2304116</v>
      </c>
      <c r="BT20" s="19">
        <v>451</v>
      </c>
      <c r="BU20" s="19">
        <v>0</v>
      </c>
      <c r="BV20" s="19">
        <v>0</v>
      </c>
      <c r="BW20" s="19">
        <v>22.954280233061873</v>
      </c>
      <c r="BX20" s="23">
        <f>DataTable[[#This Row],[Sens_6]]/AVERAGEIF(DataTable[Strålkälla],DataTable[[#This Row],[Strålkälla]],DataTable[Sens_6])</f>
        <v>1.000121690999332</v>
      </c>
      <c r="BY20" s="19">
        <v>1873</v>
      </c>
      <c r="BZ20" s="19">
        <v>2377</v>
      </c>
      <c r="CA20" s="19">
        <v>0.11899999999999999</v>
      </c>
      <c r="CB20" s="19">
        <v>4.8000000000000001E-2</v>
      </c>
      <c r="CC20" s="19">
        <v>2.5000000000000001E-2</v>
      </c>
      <c r="CD20" s="19">
        <v>2107119</v>
      </c>
      <c r="CE20" s="19">
        <v>451</v>
      </c>
      <c r="CF20" s="19">
        <v>0</v>
      </c>
      <c r="CG20" s="19">
        <v>2</v>
      </c>
      <c r="CH20" s="19">
        <v>20.991738267695336</v>
      </c>
      <c r="CI20" s="23">
        <f>DataTable[[#This Row],[Sens_7]]/AVERAGEIF(DataTable[Strålkälla],DataTable[[#This Row],[Strålkälla]],DataTable[Sens_7])</f>
        <v>0.99875832746049531</v>
      </c>
      <c r="CJ20" s="19">
        <v>2169</v>
      </c>
      <c r="CK20" s="19">
        <v>2619</v>
      </c>
      <c r="CL20" s="19">
        <v>9.4E-2</v>
      </c>
      <c r="CM20" s="19">
        <v>3.9E-2</v>
      </c>
      <c r="CN20" s="19">
        <v>2.5000000000000001E-2</v>
      </c>
      <c r="CO20" s="19">
        <v>2448544</v>
      </c>
      <c r="CP20" s="19">
        <v>451</v>
      </c>
      <c r="CQ20" s="19">
        <v>0</v>
      </c>
      <c r="CR20" s="19">
        <v>0</v>
      </c>
      <c r="CS20" s="19">
        <v>24.393114382688307</v>
      </c>
      <c r="CT20" s="23">
        <f>DataTable[[#This Row],[Sens_8]]/AVERAGEIF(DataTable[Strålkälla],DataTable[[#This Row],[Strålkälla]],DataTable[Sens_8])</f>
        <v>0.99980427520980253</v>
      </c>
      <c r="CU20" s="19">
        <v>1717</v>
      </c>
      <c r="CV20" s="19">
        <v>2121</v>
      </c>
      <c r="CW20" s="19">
        <v>0.105</v>
      </c>
      <c r="CX20" s="19">
        <v>0.05</v>
      </c>
      <c r="CY20" s="19">
        <v>2.5999999999999999E-2</v>
      </c>
      <c r="CZ20" s="19">
        <v>1967742</v>
      </c>
      <c r="DA20" s="19">
        <v>439</v>
      </c>
      <c r="DB20" s="19">
        <v>1</v>
      </c>
      <c r="DC20" s="19">
        <v>0</v>
      </c>
      <c r="DD20" s="19">
        <v>20.139074879688025</v>
      </c>
      <c r="DE20" s="23">
        <f>DataTable[[#This Row],[Sens_9]]/AVERAGEIF(DataTable[Strålkälla],DataTable[[#This Row],[Strålkälla]],DataTable[Sens_9])</f>
        <v>0.99788136664930793</v>
      </c>
      <c r="DF20" s="19">
        <v>1700</v>
      </c>
      <c r="DG20" s="19">
        <v>2004</v>
      </c>
      <c r="DH20" s="19">
        <v>8.2000000000000003E-2</v>
      </c>
      <c r="DI20" s="19">
        <v>3.7999999999999999E-2</v>
      </c>
      <c r="DJ20" s="19">
        <v>2.5999999999999999E-2</v>
      </c>
      <c r="DK20" s="19">
        <v>1905533</v>
      </c>
      <c r="DL20" s="19">
        <v>439</v>
      </c>
      <c r="DM20" s="19">
        <v>0</v>
      </c>
      <c r="DN20" s="19">
        <v>0</v>
      </c>
      <c r="DO20" s="19">
        <v>19.502389933597271</v>
      </c>
      <c r="DP20" s="23">
        <f>DataTable[[#This Row],[Sens_10]]/AVERAGEIF(DataTable[Strålkälla],DataTable[[#This Row],[Strålkälla]],DataTable[Sens_10])</f>
        <v>0.99959967066321875</v>
      </c>
      <c r="DQ20" s="19">
        <v>1473</v>
      </c>
      <c r="DR20" s="19">
        <v>1783</v>
      </c>
      <c r="DS20" s="19">
        <v>9.5000000000000001E-2</v>
      </c>
      <c r="DT20" s="19">
        <v>3.7999999999999999E-2</v>
      </c>
      <c r="DU20" s="19">
        <v>2.7E-2</v>
      </c>
      <c r="DV20" s="19">
        <v>1678650</v>
      </c>
      <c r="DW20" s="19">
        <v>439</v>
      </c>
      <c r="DX20" s="19">
        <v>0</v>
      </c>
      <c r="DY20" s="19">
        <v>0</v>
      </c>
      <c r="DZ20" s="19">
        <v>17.180330575242234</v>
      </c>
      <c r="EA20" s="23">
        <f>DataTable[[#This Row],[Sens_11]]/AVERAGEIF(DataTable[Strålkälla],DataTable[[#This Row],[Strålkälla]],DataTable[Sens_11])</f>
        <v>1.000602296714888</v>
      </c>
      <c r="EB20" s="19">
        <v>1750</v>
      </c>
      <c r="EC20" s="19">
        <v>2150</v>
      </c>
      <c r="ED20" s="19">
        <v>0.10299999999999999</v>
      </c>
      <c r="EE20" s="19">
        <v>4.7E-2</v>
      </c>
      <c r="EF20" s="19">
        <v>2.7E-2</v>
      </c>
      <c r="EG20" s="19">
        <v>1998728</v>
      </c>
      <c r="EH20" s="19">
        <v>439</v>
      </c>
      <c r="EI20" s="19">
        <v>0</v>
      </c>
      <c r="EJ20" s="19">
        <v>0</v>
      </c>
      <c r="EK20" s="19">
        <v>20.456204551272009</v>
      </c>
      <c r="EL20" s="23">
        <f>DataTable[[#This Row],[Sens_12]]/AVERAGEIF(DataTable[Strålkälla],DataTable[[#This Row],[Strålkälla]],DataTable[Sens_12])</f>
        <v>0.99945413641452052</v>
      </c>
      <c r="EM20" s="19">
        <v>1476</v>
      </c>
      <c r="EN20" s="19">
        <v>1825</v>
      </c>
      <c r="EO20" s="19">
        <v>0.106</v>
      </c>
      <c r="EP20" s="19">
        <v>3.7999999999999999E-2</v>
      </c>
      <c r="EQ20" s="19">
        <v>2.8000000000000001E-2</v>
      </c>
      <c r="ER20" s="19">
        <v>1704614</v>
      </c>
      <c r="ES20" s="19">
        <v>472</v>
      </c>
      <c r="ET20" s="19">
        <v>0</v>
      </c>
      <c r="EU20" s="19">
        <v>0</v>
      </c>
      <c r="EV20" s="19">
        <v>16.226316165808477</v>
      </c>
      <c r="EW20" s="19">
        <f>DataTable[[#This Row],[Sens_13]]/AVERAGEIF(DataTable[Strålkälla],DataTable[[#This Row],[Strålkälla]],DataTable[Sens_13])</f>
        <v>0.99956584030207918</v>
      </c>
      <c r="EX20" s="19">
        <v>1282</v>
      </c>
      <c r="EY20" s="19">
        <v>1589</v>
      </c>
      <c r="EZ20" s="19">
        <v>0.107</v>
      </c>
      <c r="FA20" s="19">
        <v>4.8000000000000001E-2</v>
      </c>
      <c r="FB20" s="19">
        <v>0.03</v>
      </c>
      <c r="FC20" s="19">
        <v>1451210</v>
      </c>
      <c r="FD20" s="19">
        <v>472</v>
      </c>
      <c r="FE20" s="19">
        <v>0</v>
      </c>
      <c r="FF20" s="19">
        <v>1</v>
      </c>
      <c r="FG20" s="19">
        <v>13.814149293026411</v>
      </c>
      <c r="FH20" s="19">
        <f>DataTable[[#This Row],[Sens_14]]/AVERAGEIF(DataTable[Strålkälla],DataTable[[#This Row],[Strålkälla]],DataTable[Sens_14])</f>
        <v>0.9971987635306846</v>
      </c>
      <c r="FI20" s="19">
        <v>1430</v>
      </c>
      <c r="FJ20" s="19">
        <v>1757</v>
      </c>
      <c r="FK20" s="19">
        <v>0.10299999999999999</v>
      </c>
      <c r="FL20" s="19">
        <v>3.5000000000000003E-2</v>
      </c>
      <c r="FM20" s="19">
        <v>2.8000000000000001E-2</v>
      </c>
      <c r="FN20" s="19">
        <v>1621163</v>
      </c>
      <c r="FO20" s="19">
        <v>472</v>
      </c>
      <c r="FP20" s="19">
        <v>0</v>
      </c>
      <c r="FQ20" s="19">
        <v>0</v>
      </c>
      <c r="FR20" s="19">
        <v>15.431941421524504</v>
      </c>
      <c r="FS20" s="19">
        <f>DataTable[[#This Row],[Sens_15]]/AVERAGEIF(DataTable[Strålkälla],DataTable[[#This Row],[Strålkälla]],DataTable[Sens_15])</f>
        <v>0.99775785495945923</v>
      </c>
      <c r="FT20" s="19">
        <v>1275</v>
      </c>
      <c r="FU20" s="19">
        <v>1564</v>
      </c>
      <c r="FV20" s="19">
        <v>0.10199999999999999</v>
      </c>
      <c r="FW20" s="19">
        <v>4.5999999999999999E-2</v>
      </c>
      <c r="FX20" s="19">
        <v>2.9000000000000001E-2</v>
      </c>
      <c r="FY20" s="19">
        <v>1464135</v>
      </c>
      <c r="FZ20" s="19">
        <v>472</v>
      </c>
      <c r="GA20" s="19">
        <v>0</v>
      </c>
      <c r="GB20" s="19">
        <v>0</v>
      </c>
      <c r="GC20" s="19">
        <v>13.937183092140506</v>
      </c>
      <c r="GD20" s="19">
        <f>DataTable[[#This Row],[Sens_16]]/AVERAGEIF(DataTable[Strålkälla],DataTable[[#This Row],[Strålkälla]],DataTable[Sens_16])</f>
        <v>0.99804758603130084</v>
      </c>
      <c r="GE20" s="19">
        <v>1195</v>
      </c>
      <c r="GF20" s="19">
        <v>1496</v>
      </c>
      <c r="GG20" s="19">
        <v>0.112</v>
      </c>
      <c r="GH20" s="19">
        <v>5.5E-2</v>
      </c>
      <c r="GI20" s="19">
        <v>0.03</v>
      </c>
      <c r="GJ20" s="19">
        <v>1410984</v>
      </c>
      <c r="GK20" s="19">
        <v>472</v>
      </c>
      <c r="GL20" s="19">
        <v>1</v>
      </c>
      <c r="GM20" s="19">
        <v>0</v>
      </c>
      <c r="GN20" s="19">
        <v>13.431235745392863</v>
      </c>
      <c r="GO20" s="19">
        <f>DataTable[[#This Row],[Sens_17]]/AVERAGEIF(DataTable[Strålkälla],DataTable[[#This Row],[Strålkälla]],DataTable[Sens_17])</f>
        <v>0.99906483212153541</v>
      </c>
      <c r="GP20" s="19">
        <v>1413</v>
      </c>
      <c r="GQ20" s="19">
        <v>1747</v>
      </c>
      <c r="GR20" s="19">
        <v>0.106</v>
      </c>
      <c r="GS20" s="19">
        <v>4.2999999999999997E-2</v>
      </c>
      <c r="GT20" s="19">
        <v>2.8000000000000001E-2</v>
      </c>
      <c r="GU20" s="19">
        <v>1631983</v>
      </c>
      <c r="GV20" s="19">
        <v>472</v>
      </c>
      <c r="GW20" s="19">
        <v>1</v>
      </c>
      <c r="GX20" s="19">
        <v>0</v>
      </c>
      <c r="GY20" s="19">
        <v>15.534937607707445</v>
      </c>
      <c r="GZ20" s="19">
        <f>DataTable[[#This Row],[Sens_18]]/AVERAGEIF(DataTable[Strålkälla],DataTable[[#This Row],[Strålkälla]],DataTable[Sens_18])</f>
        <v>0.99852723397962961</v>
      </c>
      <c r="HA20" s="19">
        <v>1309</v>
      </c>
      <c r="HB20" s="19">
        <v>1595</v>
      </c>
      <c r="HC20" s="19">
        <v>9.8000000000000004E-2</v>
      </c>
      <c r="HD20" s="19">
        <v>4.3999999999999997E-2</v>
      </c>
      <c r="HE20" s="19">
        <v>0.03</v>
      </c>
      <c r="HF20" s="19">
        <v>1484649</v>
      </c>
      <c r="HG20" s="19">
        <v>472</v>
      </c>
      <c r="HH20" s="19">
        <v>0</v>
      </c>
      <c r="HI20" s="19">
        <v>0</v>
      </c>
      <c r="HJ20" s="19">
        <v>14.132457007423024</v>
      </c>
      <c r="HK20" s="19">
        <f>DataTable[[#This Row],[Sens_19]]/AVERAGEIF(DataTable[Strålkälla],DataTable[[#This Row],[Strålkälla]],DataTable[Sens_19])</f>
        <v>0.99732452090719725</v>
      </c>
      <c r="HL20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0.11899999999999999</v>
      </c>
      <c r="HM20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9.731578947368423E-2</v>
      </c>
      <c r="HN20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5.5E-2</v>
      </c>
      <c r="HO20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4.1736842105263162E-2</v>
      </c>
      <c r="HP20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0.9971987635306846</v>
      </c>
      <c r="HQ20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0.99897835499159415</v>
      </c>
      <c r="HR20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1.0006595028968848</v>
      </c>
      <c r="HS20" s="49"/>
    </row>
    <row r="21" spans="2:227" x14ac:dyDescent="0.25">
      <c r="B21" s="19" t="s">
        <v>43</v>
      </c>
      <c r="C21" s="20">
        <v>42417</v>
      </c>
      <c r="D21" s="21">
        <v>0.31902777777777774</v>
      </c>
      <c r="E21" s="13" t="s">
        <v>217</v>
      </c>
      <c r="F21" s="13">
        <v>109.8</v>
      </c>
      <c r="G21" s="13">
        <v>134.19999999999999</v>
      </c>
      <c r="H21" s="24">
        <v>22.776599999999998</v>
      </c>
      <c r="I21" s="22">
        <f>MATCH(DataTable[[#This Row],[Datum]],Övrigt!$D$10:$M$10,1)</f>
        <v>1</v>
      </c>
      <c r="J21" s="13"/>
      <c r="K21" s="22">
        <v>1843</v>
      </c>
      <c r="L21" s="22">
        <v>2252</v>
      </c>
      <c r="M21" s="23">
        <v>0.1</v>
      </c>
      <c r="N21" s="23">
        <v>4.7E-2</v>
      </c>
      <c r="O21" s="23">
        <v>2.7E-2</v>
      </c>
      <c r="P21" s="22">
        <v>2071572</v>
      </c>
      <c r="Q21" s="24">
        <v>452</v>
      </c>
      <c r="R21" s="22">
        <v>0</v>
      </c>
      <c r="S21" s="22">
        <v>1</v>
      </c>
      <c r="T21" s="19">
        <v>20.697269405792674</v>
      </c>
      <c r="U21" s="23">
        <f>DataTable[[#This Row],[Sens_1]]/AVERAGEIF(DataTable[Strålkälla],DataTable[[#This Row],[Strålkälla]],DataTable[Sens_1])</f>
        <v>0.99967555636598882</v>
      </c>
      <c r="V21" s="22">
        <v>2195</v>
      </c>
      <c r="W21" s="22">
        <v>2596</v>
      </c>
      <c r="X21" s="23">
        <v>8.4000000000000005E-2</v>
      </c>
      <c r="Y21" s="23">
        <v>0.04</v>
      </c>
      <c r="Z21" s="23">
        <v>2.5000000000000001E-2</v>
      </c>
      <c r="AA21" s="22">
        <v>2453661</v>
      </c>
      <c r="AB21" s="24">
        <v>452</v>
      </c>
      <c r="AC21" s="22">
        <v>0</v>
      </c>
      <c r="AD21" s="22">
        <v>0</v>
      </c>
      <c r="AE21" s="19">
        <v>24.514756304625983</v>
      </c>
      <c r="AF21" s="23">
        <f>DataTable[[#This Row],[Sens_2]]/AVERAGEIF(DataTable[Strålkälla],DataTable[[#This Row],[Strålkälla]],DataTable[Sens_2])</f>
        <v>1.003265658060565</v>
      </c>
      <c r="AG21" s="22">
        <v>1872</v>
      </c>
      <c r="AH21" s="22">
        <v>2321</v>
      </c>
      <c r="AI21" s="23">
        <v>0.107</v>
      </c>
      <c r="AJ21" s="23">
        <v>4.3999999999999997E-2</v>
      </c>
      <c r="AK21" s="23">
        <v>2.5000000000000001E-2</v>
      </c>
      <c r="AL21" s="22">
        <v>2166622</v>
      </c>
      <c r="AM21" s="24">
        <v>452</v>
      </c>
      <c r="AN21" s="22">
        <v>1</v>
      </c>
      <c r="AO21" s="22">
        <v>0</v>
      </c>
      <c r="AP21" s="19">
        <v>21.64692283662713</v>
      </c>
      <c r="AQ21" s="23">
        <f>DataTable[[#This Row],[Sens_3]]/AVERAGEIF(DataTable[Strålkälla],DataTable[[#This Row],[Strålkälla]],DataTable[Sens_3])</f>
        <v>1.0005026799880845</v>
      </c>
      <c r="AR21" s="22">
        <v>1851</v>
      </c>
      <c r="AS21" s="22">
        <v>2246</v>
      </c>
      <c r="AT21" s="23">
        <v>9.6000000000000002E-2</v>
      </c>
      <c r="AU21" s="23">
        <v>3.5000000000000003E-2</v>
      </c>
      <c r="AV21" s="23">
        <v>2.5000000000000001E-2</v>
      </c>
      <c r="AW21" s="22">
        <v>2064199</v>
      </c>
      <c r="AX21" s="24">
        <v>452</v>
      </c>
      <c r="AY21" s="22">
        <v>0</v>
      </c>
      <c r="AZ21" s="22">
        <v>2</v>
      </c>
      <c r="BA21" s="19">
        <v>20.623605073909008</v>
      </c>
      <c r="BB21" s="23">
        <f>DataTable[[#This Row],[Sens_4]]/AVERAGEIF(DataTable[Strålkälla],DataTable[[#This Row],[Strålkälla]],DataTable[Sens_4])</f>
        <v>1.0015366979423761</v>
      </c>
      <c r="BC21" s="22">
        <v>2066</v>
      </c>
      <c r="BD21" s="22">
        <v>2451</v>
      </c>
      <c r="BE21" s="19">
        <v>8.5000000000000006E-2</v>
      </c>
      <c r="BF21" s="19">
        <v>4.2999999999999997E-2</v>
      </c>
      <c r="BG21" s="19">
        <v>2.4E-2</v>
      </c>
      <c r="BH21" s="19">
        <v>2313092</v>
      </c>
      <c r="BI21" s="19">
        <v>452</v>
      </c>
      <c r="BJ21" s="19">
        <v>0</v>
      </c>
      <c r="BK21" s="19">
        <v>0</v>
      </c>
      <c r="BL21" s="19">
        <v>23.110318291801487</v>
      </c>
      <c r="BM21" s="23">
        <f>DataTable[[#This Row],[Sens_5]]/AVERAGEIF(DataTable[Strålkälla],DataTable[[#This Row],[Strålkälla]],DataTable[Sens_5])</f>
        <v>1.0036527794798034</v>
      </c>
      <c r="BN21" s="19">
        <v>2057</v>
      </c>
      <c r="BO21" s="19">
        <v>2424</v>
      </c>
      <c r="BP21" s="19">
        <v>8.2000000000000003E-2</v>
      </c>
      <c r="BQ21" s="19">
        <v>3.4000000000000002E-2</v>
      </c>
      <c r="BR21" s="19">
        <v>2.4E-2</v>
      </c>
      <c r="BS21" s="19">
        <v>2303092</v>
      </c>
      <c r="BT21" s="19">
        <v>452</v>
      </c>
      <c r="BU21" s="19">
        <v>0</v>
      </c>
      <c r="BV21" s="19">
        <v>0</v>
      </c>
      <c r="BW21" s="19">
        <v>23.010407357468562</v>
      </c>
      <c r="BX21" s="23">
        <f>DataTable[[#This Row],[Sens_6]]/AVERAGEIF(DataTable[Strålkälla],DataTable[[#This Row],[Strålkälla]],DataTable[Sens_6])</f>
        <v>1.0025671588599052</v>
      </c>
      <c r="BY21" s="19">
        <v>1885</v>
      </c>
      <c r="BZ21" s="19">
        <v>2283</v>
      </c>
      <c r="CA21" s="19">
        <v>9.5000000000000001E-2</v>
      </c>
      <c r="CB21" s="19">
        <v>4.4999999999999998E-2</v>
      </c>
      <c r="CC21" s="19">
        <v>2.7E-2</v>
      </c>
      <c r="CD21" s="19">
        <v>2118634</v>
      </c>
      <c r="CE21" s="19">
        <v>452</v>
      </c>
      <c r="CF21" s="19">
        <v>0</v>
      </c>
      <c r="CG21" s="19">
        <v>0</v>
      </c>
      <c r="CH21" s="19">
        <v>21.167470244950287</v>
      </c>
      <c r="CI21" s="23">
        <f>DataTable[[#This Row],[Sens_7]]/AVERAGEIF(DataTable[Strålkälla],DataTable[[#This Row],[Strålkälla]],DataTable[Sens_7])</f>
        <v>1.007119415687028</v>
      </c>
      <c r="CJ21" s="19">
        <v>2084</v>
      </c>
      <c r="CK21" s="19">
        <v>2615</v>
      </c>
      <c r="CL21" s="19">
        <v>0.113</v>
      </c>
      <c r="CM21" s="19">
        <v>4.1000000000000002E-2</v>
      </c>
      <c r="CN21" s="19">
        <v>2.5000000000000001E-2</v>
      </c>
      <c r="CO21" s="19">
        <v>2443502</v>
      </c>
      <c r="CP21" s="19">
        <v>452</v>
      </c>
      <c r="CQ21" s="19">
        <v>2</v>
      </c>
      <c r="CR21" s="19">
        <v>0</v>
      </c>
      <c r="CS21" s="19">
        <v>24.413256786437167</v>
      </c>
      <c r="CT21" s="23">
        <f>DataTable[[#This Row],[Sens_8]]/AVERAGEIF(DataTable[Strålkälla],DataTable[[#This Row],[Strålkälla]],DataTable[Sens_8])</f>
        <v>1.0006298549642025</v>
      </c>
      <c r="CU21" s="19">
        <v>1756</v>
      </c>
      <c r="CV21" s="19">
        <v>2129</v>
      </c>
      <c r="CW21" s="19">
        <v>9.6000000000000002E-2</v>
      </c>
      <c r="CX21" s="19">
        <v>3.4000000000000002E-2</v>
      </c>
      <c r="CY21" s="19">
        <v>2.5999999999999999E-2</v>
      </c>
      <c r="CZ21" s="19">
        <v>1967031</v>
      </c>
      <c r="DA21" s="19">
        <v>441</v>
      </c>
      <c r="DB21" s="19">
        <v>0</v>
      </c>
      <c r="DC21" s="19">
        <v>1</v>
      </c>
      <c r="DD21" s="19">
        <v>20.142996166092161</v>
      </c>
      <c r="DE21" s="23">
        <f>DataTable[[#This Row],[Sens_9]]/AVERAGEIF(DataTable[Strålkälla],DataTable[[#This Row],[Strålkälla]],DataTable[Sens_9])</f>
        <v>0.99807566448370988</v>
      </c>
      <c r="DF21" s="19">
        <v>1726</v>
      </c>
      <c r="DG21" s="19">
        <v>2032</v>
      </c>
      <c r="DH21" s="19">
        <v>8.1000000000000003E-2</v>
      </c>
      <c r="DI21" s="19">
        <v>3.5999999999999997E-2</v>
      </c>
      <c r="DJ21" s="19">
        <v>2.5000000000000001E-2</v>
      </c>
      <c r="DK21" s="19">
        <v>1905711</v>
      </c>
      <c r="DL21" s="19">
        <v>441</v>
      </c>
      <c r="DM21" s="19">
        <v>0</v>
      </c>
      <c r="DN21" s="19">
        <v>0</v>
      </c>
      <c r="DO21" s="19">
        <v>19.515060701473267</v>
      </c>
      <c r="DP21" s="23">
        <f>DataTable[[#This Row],[Sens_10]]/AVERAGEIF(DataTable[Strålkälla],DataTable[[#This Row],[Strålkälla]],DataTable[Sens_10])</f>
        <v>1.0002491139078171</v>
      </c>
      <c r="DQ21" s="19">
        <v>1509</v>
      </c>
      <c r="DR21" s="19">
        <v>1786</v>
      </c>
      <c r="DS21" s="19">
        <v>8.4000000000000005E-2</v>
      </c>
      <c r="DT21" s="19">
        <v>4.3999999999999997E-2</v>
      </c>
      <c r="DU21" s="19">
        <v>2.7E-2</v>
      </c>
      <c r="DV21" s="19">
        <v>1676550</v>
      </c>
      <c r="DW21" s="19">
        <v>441</v>
      </c>
      <c r="DX21" s="19">
        <v>0</v>
      </c>
      <c r="DY21" s="19">
        <v>0</v>
      </c>
      <c r="DZ21" s="19">
        <v>17.168382309308708</v>
      </c>
      <c r="EA21" s="23">
        <f>DataTable[[#This Row],[Sens_11]]/AVERAGEIF(DataTable[Strålkälla],DataTable[[#This Row],[Strålkälla]],DataTable[Sens_11])</f>
        <v>0.99990641590616403</v>
      </c>
      <c r="EB21" s="19">
        <v>1793</v>
      </c>
      <c r="EC21" s="19">
        <v>2171</v>
      </c>
      <c r="ED21" s="19">
        <v>9.5000000000000001E-2</v>
      </c>
      <c r="EE21" s="19">
        <v>0.05</v>
      </c>
      <c r="EF21" s="19">
        <v>2.7E-2</v>
      </c>
      <c r="EG21" s="19">
        <v>2001736</v>
      </c>
      <c r="EH21" s="19">
        <v>441</v>
      </c>
      <c r="EI21" s="19">
        <v>0</v>
      </c>
      <c r="EJ21" s="19">
        <v>1</v>
      </c>
      <c r="EK21" s="19">
        <v>20.498385929621172</v>
      </c>
      <c r="EL21" s="23">
        <f>DataTable[[#This Row],[Sens_12]]/AVERAGEIF(DataTable[Strålkälla],DataTable[[#This Row],[Strålkälla]],DataTable[Sens_12])</f>
        <v>1.0015150442904206</v>
      </c>
      <c r="EM21" s="19">
        <v>1498</v>
      </c>
      <c r="EN21" s="19">
        <v>1804</v>
      </c>
      <c r="EO21" s="19">
        <v>9.2999999999999999E-2</v>
      </c>
      <c r="EP21" s="19">
        <v>0.04</v>
      </c>
      <c r="EQ21" s="19">
        <v>2.8000000000000001E-2</v>
      </c>
      <c r="ER21" s="19">
        <v>1701211</v>
      </c>
      <c r="ES21" s="19">
        <v>473</v>
      </c>
      <c r="ET21" s="19">
        <v>0</v>
      </c>
      <c r="EU21" s="19">
        <v>0</v>
      </c>
      <c r="EV21" s="19">
        <v>16.242336234538584</v>
      </c>
      <c r="EW21" s="19">
        <f>DataTable[[#This Row],[Sens_13]]/AVERAGEIF(DataTable[Strålkälla],DataTable[[#This Row],[Strålkälla]],DataTable[Sens_13])</f>
        <v>1.0005527009855686</v>
      </c>
      <c r="EX21" s="19">
        <v>1283</v>
      </c>
      <c r="EY21" s="19">
        <v>1538</v>
      </c>
      <c r="EZ21" s="19">
        <v>0.09</v>
      </c>
      <c r="FA21" s="19">
        <v>0.04</v>
      </c>
      <c r="FB21" s="19">
        <v>2.9000000000000001E-2</v>
      </c>
      <c r="FC21" s="19">
        <v>1454334</v>
      </c>
      <c r="FD21" s="19">
        <v>473</v>
      </c>
      <c r="FE21" s="19">
        <v>0</v>
      </c>
      <c r="FF21" s="19">
        <v>0</v>
      </c>
      <c r="FG21" s="19">
        <v>13.885274563426544</v>
      </c>
      <c r="FH21" s="19">
        <f>DataTable[[#This Row],[Sens_14]]/AVERAGEIF(DataTable[Strålkälla],DataTable[[#This Row],[Strålkälla]],DataTable[Sens_14])</f>
        <v>1.0023330667870278</v>
      </c>
      <c r="FI21" s="19">
        <v>1412</v>
      </c>
      <c r="FJ21" s="19">
        <v>1718</v>
      </c>
      <c r="FK21" s="19">
        <v>9.8000000000000004E-2</v>
      </c>
      <c r="FL21" s="19">
        <v>4.2000000000000003E-2</v>
      </c>
      <c r="FM21" s="19">
        <v>2.8000000000000001E-2</v>
      </c>
      <c r="FN21" s="19">
        <v>1620010</v>
      </c>
      <c r="FO21" s="19">
        <v>473</v>
      </c>
      <c r="FP21" s="19">
        <v>0</v>
      </c>
      <c r="FQ21" s="19">
        <v>0</v>
      </c>
      <c r="FR21" s="19">
        <v>15.467068531366685</v>
      </c>
      <c r="FS21" s="19">
        <f>DataTable[[#This Row],[Sens_15]]/AVERAGEIF(DataTable[Strålkälla],DataTable[[#This Row],[Strålkälla]],DataTable[Sens_15])</f>
        <v>1.0000290111808128</v>
      </c>
      <c r="FT21" s="19">
        <v>1291</v>
      </c>
      <c r="FU21" s="19">
        <v>1580</v>
      </c>
      <c r="FV21" s="19">
        <v>0.10100000000000001</v>
      </c>
      <c r="FW21" s="19">
        <v>0.04</v>
      </c>
      <c r="FX21" s="19">
        <v>0.03</v>
      </c>
      <c r="FY21" s="19">
        <v>1466401</v>
      </c>
      <c r="FZ21" s="19">
        <v>473</v>
      </c>
      <c r="GA21" s="19">
        <v>0</v>
      </c>
      <c r="GB21" s="19">
        <v>0</v>
      </c>
      <c r="GC21" s="19">
        <v>14.000484417666952</v>
      </c>
      <c r="GD21" s="19">
        <f>DataTable[[#This Row],[Sens_16]]/AVERAGEIF(DataTable[Strålkälla],DataTable[[#This Row],[Strålkälla]],DataTable[Sens_16])</f>
        <v>1.0025806207712893</v>
      </c>
      <c r="GE21" s="19">
        <v>1243</v>
      </c>
      <c r="GF21" s="19">
        <v>1551</v>
      </c>
      <c r="GG21" s="19">
        <v>0.11</v>
      </c>
      <c r="GH21" s="19">
        <v>4.5999999999999999E-2</v>
      </c>
      <c r="GI21" s="19">
        <v>0.03</v>
      </c>
      <c r="GJ21" s="19">
        <v>1409016</v>
      </c>
      <c r="GK21" s="19">
        <v>473</v>
      </c>
      <c r="GL21" s="19">
        <v>0</v>
      </c>
      <c r="GM21" s="19">
        <v>1</v>
      </c>
      <c r="GN21" s="19">
        <v>13.452600313450017</v>
      </c>
      <c r="GO21" s="19">
        <f>DataTable[[#This Row],[Sens_17]]/AVERAGEIF(DataTable[Strålkälla],DataTable[[#This Row],[Strålkälla]],DataTable[Sens_17])</f>
        <v>1.0006540074590833</v>
      </c>
      <c r="GP21" s="19">
        <v>1441</v>
      </c>
      <c r="GQ21" s="19">
        <v>1737</v>
      </c>
      <c r="GR21" s="19">
        <v>9.2999999999999999E-2</v>
      </c>
      <c r="GS21" s="19">
        <v>4.4999999999999998E-2</v>
      </c>
      <c r="GT21" s="19">
        <v>2.8000000000000001E-2</v>
      </c>
      <c r="GU21" s="19">
        <v>1631865</v>
      </c>
      <c r="GV21" s="19">
        <v>473</v>
      </c>
      <c r="GW21" s="19">
        <v>0</v>
      </c>
      <c r="GX21" s="19">
        <v>0</v>
      </c>
      <c r="GY21" s="19">
        <v>15.580254312589858</v>
      </c>
      <c r="GZ21" s="19">
        <f>DataTable[[#This Row],[Sens_18]]/AVERAGEIF(DataTable[Strålkälla],DataTable[[#This Row],[Strålkälla]],DataTable[Sens_18])</f>
        <v>1.001440020958372</v>
      </c>
      <c r="HA21" s="19">
        <v>1266</v>
      </c>
      <c r="HB21" s="19">
        <v>1604</v>
      </c>
      <c r="HC21" s="19">
        <v>0.11799999999999999</v>
      </c>
      <c r="HD21" s="19">
        <v>5.8999999999999997E-2</v>
      </c>
      <c r="HE21" s="19">
        <v>3.1E-2</v>
      </c>
      <c r="HF21" s="19">
        <v>1486365</v>
      </c>
      <c r="HG21" s="19">
        <v>473</v>
      </c>
      <c r="HH21" s="19">
        <v>1</v>
      </c>
      <c r="HI21" s="19">
        <v>0</v>
      </c>
      <c r="HJ21" s="19">
        <v>14.191090991799335</v>
      </c>
      <c r="HK21" s="19">
        <f>DataTable[[#This Row],[Sens_19]]/AVERAGEIF(DataTable[Strålkälla],DataTable[[#This Row],[Strålkälla]],DataTable[Sens_19])</f>
        <v>1.0014623088619932</v>
      </c>
      <c r="HL21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0.11799999999999999</v>
      </c>
      <c r="HM21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9.5842105263157909E-2</v>
      </c>
      <c r="HN21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5.8999999999999997E-2</v>
      </c>
      <c r="HO21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4.236842105263159E-2</v>
      </c>
      <c r="HP21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0.99807566448370988</v>
      </c>
      <c r="HQ21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1.0014604093126429</v>
      </c>
      <c r="HR21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1.007119415687028</v>
      </c>
      <c r="HS21" s="49"/>
    </row>
    <row r="22" spans="2:227" x14ac:dyDescent="0.25">
      <c r="B22" s="19" t="s">
        <v>43</v>
      </c>
      <c r="C22" s="20">
        <v>42418</v>
      </c>
      <c r="D22" s="21">
        <v>0.31783564814814813</v>
      </c>
      <c r="E22" s="13" t="s">
        <v>217</v>
      </c>
      <c r="F22" s="13">
        <v>109.8</v>
      </c>
      <c r="G22" s="13">
        <v>134.19999999999999</v>
      </c>
      <c r="H22" s="24">
        <v>22.857399999999998</v>
      </c>
      <c r="I22" s="22">
        <f>MATCH(DataTable[[#This Row],[Datum]],Övrigt!$D$10:$M$10,1)</f>
        <v>1</v>
      </c>
      <c r="J22" s="13"/>
      <c r="K22" s="22">
        <v>1871</v>
      </c>
      <c r="L22" s="22">
        <v>2212</v>
      </c>
      <c r="M22" s="23">
        <v>8.4000000000000005E-2</v>
      </c>
      <c r="N22" s="23">
        <v>3.5000000000000003E-2</v>
      </c>
      <c r="O22" s="23">
        <v>2.5999999999999999E-2</v>
      </c>
      <c r="P22" s="22">
        <v>2078659</v>
      </c>
      <c r="Q22" s="24">
        <v>454</v>
      </c>
      <c r="R22" s="22">
        <v>0</v>
      </c>
      <c r="S22" s="22">
        <v>0</v>
      </c>
      <c r="T22" s="19">
        <v>20.729395574190708</v>
      </c>
      <c r="U22" s="23">
        <f>DataTable[[#This Row],[Sens_1]]/AVERAGEIF(DataTable[Strålkälla],DataTable[[#This Row],[Strålkälla]],DataTable[Sens_1])</f>
        <v>1.0012272463323098</v>
      </c>
      <c r="V22" s="22">
        <v>2192</v>
      </c>
      <c r="W22" s="22">
        <v>2579</v>
      </c>
      <c r="X22" s="23">
        <v>8.1000000000000003E-2</v>
      </c>
      <c r="Y22" s="23">
        <v>3.1E-2</v>
      </c>
      <c r="Z22" s="23">
        <v>2.4E-2</v>
      </c>
      <c r="AA22" s="22">
        <v>2452390</v>
      </c>
      <c r="AB22" s="24">
        <v>454</v>
      </c>
      <c r="AC22" s="22">
        <v>0</v>
      </c>
      <c r="AD22" s="22">
        <v>0</v>
      </c>
      <c r="AE22" s="19">
        <v>24.456422343534726</v>
      </c>
      <c r="AF22" s="23">
        <f>DataTable[[#This Row],[Sens_2]]/AVERAGEIF(DataTable[Strålkälla],DataTable[[#This Row],[Strålkälla]],DataTable[Sens_2])</f>
        <v>1.0008783424725876</v>
      </c>
      <c r="AG22" s="22">
        <v>1982</v>
      </c>
      <c r="AH22" s="22">
        <v>2300</v>
      </c>
      <c r="AI22" s="23">
        <v>7.3999999999999996E-2</v>
      </c>
      <c r="AJ22" s="23">
        <v>0.04</v>
      </c>
      <c r="AK22" s="23">
        <v>2.4E-2</v>
      </c>
      <c r="AL22" s="22">
        <v>2171611</v>
      </c>
      <c r="AM22" s="24">
        <v>454</v>
      </c>
      <c r="AN22" s="22">
        <v>0</v>
      </c>
      <c r="AO22" s="22">
        <v>0</v>
      </c>
      <c r="AP22" s="19">
        <v>21.656357994391509</v>
      </c>
      <c r="AQ22" s="23">
        <f>DataTable[[#This Row],[Sens_3]]/AVERAGEIF(DataTable[Strålkälla],DataTable[[#This Row],[Strålkälla]],DataTable[Sens_3])</f>
        <v>1.0009387650936037</v>
      </c>
      <c r="AR22" s="22">
        <v>1868</v>
      </c>
      <c r="AS22" s="22">
        <v>2177</v>
      </c>
      <c r="AT22" s="23">
        <v>7.5999999999999998E-2</v>
      </c>
      <c r="AU22" s="23">
        <v>3.9E-2</v>
      </c>
      <c r="AV22" s="23">
        <v>2.5000000000000001E-2</v>
      </c>
      <c r="AW22" s="22">
        <v>2067189</v>
      </c>
      <c r="AX22" s="24">
        <v>454</v>
      </c>
      <c r="AY22" s="22">
        <v>0</v>
      </c>
      <c r="AZ22" s="22">
        <v>0</v>
      </c>
      <c r="BA22" s="19">
        <v>20.615011171921761</v>
      </c>
      <c r="BB22" s="23">
        <f>DataTable[[#This Row],[Sens_4]]/AVERAGEIF(DataTable[Strålkälla],DataTable[[#This Row],[Strålkälla]],DataTable[Sens_4])</f>
        <v>1.0011193553784596</v>
      </c>
      <c r="BC22" s="22">
        <v>2028</v>
      </c>
      <c r="BD22" s="22">
        <v>2422</v>
      </c>
      <c r="BE22" s="19">
        <v>8.8999999999999996E-2</v>
      </c>
      <c r="BF22" s="19">
        <v>3.2000000000000001E-2</v>
      </c>
      <c r="BG22" s="19">
        <v>2.3E-2</v>
      </c>
      <c r="BH22" s="19">
        <v>2307845</v>
      </c>
      <c r="BI22" s="19">
        <v>454</v>
      </c>
      <c r="BJ22" s="19">
        <v>1</v>
      </c>
      <c r="BK22" s="19">
        <v>0</v>
      </c>
      <c r="BL22" s="19">
        <v>23.014949507792359</v>
      </c>
      <c r="BM22" s="23">
        <f>DataTable[[#This Row],[Sens_5]]/AVERAGEIF(DataTable[Strålkälla],DataTable[[#This Row],[Strålkälla]],DataTable[Sens_5])</f>
        <v>0.99951103015650111</v>
      </c>
      <c r="BN22" s="19">
        <v>2065</v>
      </c>
      <c r="BO22" s="19">
        <v>2463</v>
      </c>
      <c r="BP22" s="19">
        <v>8.7999999999999995E-2</v>
      </c>
      <c r="BQ22" s="19">
        <v>0.03</v>
      </c>
      <c r="BR22" s="19">
        <v>2.4E-2</v>
      </c>
      <c r="BS22" s="19">
        <v>2303539</v>
      </c>
      <c r="BT22" s="19">
        <v>454</v>
      </c>
      <c r="BU22" s="19">
        <v>0</v>
      </c>
      <c r="BV22" s="19">
        <v>0</v>
      </c>
      <c r="BW22" s="19">
        <v>22.972007987638033</v>
      </c>
      <c r="BX22" s="23">
        <f>DataTable[[#This Row],[Sens_6]]/AVERAGEIF(DataTable[Strålkälla],DataTable[[#This Row],[Strålkälla]],DataTable[Sens_6])</f>
        <v>1.0008940921247131</v>
      </c>
      <c r="BY22" s="19">
        <v>1865</v>
      </c>
      <c r="BZ22" s="19">
        <v>2251</v>
      </c>
      <c r="CA22" s="19">
        <v>9.4E-2</v>
      </c>
      <c r="CB22" s="19">
        <v>5.1999999999999998E-2</v>
      </c>
      <c r="CC22" s="19">
        <v>2.7E-2</v>
      </c>
      <c r="CD22" s="19">
        <v>2107577</v>
      </c>
      <c r="CE22" s="19">
        <v>454</v>
      </c>
      <c r="CF22" s="19">
        <v>0</v>
      </c>
      <c r="CG22" s="19">
        <v>0</v>
      </c>
      <c r="CH22" s="19">
        <v>21.017779893703647</v>
      </c>
      <c r="CI22" s="23">
        <f>DataTable[[#This Row],[Sens_7]]/AVERAGEIF(DataTable[Strålkälla],DataTable[[#This Row],[Strålkälla]],DataTable[Sens_7])</f>
        <v>0.99999735257145717</v>
      </c>
      <c r="CJ22" s="19">
        <v>2216</v>
      </c>
      <c r="CK22" s="19">
        <v>2595</v>
      </c>
      <c r="CL22" s="19">
        <v>7.9000000000000001E-2</v>
      </c>
      <c r="CM22" s="19">
        <v>3.5999999999999997E-2</v>
      </c>
      <c r="CN22" s="19">
        <v>2.4E-2</v>
      </c>
      <c r="CO22" s="19">
        <v>2446131</v>
      </c>
      <c r="CP22" s="19">
        <v>454</v>
      </c>
      <c r="CQ22" s="19">
        <v>0</v>
      </c>
      <c r="CR22" s="19">
        <v>0</v>
      </c>
      <c r="CS22" s="19">
        <v>24.394004560291368</v>
      </c>
      <c r="CT22" s="23">
        <f>DataTable[[#This Row],[Sens_8]]/AVERAGEIF(DataTable[Strålkälla],DataTable[[#This Row],[Strålkälla]],DataTable[Sens_8])</f>
        <v>0.99984076105409747</v>
      </c>
      <c r="CU22" s="19">
        <v>1751</v>
      </c>
      <c r="CV22" s="19">
        <v>2122</v>
      </c>
      <c r="CW22" s="19">
        <v>9.6000000000000002E-2</v>
      </c>
      <c r="CX22" s="19">
        <v>4.1000000000000002E-2</v>
      </c>
      <c r="CY22" s="19">
        <v>2.7E-2</v>
      </c>
      <c r="CZ22" s="19">
        <v>1970977</v>
      </c>
      <c r="DA22" s="19">
        <v>442</v>
      </c>
      <c r="DB22" s="19">
        <v>0</v>
      </c>
      <c r="DC22" s="19">
        <v>0</v>
      </c>
      <c r="DD22" s="19">
        <v>20.189172978890941</v>
      </c>
      <c r="DE22" s="23">
        <f>DataTable[[#This Row],[Sens_9]]/AVERAGEIF(DataTable[Strålkälla],DataTable[[#This Row],[Strålkälla]],DataTable[Sens_9])</f>
        <v>1.0003637031020891</v>
      </c>
      <c r="DF22" s="19">
        <v>1716</v>
      </c>
      <c r="DG22" s="19">
        <v>2036</v>
      </c>
      <c r="DH22" s="19">
        <v>8.5000000000000006E-2</v>
      </c>
      <c r="DI22" s="19">
        <v>3.5000000000000003E-2</v>
      </c>
      <c r="DJ22" s="19">
        <v>2.5999999999999999E-2</v>
      </c>
      <c r="DK22" s="19">
        <v>1908995</v>
      </c>
      <c r="DL22" s="19">
        <v>442</v>
      </c>
      <c r="DM22" s="19">
        <v>0</v>
      </c>
      <c r="DN22" s="19">
        <v>0</v>
      </c>
      <c r="DO22" s="19">
        <v>19.554277026488851</v>
      </c>
      <c r="DP22" s="23">
        <f>DataTable[[#This Row],[Sens_10]]/AVERAGEIF(DataTable[Strålkälla],DataTable[[#This Row],[Strålkälla]],DataTable[Sens_10])</f>
        <v>1.0022591560464305</v>
      </c>
      <c r="DQ22" s="19">
        <v>1501</v>
      </c>
      <c r="DR22" s="19">
        <v>1789</v>
      </c>
      <c r="DS22" s="19">
        <v>8.7999999999999995E-2</v>
      </c>
      <c r="DT22" s="19">
        <v>4.1000000000000002E-2</v>
      </c>
      <c r="DU22" s="19">
        <v>2.8000000000000001E-2</v>
      </c>
      <c r="DV22" s="19">
        <v>1674418</v>
      </c>
      <c r="DW22" s="19">
        <v>442</v>
      </c>
      <c r="DX22" s="19">
        <v>0</v>
      </c>
      <c r="DY22" s="19">
        <v>0</v>
      </c>
      <c r="DZ22" s="19">
        <v>17.151450595805336</v>
      </c>
      <c r="EA22" s="23">
        <f>DataTable[[#This Row],[Sens_11]]/AVERAGEIF(DataTable[Strålkälla],DataTable[[#This Row],[Strålkälla]],DataTable[Sens_11])</f>
        <v>0.99892029335487809</v>
      </c>
      <c r="EB22" s="19">
        <v>1748</v>
      </c>
      <c r="EC22" s="19">
        <v>2146</v>
      </c>
      <c r="ED22" s="19">
        <v>0.10199999999999999</v>
      </c>
      <c r="EE22" s="19">
        <v>4.7E-2</v>
      </c>
      <c r="EF22" s="19">
        <v>2.5999999999999999E-2</v>
      </c>
      <c r="EG22" s="19">
        <v>1996563</v>
      </c>
      <c r="EH22" s="19">
        <v>442</v>
      </c>
      <c r="EI22" s="19">
        <v>0</v>
      </c>
      <c r="EJ22" s="19">
        <v>0</v>
      </c>
      <c r="EK22" s="19">
        <v>20.451256290790525</v>
      </c>
      <c r="EL22" s="23">
        <f>DataTable[[#This Row],[Sens_12]]/AVERAGEIF(DataTable[Strålkälla],DataTable[[#This Row],[Strålkälla]],DataTable[Sens_12])</f>
        <v>0.99921237311997191</v>
      </c>
      <c r="EM22" s="19">
        <v>1492</v>
      </c>
      <c r="EN22" s="19">
        <v>1825</v>
      </c>
      <c r="EO22" s="19">
        <v>0.1</v>
      </c>
      <c r="EP22" s="19">
        <v>4.1000000000000002E-2</v>
      </c>
      <c r="EQ22" s="19">
        <v>2.8000000000000001E-2</v>
      </c>
      <c r="ER22" s="19">
        <v>1706148</v>
      </c>
      <c r="ES22" s="19">
        <v>475</v>
      </c>
      <c r="ET22" s="19">
        <v>0</v>
      </c>
      <c r="EU22" s="19">
        <v>0</v>
      </c>
      <c r="EV22" s="19">
        <v>16.262313678651179</v>
      </c>
      <c r="EW22" s="19">
        <f>DataTable[[#This Row],[Sens_13]]/AVERAGEIF(DataTable[Strålkälla],DataTable[[#This Row],[Strålkälla]],DataTable[Sens_13])</f>
        <v>1.0017833420323374</v>
      </c>
      <c r="EX22" s="19">
        <v>1260</v>
      </c>
      <c r="EY22" s="19">
        <v>1575</v>
      </c>
      <c r="EZ22" s="19">
        <v>0.111</v>
      </c>
      <c r="FA22" s="19">
        <v>4.4999999999999998E-2</v>
      </c>
      <c r="FB22" s="19">
        <v>3.1E-2</v>
      </c>
      <c r="FC22" s="19">
        <v>1451909</v>
      </c>
      <c r="FD22" s="19">
        <v>475</v>
      </c>
      <c r="FE22" s="19">
        <v>0</v>
      </c>
      <c r="FF22" s="19">
        <v>0</v>
      </c>
      <c r="FG22" s="19">
        <v>13.839010209464098</v>
      </c>
      <c r="FH22" s="19">
        <f>DataTable[[#This Row],[Sens_14]]/AVERAGEIF(DataTable[Strålkälla],DataTable[[#This Row],[Strålkälla]],DataTable[Sens_14])</f>
        <v>0.99899339268996379</v>
      </c>
      <c r="FI22" s="19">
        <v>1433</v>
      </c>
      <c r="FJ22" s="19">
        <v>1717</v>
      </c>
      <c r="FK22" s="19">
        <v>0.09</v>
      </c>
      <c r="FL22" s="19">
        <v>3.7999999999999999E-2</v>
      </c>
      <c r="FM22" s="19">
        <v>2.7E-2</v>
      </c>
      <c r="FN22" s="19">
        <v>1617763</v>
      </c>
      <c r="FO22" s="19">
        <v>475</v>
      </c>
      <c r="FP22" s="19">
        <v>0</v>
      </c>
      <c r="FQ22" s="19">
        <v>0</v>
      </c>
      <c r="FR22" s="19">
        <v>15.419863554460553</v>
      </c>
      <c r="FS22" s="19">
        <f>DataTable[[#This Row],[Sens_15]]/AVERAGEIF(DataTable[Strålkälla],DataTable[[#This Row],[Strålkälla]],DataTable[Sens_15])</f>
        <v>0.99697695601712621</v>
      </c>
      <c r="FT22" s="19">
        <v>1285</v>
      </c>
      <c r="FU22" s="19">
        <v>1567</v>
      </c>
      <c r="FV22" s="19">
        <v>9.9000000000000005E-2</v>
      </c>
      <c r="FW22" s="19">
        <v>5.1999999999999998E-2</v>
      </c>
      <c r="FX22" s="19">
        <v>0.03</v>
      </c>
      <c r="FY22" s="19">
        <v>1465867</v>
      </c>
      <c r="FZ22" s="19">
        <v>475</v>
      </c>
      <c r="GA22" s="19">
        <v>0</v>
      </c>
      <c r="GB22" s="19">
        <v>0</v>
      </c>
      <c r="GC22" s="19">
        <v>13.97205222828463</v>
      </c>
      <c r="GD22" s="19">
        <f>DataTable[[#This Row],[Sens_16]]/AVERAGEIF(DataTable[Strålkälla],DataTable[[#This Row],[Strålkälla]],DataTable[Sens_16])</f>
        <v>1.0005445796436805</v>
      </c>
      <c r="GE22" s="19">
        <v>1258</v>
      </c>
      <c r="GF22" s="19">
        <v>1543</v>
      </c>
      <c r="GG22" s="19">
        <v>0.10199999999999999</v>
      </c>
      <c r="GH22" s="19">
        <v>4.2000000000000003E-2</v>
      </c>
      <c r="GI22" s="19">
        <v>3.1E-2</v>
      </c>
      <c r="GJ22" s="19">
        <v>1409129</v>
      </c>
      <c r="GK22" s="19">
        <v>475</v>
      </c>
      <c r="GL22" s="19">
        <v>0</v>
      </c>
      <c r="GM22" s="19">
        <v>0</v>
      </c>
      <c r="GN22" s="19">
        <v>13.431248526906256</v>
      </c>
      <c r="GO22" s="19">
        <f>DataTable[[#This Row],[Sens_17]]/AVERAGEIF(DataTable[Strålkälla],DataTable[[#This Row],[Strålkälla]],DataTable[Sens_17])</f>
        <v>0.9990657828576236</v>
      </c>
      <c r="GP22" s="19">
        <v>1437</v>
      </c>
      <c r="GQ22" s="19">
        <v>1722</v>
      </c>
      <c r="GR22" s="19">
        <v>0.09</v>
      </c>
      <c r="GS22" s="19">
        <v>0.04</v>
      </c>
      <c r="GT22" s="19">
        <v>2.7E-2</v>
      </c>
      <c r="GU22" s="19">
        <v>1633528</v>
      </c>
      <c r="GV22" s="19">
        <v>475</v>
      </c>
      <c r="GW22" s="19">
        <v>0</v>
      </c>
      <c r="GX22" s="19">
        <v>0</v>
      </c>
      <c r="GY22" s="19">
        <v>15.570129167492913</v>
      </c>
      <c r="GZ22" s="19">
        <f>DataTable[[#This Row],[Sens_18]]/AVERAGEIF(DataTable[Strålkälla],DataTable[[#This Row],[Strålkälla]],DataTable[Sens_18])</f>
        <v>1.0007892147959916</v>
      </c>
      <c r="HA22" s="19">
        <v>1311</v>
      </c>
      <c r="HB22" s="19">
        <v>1609</v>
      </c>
      <c r="HC22" s="19">
        <v>0.10199999999999999</v>
      </c>
      <c r="HD22" s="19">
        <v>4.7E-2</v>
      </c>
      <c r="HE22" s="19">
        <v>3.1E-2</v>
      </c>
      <c r="HF22" s="19">
        <v>1484095</v>
      </c>
      <c r="HG22" s="19">
        <v>475</v>
      </c>
      <c r="HH22" s="19">
        <v>0</v>
      </c>
      <c r="HI22" s="19">
        <v>0</v>
      </c>
      <c r="HJ22" s="19">
        <v>14.145794162591885</v>
      </c>
      <c r="HK22" s="19">
        <f>DataTable[[#This Row],[Sens_19]]/AVERAGEIF(DataTable[Strålkälla],DataTable[[#This Row],[Strålkälla]],DataTable[Sens_19])</f>
        <v>0.99826572114449941</v>
      </c>
      <c r="HL22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0.111</v>
      </c>
      <c r="HM22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9.1052631578947385E-2</v>
      </c>
      <c r="HN22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5.1999999999999998E-2</v>
      </c>
      <c r="HO22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4.0210526315789481E-2</v>
      </c>
      <c r="HP22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0.99697695601712621</v>
      </c>
      <c r="HQ22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1.0000832347362276</v>
      </c>
      <c r="HR22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1.0022591560464305</v>
      </c>
      <c r="HS22" s="49"/>
    </row>
    <row r="23" spans="2:227" x14ac:dyDescent="0.25">
      <c r="B23" s="19" t="s">
        <v>43</v>
      </c>
      <c r="C23" s="20">
        <v>42422</v>
      </c>
      <c r="D23" s="21">
        <v>0.31680555555555556</v>
      </c>
      <c r="E23" s="13" t="s">
        <v>217</v>
      </c>
      <c r="F23" s="13">
        <v>109.8</v>
      </c>
      <c r="G23" s="13">
        <v>134.19999999999999</v>
      </c>
      <c r="H23" s="24">
        <v>23.076799999999999</v>
      </c>
      <c r="I23" s="22">
        <f>MATCH(DataTable[[#This Row],[Datum]],Övrigt!$D$10:$M$10,1)</f>
        <v>1</v>
      </c>
      <c r="J23" s="13"/>
      <c r="K23" s="22">
        <v>1824</v>
      </c>
      <c r="L23" s="22">
        <v>2185</v>
      </c>
      <c r="M23" s="23">
        <v>0.09</v>
      </c>
      <c r="N23" s="23">
        <v>3.9E-2</v>
      </c>
      <c r="O23" s="23">
        <v>2.5000000000000001E-2</v>
      </c>
      <c r="P23" s="22">
        <v>2080975</v>
      </c>
      <c r="Q23" s="24">
        <v>458</v>
      </c>
      <c r="R23" s="22">
        <v>1</v>
      </c>
      <c r="S23" s="22">
        <v>0</v>
      </c>
      <c r="T23" s="19">
        <v>20.782212163165223</v>
      </c>
      <c r="U23" s="23">
        <f>DataTable[[#This Row],[Sens_1]]/AVERAGEIF(DataTable[Strålkälla],DataTable[[#This Row],[Strålkälla]],DataTable[Sens_1])</f>
        <v>1.003778281057387</v>
      </c>
      <c r="V23" s="22">
        <v>2140</v>
      </c>
      <c r="W23" s="22">
        <v>2594</v>
      </c>
      <c r="X23" s="23">
        <v>9.6000000000000002E-2</v>
      </c>
      <c r="Y23" s="23">
        <v>4.2000000000000003E-2</v>
      </c>
      <c r="Z23" s="23">
        <v>2.5000000000000001E-2</v>
      </c>
      <c r="AA23" s="22">
        <v>2452055</v>
      </c>
      <c r="AB23" s="24">
        <v>458</v>
      </c>
      <c r="AC23" s="22">
        <v>1</v>
      </c>
      <c r="AD23" s="22">
        <v>0</v>
      </c>
      <c r="AE23" s="19">
        <v>24.488101608981417</v>
      </c>
      <c r="AF23" s="23">
        <f>DataTable[[#This Row],[Sens_2]]/AVERAGEIF(DataTable[Strålkälla],DataTable[[#This Row],[Strålkälla]],DataTable[Sens_2])</f>
        <v>1.0021748154499368</v>
      </c>
      <c r="AG23" s="22">
        <v>1982</v>
      </c>
      <c r="AH23" s="22">
        <v>2358</v>
      </c>
      <c r="AI23" s="23">
        <v>8.6999999999999994E-2</v>
      </c>
      <c r="AJ23" s="23">
        <v>3.1E-2</v>
      </c>
      <c r="AK23" s="23">
        <v>2.4E-2</v>
      </c>
      <c r="AL23" s="22">
        <v>2168646</v>
      </c>
      <c r="AM23" s="24">
        <v>458</v>
      </c>
      <c r="AN23" s="22">
        <v>0</v>
      </c>
      <c r="AO23" s="22">
        <v>1</v>
      </c>
      <c r="AP23" s="19">
        <v>21.657762000408276</v>
      </c>
      <c r="AQ23" s="23">
        <f>DataTable[[#This Row],[Sens_3]]/AVERAGEIF(DataTable[Strålkälla],DataTable[[#This Row],[Strålkälla]],DataTable[Sens_3])</f>
        <v>1.001003657078164</v>
      </c>
      <c r="AR23" s="22">
        <v>1846</v>
      </c>
      <c r="AS23" s="22">
        <v>2190</v>
      </c>
      <c r="AT23" s="23">
        <v>8.5000000000000006E-2</v>
      </c>
      <c r="AU23" s="23">
        <v>0.04</v>
      </c>
      <c r="AV23" s="23">
        <v>2.5000000000000001E-2</v>
      </c>
      <c r="AW23" s="22">
        <v>2067980</v>
      </c>
      <c r="AX23" s="24">
        <v>458</v>
      </c>
      <c r="AY23" s="22">
        <v>0</v>
      </c>
      <c r="AZ23" s="22">
        <v>0</v>
      </c>
      <c r="BA23" s="19">
        <v>20.652434127840277</v>
      </c>
      <c r="BB23" s="23">
        <f>DataTable[[#This Row],[Sens_4]]/AVERAGEIF(DataTable[Strålkälla],DataTable[[#This Row],[Strålkälla]],DataTable[Sens_4])</f>
        <v>1.0029367128949342</v>
      </c>
      <c r="BC23" s="22">
        <v>2073</v>
      </c>
      <c r="BD23" s="22">
        <v>2522</v>
      </c>
      <c r="BE23" s="19">
        <v>9.8000000000000004E-2</v>
      </c>
      <c r="BF23" s="19">
        <v>3.4000000000000002E-2</v>
      </c>
      <c r="BG23" s="19">
        <v>2.4E-2</v>
      </c>
      <c r="BH23" s="19">
        <v>2307378</v>
      </c>
      <c r="BI23" s="19">
        <v>458</v>
      </c>
      <c r="BJ23" s="19">
        <v>0</v>
      </c>
      <c r="BK23" s="19">
        <v>1</v>
      </c>
      <c r="BL23" s="19">
        <v>23.043246140208243</v>
      </c>
      <c r="BM23" s="23">
        <f>DataTable[[#This Row],[Sens_5]]/AVERAGEIF(DataTable[Strålkälla],DataTable[[#This Row],[Strålkälla]],DataTable[Sens_5])</f>
        <v>1.0007399181975714</v>
      </c>
      <c r="BN23" s="19">
        <v>2051</v>
      </c>
      <c r="BO23" s="19">
        <v>2429</v>
      </c>
      <c r="BP23" s="19">
        <v>8.4000000000000005E-2</v>
      </c>
      <c r="BQ23" s="19">
        <v>3.5000000000000003E-2</v>
      </c>
      <c r="BR23" s="19">
        <v>2.4E-2</v>
      </c>
      <c r="BS23" s="19">
        <v>2306232</v>
      </c>
      <c r="BT23" s="19">
        <v>458</v>
      </c>
      <c r="BU23" s="19">
        <v>0</v>
      </c>
      <c r="BV23" s="19">
        <v>0</v>
      </c>
      <c r="BW23" s="19">
        <v>23.031801305388512</v>
      </c>
      <c r="BX23" s="23">
        <f>DataTable[[#This Row],[Sens_6]]/AVERAGEIF(DataTable[Strålkälla],DataTable[[#This Row],[Strålkälla]],DataTable[Sens_6])</f>
        <v>1.0034992966204279</v>
      </c>
      <c r="BY23" s="19">
        <v>1885</v>
      </c>
      <c r="BZ23" s="19">
        <v>2254</v>
      </c>
      <c r="CA23" s="19">
        <v>8.8999999999999996E-2</v>
      </c>
      <c r="CB23" s="19">
        <v>4.8000000000000001E-2</v>
      </c>
      <c r="CC23" s="19">
        <v>2.5000000000000001E-2</v>
      </c>
      <c r="CD23" s="19">
        <v>2106519</v>
      </c>
      <c r="CE23" s="19">
        <v>458</v>
      </c>
      <c r="CF23" s="19">
        <v>0</v>
      </c>
      <c r="CG23" s="19">
        <v>0</v>
      </c>
      <c r="CH23" s="19">
        <v>21.037314135796272</v>
      </c>
      <c r="CI23" s="23">
        <f>DataTable[[#This Row],[Sens_7]]/AVERAGEIF(DataTable[Strålkälla],DataTable[[#This Row],[Strålkälla]],DataTable[Sens_7])</f>
        <v>1.0009267652152238</v>
      </c>
      <c r="CJ23" s="19">
        <v>2175</v>
      </c>
      <c r="CK23" s="19">
        <v>2587</v>
      </c>
      <c r="CL23" s="19">
        <v>8.6999999999999994E-2</v>
      </c>
      <c r="CM23" s="19">
        <v>3.6999999999999998E-2</v>
      </c>
      <c r="CN23" s="19">
        <v>2.4E-2</v>
      </c>
      <c r="CO23" s="19">
        <v>2446026</v>
      </c>
      <c r="CP23" s="19">
        <v>458</v>
      </c>
      <c r="CQ23" s="19">
        <v>0</v>
      </c>
      <c r="CR23" s="19">
        <v>0</v>
      </c>
      <c r="CS23" s="19">
        <v>24.427891391592105</v>
      </c>
      <c r="CT23" s="23">
        <f>DataTable[[#This Row],[Sens_8]]/AVERAGEIF(DataTable[Strålkälla],DataTable[[#This Row],[Strålkälla]],DataTable[Sens_8])</f>
        <v>1.0012296857431005</v>
      </c>
      <c r="CU23" s="19">
        <v>1713</v>
      </c>
      <c r="CV23" s="19">
        <v>2122</v>
      </c>
      <c r="CW23" s="19">
        <v>0.107</v>
      </c>
      <c r="CX23" s="19">
        <v>5.7000000000000002E-2</v>
      </c>
      <c r="CY23" s="19">
        <v>2.5999999999999999E-2</v>
      </c>
      <c r="CZ23" s="19">
        <v>1966823</v>
      </c>
      <c r="DA23" s="19">
        <v>447</v>
      </c>
      <c r="DB23" s="19">
        <v>1</v>
      </c>
      <c r="DC23" s="19">
        <v>1</v>
      </c>
      <c r="DD23" s="19">
        <v>20.125567921156868</v>
      </c>
      <c r="DE23" s="23">
        <f>DataTable[[#This Row],[Sens_9]]/AVERAGEIF(DataTable[Strålkälla],DataTable[[#This Row],[Strålkälla]],DataTable[Sens_9])</f>
        <v>0.99721210342252786</v>
      </c>
      <c r="DF23" s="19">
        <v>1711</v>
      </c>
      <c r="DG23" s="19">
        <v>2051</v>
      </c>
      <c r="DH23" s="19">
        <v>0.09</v>
      </c>
      <c r="DI23" s="19">
        <v>3.2000000000000001E-2</v>
      </c>
      <c r="DJ23" s="19">
        <v>2.5000000000000001E-2</v>
      </c>
      <c r="DK23" s="19">
        <v>1907299</v>
      </c>
      <c r="DL23" s="19">
        <v>447</v>
      </c>
      <c r="DM23" s="19">
        <v>0</v>
      </c>
      <c r="DN23" s="19">
        <v>1</v>
      </c>
      <c r="DO23" s="19">
        <v>19.516487030329916</v>
      </c>
      <c r="DP23" s="23">
        <f>DataTable[[#This Row],[Sens_10]]/AVERAGEIF(DataTable[Strålkälla],DataTable[[#This Row],[Strålkälla]],DataTable[Sens_10])</f>
        <v>1.0003222207352478</v>
      </c>
      <c r="DQ23" s="19">
        <v>1463</v>
      </c>
      <c r="DR23" s="19">
        <v>1796</v>
      </c>
      <c r="DS23" s="19">
        <v>0.10199999999999999</v>
      </c>
      <c r="DT23" s="19">
        <v>4.2000000000000003E-2</v>
      </c>
      <c r="DU23" s="19">
        <v>2.8000000000000001E-2</v>
      </c>
      <c r="DV23" s="19">
        <v>1677946</v>
      </c>
      <c r="DW23" s="19">
        <v>447</v>
      </c>
      <c r="DX23" s="19">
        <v>0</v>
      </c>
      <c r="DY23" s="19">
        <v>0</v>
      </c>
      <c r="DZ23" s="19">
        <v>17.169626443779375</v>
      </c>
      <c r="EA23" s="23">
        <f>DataTable[[#This Row],[Sens_11]]/AVERAGEIF(DataTable[Strålkälla],DataTable[[#This Row],[Strålkälla]],DataTable[Sens_11])</f>
        <v>0.99997887573476385</v>
      </c>
      <c r="EB23" s="19">
        <v>1761</v>
      </c>
      <c r="EC23" s="19">
        <v>2215</v>
      </c>
      <c r="ED23" s="19">
        <v>0.114</v>
      </c>
      <c r="EE23" s="19">
        <v>3.9E-2</v>
      </c>
      <c r="EF23" s="19">
        <v>2.7E-2</v>
      </c>
      <c r="EG23" s="19">
        <v>1999214</v>
      </c>
      <c r="EH23" s="19">
        <v>447</v>
      </c>
      <c r="EI23" s="19">
        <v>0</v>
      </c>
      <c r="EJ23" s="19">
        <v>2</v>
      </c>
      <c r="EK23" s="19">
        <v>20.457009678007481</v>
      </c>
      <c r="EL23" s="23">
        <f>DataTable[[#This Row],[Sens_12]]/AVERAGEIF(DataTable[Strålkälla],DataTable[[#This Row],[Strålkälla]],DataTable[Sens_12])</f>
        <v>0.9994934734892007</v>
      </c>
      <c r="EM23" s="19">
        <v>1539</v>
      </c>
      <c r="EN23" s="19">
        <v>1834</v>
      </c>
      <c r="EO23" s="19">
        <v>8.6999999999999994E-2</v>
      </c>
      <c r="EP23" s="19">
        <v>4.1000000000000002E-2</v>
      </c>
      <c r="EQ23" s="19">
        <v>2.8000000000000001E-2</v>
      </c>
      <c r="ER23" s="19">
        <v>1706359</v>
      </c>
      <c r="ES23" s="19">
        <v>480</v>
      </c>
      <c r="ET23" s="19">
        <v>0</v>
      </c>
      <c r="EU23" s="19">
        <v>0</v>
      </c>
      <c r="EV23" s="19">
        <v>16.259963240541406</v>
      </c>
      <c r="EW23" s="19">
        <f>DataTable[[#This Row],[Sens_13]]/AVERAGEIF(DataTable[Strålkälla],DataTable[[#This Row],[Strålkälla]],DataTable[Sens_13])</f>
        <v>1.0016385514575536</v>
      </c>
      <c r="EX23" s="19">
        <v>1277</v>
      </c>
      <c r="EY23" s="19">
        <v>1569</v>
      </c>
      <c r="EZ23" s="19">
        <v>0.10299999999999999</v>
      </c>
      <c r="FA23" s="19">
        <v>4.1000000000000002E-2</v>
      </c>
      <c r="FB23" s="19">
        <v>0.03</v>
      </c>
      <c r="FC23" s="19">
        <v>1451383</v>
      </c>
      <c r="FD23" s="19">
        <v>480</v>
      </c>
      <c r="FE23" s="19">
        <v>0</v>
      </c>
      <c r="FF23" s="19">
        <v>0</v>
      </c>
      <c r="FG23" s="19">
        <v>13.83028672626728</v>
      </c>
      <c r="FH23" s="19">
        <f>DataTable[[#This Row],[Sens_14]]/AVERAGEIF(DataTable[Strålkälla],DataTable[[#This Row],[Strålkälla]],DataTable[Sens_14])</f>
        <v>0.99836367264908232</v>
      </c>
      <c r="FI23" s="19">
        <v>1460</v>
      </c>
      <c r="FJ23" s="19">
        <v>1718</v>
      </c>
      <c r="FK23" s="19">
        <v>8.1000000000000003E-2</v>
      </c>
      <c r="FL23" s="19">
        <v>3.5999999999999997E-2</v>
      </c>
      <c r="FM23" s="19">
        <v>2.8000000000000001E-2</v>
      </c>
      <c r="FN23" s="19">
        <v>1620275</v>
      </c>
      <c r="FO23" s="19">
        <v>480</v>
      </c>
      <c r="FP23" s="19">
        <v>0</v>
      </c>
      <c r="FQ23" s="19">
        <v>0</v>
      </c>
      <c r="FR23" s="19">
        <v>15.439665357388586</v>
      </c>
      <c r="FS23" s="19">
        <f>DataTable[[#This Row],[Sens_15]]/AVERAGEIF(DataTable[Strålkälla],DataTable[[#This Row],[Strålkälla]],DataTable[Sens_15])</f>
        <v>0.99825724887685974</v>
      </c>
      <c r="FT23" s="19">
        <v>1287</v>
      </c>
      <c r="FU23" s="19">
        <v>1581</v>
      </c>
      <c r="FV23" s="19">
        <v>0.10299999999999999</v>
      </c>
      <c r="FW23" s="19">
        <v>4.4999999999999998E-2</v>
      </c>
      <c r="FX23" s="19">
        <v>2.9000000000000001E-2</v>
      </c>
      <c r="FY23" s="19">
        <v>1461949</v>
      </c>
      <c r="FZ23" s="19">
        <v>480</v>
      </c>
      <c r="GA23" s="19">
        <v>0</v>
      </c>
      <c r="GB23" s="19">
        <v>0</v>
      </c>
      <c r="GC23" s="19">
        <v>13.930970563372814</v>
      </c>
      <c r="GD23" s="19">
        <f>DataTable[[#This Row],[Sens_16]]/AVERAGEIF(DataTable[Strålkälla],DataTable[[#This Row],[Strålkälla]],DataTable[Sens_16])</f>
        <v>0.99760270421416797</v>
      </c>
      <c r="GE23" s="19">
        <v>1230</v>
      </c>
      <c r="GF23" s="19">
        <v>1518</v>
      </c>
      <c r="GG23" s="19">
        <v>0.105</v>
      </c>
      <c r="GH23" s="19">
        <v>4.7E-2</v>
      </c>
      <c r="GI23" s="19">
        <v>3.1E-2</v>
      </c>
      <c r="GJ23" s="19">
        <v>1410089</v>
      </c>
      <c r="GK23" s="19">
        <v>480</v>
      </c>
      <c r="GL23" s="19">
        <v>0</v>
      </c>
      <c r="GM23" s="19">
        <v>0</v>
      </c>
      <c r="GN23" s="19">
        <v>13.436794546687885</v>
      </c>
      <c r="GO23" s="19">
        <f>DataTable[[#This Row],[Sens_17]]/AVERAGEIF(DataTable[Strålkälla],DataTable[[#This Row],[Strålkälla]],DataTable[Sens_17])</f>
        <v>0.99947831625567496</v>
      </c>
      <c r="GP23" s="19">
        <v>1433</v>
      </c>
      <c r="GQ23" s="19">
        <v>1745</v>
      </c>
      <c r="GR23" s="19">
        <v>9.8000000000000004E-2</v>
      </c>
      <c r="GS23" s="19">
        <v>4.9000000000000002E-2</v>
      </c>
      <c r="GT23" s="19">
        <v>2.9000000000000001E-2</v>
      </c>
      <c r="GU23" s="19">
        <v>1632647</v>
      </c>
      <c r="GV23" s="19">
        <v>480</v>
      </c>
      <c r="GW23" s="19">
        <v>0</v>
      </c>
      <c r="GX23" s="19">
        <v>0</v>
      </c>
      <c r="GY23" s="19">
        <v>15.55755864081369</v>
      </c>
      <c r="GZ23" s="19">
        <f>DataTable[[#This Row],[Sens_18]]/AVERAGEIF(DataTable[Strålkälla],DataTable[[#This Row],[Strålkälla]],DataTable[Sens_18])</f>
        <v>0.99998122872281636</v>
      </c>
      <c r="HA23" s="19">
        <v>1312</v>
      </c>
      <c r="HB23" s="19">
        <v>1602</v>
      </c>
      <c r="HC23" s="19">
        <v>0.1</v>
      </c>
      <c r="HD23" s="19">
        <v>5.0999999999999997E-2</v>
      </c>
      <c r="HE23" s="19">
        <v>0.03</v>
      </c>
      <c r="HF23" s="19">
        <v>1486810</v>
      </c>
      <c r="HG23" s="19">
        <v>480</v>
      </c>
      <c r="HH23" s="19">
        <v>0</v>
      </c>
      <c r="HI23" s="19">
        <v>0</v>
      </c>
      <c r="HJ23" s="19">
        <v>14.167872027908178</v>
      </c>
      <c r="HK23" s="19">
        <f>DataTable[[#This Row],[Sens_19]]/AVERAGEIF(DataTable[Strålkälla],DataTable[[#This Row],[Strålkälla]],DataTable[Sens_19])</f>
        <v>0.99982375145993996</v>
      </c>
      <c r="HL23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0.114</v>
      </c>
      <c r="HM23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9.5052631578947375E-2</v>
      </c>
      <c r="HN23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5.7000000000000002E-2</v>
      </c>
      <c r="HO23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4.1368421052631589E-2</v>
      </c>
      <c r="HP23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0.99721210342252786</v>
      </c>
      <c r="HQ23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1.000444277856557</v>
      </c>
      <c r="HR23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1.003778281057387</v>
      </c>
      <c r="HS23" s="49"/>
    </row>
    <row r="24" spans="2:227" x14ac:dyDescent="0.25">
      <c r="B24" s="19" t="s">
        <v>43</v>
      </c>
      <c r="C24" s="20">
        <v>42424</v>
      </c>
      <c r="D24" s="21">
        <v>0.31841435185185185</v>
      </c>
      <c r="E24" s="13" t="s">
        <v>217</v>
      </c>
      <c r="F24" s="13">
        <v>109.8</v>
      </c>
      <c r="G24" s="13">
        <v>134.19999999999999</v>
      </c>
      <c r="H24" s="24">
        <v>23.191199999999998</v>
      </c>
      <c r="I24" s="22">
        <f>MATCH(DataTable[[#This Row],[Datum]],Övrigt!$D$10:$M$10,1)</f>
        <v>1</v>
      </c>
      <c r="J24" s="13"/>
      <c r="K24" s="22">
        <v>1877</v>
      </c>
      <c r="L24" s="22">
        <v>2209</v>
      </c>
      <c r="M24" s="23">
        <v>8.1000000000000003E-2</v>
      </c>
      <c r="N24" s="23">
        <v>4.2999999999999997E-2</v>
      </c>
      <c r="O24" s="23">
        <v>2.5999999999999999E-2</v>
      </c>
      <c r="P24" s="22">
        <v>2076881</v>
      </c>
      <c r="Q24" s="24">
        <v>461</v>
      </c>
      <c r="R24" s="22">
        <v>0</v>
      </c>
      <c r="S24" s="22">
        <v>0</v>
      </c>
      <c r="T24" s="19">
        <v>20.711743113795652</v>
      </c>
      <c r="U24" s="23">
        <f>DataTable[[#This Row],[Sens_1]]/AVERAGEIF(DataTable[Strålkälla],DataTable[[#This Row],[Strålkälla]],DataTable[Sens_1])</f>
        <v>1.000374634675155</v>
      </c>
      <c r="V24" s="22">
        <v>2127</v>
      </c>
      <c r="W24" s="22">
        <v>2623</v>
      </c>
      <c r="X24" s="23">
        <v>0.104</v>
      </c>
      <c r="Y24" s="23">
        <v>4.5999999999999999E-2</v>
      </c>
      <c r="Z24" s="23">
        <v>2.5000000000000001E-2</v>
      </c>
      <c r="AA24" s="22">
        <v>2450375</v>
      </c>
      <c r="AB24" s="24">
        <v>461</v>
      </c>
      <c r="AC24" s="22">
        <v>1</v>
      </c>
      <c r="AD24" s="22">
        <v>0</v>
      </c>
      <c r="AE24" s="19">
        <v>24.436420542374368</v>
      </c>
      <c r="AF24" s="23">
        <f>DataTable[[#This Row],[Sens_2]]/AVERAGEIF(DataTable[Strålkälla],DataTable[[#This Row],[Strålkälla]],DataTable[Sens_2])</f>
        <v>1.0000597693668962</v>
      </c>
      <c r="AG24" s="22">
        <v>1912</v>
      </c>
      <c r="AH24" s="22">
        <v>2297</v>
      </c>
      <c r="AI24" s="23">
        <v>9.0999999999999998E-2</v>
      </c>
      <c r="AJ24" s="23">
        <v>3.6999999999999998E-2</v>
      </c>
      <c r="AK24" s="23">
        <v>2.4E-2</v>
      </c>
      <c r="AL24" s="22">
        <v>2167643</v>
      </c>
      <c r="AM24" s="24">
        <v>461</v>
      </c>
      <c r="AN24" s="22">
        <v>1</v>
      </c>
      <c r="AO24" s="22">
        <v>0</v>
      </c>
      <c r="AP24" s="19">
        <v>21.616869227662708</v>
      </c>
      <c r="AQ24" s="23">
        <f>DataTable[[#This Row],[Sens_3]]/AVERAGEIF(DataTable[Strålkälla],DataTable[[#This Row],[Strålkälla]],DataTable[Sens_3])</f>
        <v>0.99911362730197528</v>
      </c>
      <c r="AR24" s="22">
        <v>1866</v>
      </c>
      <c r="AS24" s="22">
        <v>2269</v>
      </c>
      <c r="AT24" s="23">
        <v>9.7000000000000003E-2</v>
      </c>
      <c r="AU24" s="23">
        <v>4.2000000000000003E-2</v>
      </c>
      <c r="AV24" s="23">
        <v>2.5000000000000001E-2</v>
      </c>
      <c r="AW24" s="22">
        <v>2065196</v>
      </c>
      <c r="AX24" s="24">
        <v>461</v>
      </c>
      <c r="AY24" s="22">
        <v>0</v>
      </c>
      <c r="AZ24" s="22">
        <v>2</v>
      </c>
      <c r="BA24" s="19">
        <v>20.595214184942868</v>
      </c>
      <c r="BB24" s="23">
        <f>DataTable[[#This Row],[Sens_4]]/AVERAGEIF(DataTable[Strålkälla],DataTable[[#This Row],[Strålkälla]],DataTable[Sens_4])</f>
        <v>1.0001579614370515</v>
      </c>
      <c r="BC24" s="22">
        <v>2100</v>
      </c>
      <c r="BD24" s="22">
        <v>2475</v>
      </c>
      <c r="BE24" s="19">
        <v>8.2000000000000003E-2</v>
      </c>
      <c r="BF24" s="19">
        <v>3.6999999999999998E-2</v>
      </c>
      <c r="BG24" s="19">
        <v>2.3E-2</v>
      </c>
      <c r="BH24" s="19">
        <v>2311740</v>
      </c>
      <c r="BI24" s="19">
        <v>461</v>
      </c>
      <c r="BJ24" s="19">
        <v>0</v>
      </c>
      <c r="BK24" s="19">
        <v>1</v>
      </c>
      <c r="BL24" s="19">
        <v>23.053879844770098</v>
      </c>
      <c r="BM24" s="23">
        <f>DataTable[[#This Row],[Sens_5]]/AVERAGEIF(DataTable[Strålkälla],DataTable[[#This Row],[Strålkälla]],DataTable[Sens_5])</f>
        <v>1.0012017269448554</v>
      </c>
      <c r="BN24" s="19">
        <v>2077</v>
      </c>
      <c r="BO24" s="19">
        <v>2514</v>
      </c>
      <c r="BP24" s="19">
        <v>9.5000000000000001E-2</v>
      </c>
      <c r="BQ24" s="19">
        <v>4.2000000000000003E-2</v>
      </c>
      <c r="BR24" s="19">
        <v>2.5000000000000001E-2</v>
      </c>
      <c r="BS24" s="19">
        <v>2304498</v>
      </c>
      <c r="BT24" s="19">
        <v>461</v>
      </c>
      <c r="BU24" s="19">
        <v>0</v>
      </c>
      <c r="BV24" s="19">
        <v>1</v>
      </c>
      <c r="BW24" s="19">
        <v>22.981658834692915</v>
      </c>
      <c r="BX24" s="23">
        <f>DataTable[[#This Row],[Sens_6]]/AVERAGEIF(DataTable[Strålkälla],DataTable[[#This Row],[Strålkälla]],DataTable[Sens_6])</f>
        <v>1.0013145810870374</v>
      </c>
      <c r="BY24" s="19">
        <v>1838</v>
      </c>
      <c r="BZ24" s="19">
        <v>2254</v>
      </c>
      <c r="CA24" s="19">
        <v>0.10199999999999999</v>
      </c>
      <c r="CB24" s="19">
        <v>0.04</v>
      </c>
      <c r="CC24" s="19">
        <v>2.5999999999999999E-2</v>
      </c>
      <c r="CD24" s="19">
        <v>2110567</v>
      </c>
      <c r="CE24" s="19">
        <v>461</v>
      </c>
      <c r="CF24" s="19">
        <v>1</v>
      </c>
      <c r="CG24" s="19">
        <v>0</v>
      </c>
      <c r="CH24" s="19">
        <v>21.047677516648449</v>
      </c>
      <c r="CI24" s="23">
        <f>DataTable[[#This Row],[Sens_7]]/AVERAGEIF(DataTable[Strålkälla],DataTable[[#This Row],[Strålkälla]],DataTable[Sens_7])</f>
        <v>1.0014198407668891</v>
      </c>
      <c r="CJ24" s="19">
        <v>2207</v>
      </c>
      <c r="CK24" s="19">
        <v>2657</v>
      </c>
      <c r="CL24" s="19">
        <v>9.2999999999999999E-2</v>
      </c>
      <c r="CM24" s="19">
        <v>4.2999999999999997E-2</v>
      </c>
      <c r="CN24" s="19">
        <v>2.4E-2</v>
      </c>
      <c r="CO24" s="19">
        <v>2449084</v>
      </c>
      <c r="CP24" s="19">
        <v>461</v>
      </c>
      <c r="CQ24" s="19">
        <v>0</v>
      </c>
      <c r="CR24" s="19">
        <v>3</v>
      </c>
      <c r="CS24" s="19">
        <v>24.423546015446775</v>
      </c>
      <c r="CT24" s="23">
        <f>DataTable[[#This Row],[Sens_8]]/AVERAGEIF(DataTable[Strålkälla],DataTable[[#This Row],[Strålkälla]],DataTable[Sens_8])</f>
        <v>1.0010515811526273</v>
      </c>
      <c r="CU24" s="19">
        <v>1657</v>
      </c>
      <c r="CV24" s="19">
        <v>2059</v>
      </c>
      <c r="CW24" s="19">
        <v>0.108</v>
      </c>
      <c r="CX24" s="19">
        <v>4.2000000000000003E-2</v>
      </c>
      <c r="CY24" s="19">
        <v>2.5999999999999999E-2</v>
      </c>
      <c r="CZ24" s="19">
        <v>1969112</v>
      </c>
      <c r="DA24" s="19">
        <v>449</v>
      </c>
      <c r="DB24" s="19">
        <v>1</v>
      </c>
      <c r="DC24" s="19">
        <v>0</v>
      </c>
      <c r="DD24" s="19">
        <v>20.161834286182998</v>
      </c>
      <c r="DE24" s="23">
        <f>DataTable[[#This Row],[Sens_9]]/AVERAGEIF(DataTable[Strålkälla],DataTable[[#This Row],[Strålkälla]],DataTable[Sens_9])</f>
        <v>0.99900908417322642</v>
      </c>
      <c r="DF24" s="19">
        <v>1712</v>
      </c>
      <c r="DG24" s="19">
        <v>2060</v>
      </c>
      <c r="DH24" s="19">
        <v>9.1999999999999998E-2</v>
      </c>
      <c r="DI24" s="19">
        <v>4.2999999999999997E-2</v>
      </c>
      <c r="DJ24" s="19">
        <v>2.5999999999999999E-2</v>
      </c>
      <c r="DK24" s="19">
        <v>1907875</v>
      </c>
      <c r="DL24" s="19">
        <v>449</v>
      </c>
      <c r="DM24" s="19">
        <v>0</v>
      </c>
      <c r="DN24" s="19">
        <v>1</v>
      </c>
      <c r="DO24" s="19">
        <v>19.534825641584323</v>
      </c>
      <c r="DP24" s="23">
        <f>DataTable[[#This Row],[Sens_10]]/AVERAGEIF(DataTable[Strålkälla],DataTable[[#This Row],[Strålkälla]],DataTable[Sens_10])</f>
        <v>1.0012621706507576</v>
      </c>
      <c r="DQ24" s="19">
        <v>1489</v>
      </c>
      <c r="DR24" s="19">
        <v>1812</v>
      </c>
      <c r="DS24" s="19">
        <v>9.8000000000000004E-2</v>
      </c>
      <c r="DT24" s="19">
        <v>4.2999999999999997E-2</v>
      </c>
      <c r="DU24" s="19">
        <v>2.7E-2</v>
      </c>
      <c r="DV24" s="19">
        <v>1676514</v>
      </c>
      <c r="DW24" s="19">
        <v>449</v>
      </c>
      <c r="DX24" s="19">
        <v>0</v>
      </c>
      <c r="DY24" s="19">
        <v>0</v>
      </c>
      <c r="DZ24" s="19">
        <v>17.165909022171316</v>
      </c>
      <c r="EA24" s="23">
        <f>DataTable[[#This Row],[Sens_11]]/AVERAGEIF(DataTable[Strålkälla],DataTable[[#This Row],[Strålkälla]],DataTable[Sens_11])</f>
        <v>0.99976236880653047</v>
      </c>
      <c r="EB24" s="19">
        <v>1763</v>
      </c>
      <c r="EC24" s="19">
        <v>2225</v>
      </c>
      <c r="ED24" s="19">
        <v>0.11600000000000001</v>
      </c>
      <c r="EE24" s="19">
        <v>4.9000000000000002E-2</v>
      </c>
      <c r="EF24" s="19">
        <v>2.7E-2</v>
      </c>
      <c r="EG24" s="19">
        <v>1997984</v>
      </c>
      <c r="EH24" s="19">
        <v>449</v>
      </c>
      <c r="EI24" s="19">
        <v>0</v>
      </c>
      <c r="EJ24" s="19">
        <v>2</v>
      </c>
      <c r="EK24" s="19">
        <v>20.457456109375723</v>
      </c>
      <c r="EL24" s="23">
        <f>DataTable[[#This Row],[Sens_12]]/AVERAGEIF(DataTable[Strålkälla],DataTable[[#This Row],[Strålkälla]],DataTable[Sens_12])</f>
        <v>0.9995152853398056</v>
      </c>
      <c r="EM24" s="19">
        <v>1518</v>
      </c>
      <c r="EN24" s="19">
        <v>1858</v>
      </c>
      <c r="EO24" s="19">
        <v>0.10100000000000001</v>
      </c>
      <c r="EP24" s="19">
        <v>3.5000000000000003E-2</v>
      </c>
      <c r="EQ24" s="19">
        <v>2.8000000000000001E-2</v>
      </c>
      <c r="ER24" s="19">
        <v>1702869</v>
      </c>
      <c r="ES24" s="19">
        <v>482</v>
      </c>
      <c r="ET24" s="19">
        <v>0</v>
      </c>
      <c r="EU24" s="19">
        <v>1</v>
      </c>
      <c r="EV24" s="19">
        <v>16.242024610760886</v>
      </c>
      <c r="EW24" s="19">
        <f>DataTable[[#This Row],[Sens_13]]/AVERAGEIF(DataTable[Strålkälla],DataTable[[#This Row],[Strålkälla]],DataTable[Sens_13])</f>
        <v>1.0005335044852643</v>
      </c>
      <c r="EX24" s="19">
        <v>1298</v>
      </c>
      <c r="EY24" s="19">
        <v>1565</v>
      </c>
      <c r="EZ24" s="19">
        <v>9.2999999999999999E-2</v>
      </c>
      <c r="FA24" s="19">
        <v>4.5999999999999999E-2</v>
      </c>
      <c r="FB24" s="19">
        <v>0.03</v>
      </c>
      <c r="FC24" s="19">
        <v>1452506</v>
      </c>
      <c r="FD24" s="19">
        <v>482</v>
      </c>
      <c r="FE24" s="19">
        <v>0</v>
      </c>
      <c r="FF24" s="19">
        <v>0</v>
      </c>
      <c r="FG24" s="19">
        <v>13.854053482257209</v>
      </c>
      <c r="FH24" s="19">
        <f>DataTable[[#This Row],[Sens_14]]/AVERAGEIF(DataTable[Strålkälla],DataTable[[#This Row],[Strålkälla]],DataTable[Sens_14])</f>
        <v>1.0000793179040715</v>
      </c>
      <c r="FI24" s="19">
        <v>1439</v>
      </c>
      <c r="FJ24" s="19">
        <v>1721</v>
      </c>
      <c r="FK24" s="19">
        <v>8.8999999999999996E-2</v>
      </c>
      <c r="FL24" s="19">
        <v>3.7999999999999999E-2</v>
      </c>
      <c r="FM24" s="19">
        <v>2.8000000000000001E-2</v>
      </c>
      <c r="FN24" s="19">
        <v>1620875</v>
      </c>
      <c r="FO24" s="19">
        <v>482</v>
      </c>
      <c r="FP24" s="19">
        <v>0</v>
      </c>
      <c r="FQ24" s="19">
        <v>0</v>
      </c>
      <c r="FR24" s="19">
        <v>15.459962945456786</v>
      </c>
      <c r="FS24" s="19">
        <f>DataTable[[#This Row],[Sens_15]]/AVERAGEIF(DataTable[Strålkälla],DataTable[[#This Row],[Strålkälla]],DataTable[Sens_15])</f>
        <v>0.99956959690738878</v>
      </c>
      <c r="FT24" s="19">
        <v>1276</v>
      </c>
      <c r="FU24" s="19">
        <v>1553</v>
      </c>
      <c r="FV24" s="19">
        <v>9.8000000000000004E-2</v>
      </c>
      <c r="FW24" s="19">
        <v>4.9000000000000002E-2</v>
      </c>
      <c r="FX24" s="19">
        <v>2.9000000000000001E-2</v>
      </c>
      <c r="FY24" s="19">
        <v>1461881</v>
      </c>
      <c r="FZ24" s="19">
        <v>482</v>
      </c>
      <c r="GA24" s="19">
        <v>0</v>
      </c>
      <c r="GB24" s="19">
        <v>0</v>
      </c>
      <c r="GC24" s="19">
        <v>13.943472563070756</v>
      </c>
      <c r="GD24" s="19">
        <f>DataTable[[#This Row],[Sens_16]]/AVERAGEIF(DataTable[Strålkälla],DataTable[[#This Row],[Strålkälla]],DataTable[Sens_16])</f>
        <v>0.99849797770929283</v>
      </c>
      <c r="GE24" s="19">
        <v>1252</v>
      </c>
      <c r="GF24" s="19">
        <v>1523</v>
      </c>
      <c r="GG24" s="19">
        <v>9.8000000000000004E-2</v>
      </c>
      <c r="GH24" s="19">
        <v>4.7E-2</v>
      </c>
      <c r="GI24" s="19">
        <v>0.03</v>
      </c>
      <c r="GJ24" s="19">
        <v>1409720</v>
      </c>
      <c r="GK24" s="19">
        <v>482</v>
      </c>
      <c r="GL24" s="19">
        <v>0</v>
      </c>
      <c r="GM24" s="19">
        <v>0</v>
      </c>
      <c r="GN24" s="19">
        <v>13.445959104477112</v>
      </c>
      <c r="GO24" s="19">
        <f>DataTable[[#This Row],[Sens_17]]/AVERAGEIF(DataTable[Strålkälla],DataTable[[#This Row],[Strålkälla]],DataTable[Sens_17])</f>
        <v>1.0001600098513148</v>
      </c>
      <c r="GP24" s="19">
        <v>1463</v>
      </c>
      <c r="GQ24" s="19">
        <v>1775</v>
      </c>
      <c r="GR24" s="19">
        <v>9.6000000000000002E-2</v>
      </c>
      <c r="GS24" s="19">
        <v>3.7999999999999999E-2</v>
      </c>
      <c r="GT24" s="19">
        <v>2.8000000000000001E-2</v>
      </c>
      <c r="GU24" s="19">
        <v>1633922</v>
      </c>
      <c r="GV24" s="19">
        <v>482</v>
      </c>
      <c r="GW24" s="19">
        <v>0</v>
      </c>
      <c r="GX24" s="19">
        <v>1</v>
      </c>
      <c r="GY24" s="19">
        <v>15.584405691843381</v>
      </c>
      <c r="GZ24" s="19">
        <f>DataTable[[#This Row],[Sens_18]]/AVERAGEIF(DataTable[Strålkälla],DataTable[[#This Row],[Strålkälla]],DataTable[Sens_18])</f>
        <v>1.0017068559691007</v>
      </c>
      <c r="HA24" s="19">
        <v>1264</v>
      </c>
      <c r="HB24" s="19">
        <v>1646</v>
      </c>
      <c r="HC24" s="19">
        <v>0.13100000000000001</v>
      </c>
      <c r="HD24" s="19">
        <v>4.9000000000000002E-2</v>
      </c>
      <c r="HE24" s="19">
        <v>0.03</v>
      </c>
      <c r="HF24" s="19">
        <v>1487723</v>
      </c>
      <c r="HG24" s="19">
        <v>482</v>
      </c>
      <c r="HH24" s="19">
        <v>1</v>
      </c>
      <c r="HI24" s="19">
        <v>1</v>
      </c>
      <c r="HJ24" s="19">
        <v>14.18995447095168</v>
      </c>
      <c r="HK24" s="19">
        <f>DataTable[[#This Row],[Sens_19]]/AVERAGEIF(DataTable[Strålkälla],DataTable[[#This Row],[Strålkälla]],DataTable[Sens_19])</f>
        <v>1.0013821048246276</v>
      </c>
      <c r="HL24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0.13100000000000001</v>
      </c>
      <c r="HM24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9.8157894736842111E-2</v>
      </c>
      <c r="HN24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4.9000000000000002E-2</v>
      </c>
      <c r="HO24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4.257894736842107E-2</v>
      </c>
      <c r="HP24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0.99849797770929283</v>
      </c>
      <c r="HQ24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1.0003248420712563</v>
      </c>
      <c r="HR24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1.0017068559691007</v>
      </c>
      <c r="HS24" s="49"/>
    </row>
    <row r="25" spans="2:227" x14ac:dyDescent="0.25">
      <c r="B25" s="19" t="s">
        <v>43</v>
      </c>
      <c r="C25" s="20">
        <v>42425</v>
      </c>
      <c r="D25" s="21">
        <v>0.31671296296296297</v>
      </c>
      <c r="E25" s="13" t="s">
        <v>217</v>
      </c>
      <c r="F25" s="13">
        <v>109.8</v>
      </c>
      <c r="G25" s="13">
        <v>134.19999999999999</v>
      </c>
      <c r="H25" s="24">
        <v>23.269200000000001</v>
      </c>
      <c r="I25" s="22">
        <f>MATCH(DataTable[[#This Row],[Datum]],Övrigt!$D$10:$M$10,1)</f>
        <v>1</v>
      </c>
      <c r="J25" s="13"/>
      <c r="K25" s="22">
        <v>1805</v>
      </c>
      <c r="L25" s="22">
        <v>2220</v>
      </c>
      <c r="M25" s="23">
        <v>0.10299999999999999</v>
      </c>
      <c r="N25" s="23">
        <v>4.5999999999999999E-2</v>
      </c>
      <c r="O25" s="23">
        <v>2.5999999999999999E-2</v>
      </c>
      <c r="P25" s="22">
        <v>2079750</v>
      </c>
      <c r="Q25" s="24">
        <v>463</v>
      </c>
      <c r="R25" s="22">
        <v>1</v>
      </c>
      <c r="S25" s="22">
        <v>0</v>
      </c>
      <c r="T25" s="19">
        <v>20.703505775709289</v>
      </c>
      <c r="U25" s="23">
        <f>DataTable[[#This Row],[Sens_1]]/AVERAGEIF(DataTable[Strålkälla],DataTable[[#This Row],[Strålkälla]],DataTable[Sens_1])</f>
        <v>0.99997677226282355</v>
      </c>
      <c r="V25" s="22">
        <v>2194</v>
      </c>
      <c r="W25" s="22">
        <v>2589</v>
      </c>
      <c r="X25" s="23">
        <v>8.3000000000000004E-2</v>
      </c>
      <c r="Y25" s="23">
        <v>3.3000000000000002E-2</v>
      </c>
      <c r="Z25" s="23">
        <v>2.4E-2</v>
      </c>
      <c r="AA25" s="22">
        <v>2452404</v>
      </c>
      <c r="AB25" s="24">
        <v>463</v>
      </c>
      <c r="AC25" s="22">
        <v>0</v>
      </c>
      <c r="AD25" s="22">
        <v>0</v>
      </c>
      <c r="AE25" s="19">
        <v>24.413203691969017</v>
      </c>
      <c r="AF25" s="23">
        <f>DataTable[[#This Row],[Sens_2]]/AVERAGEIF(DataTable[Strålkälla],DataTable[[#This Row],[Strålkälla]],DataTable[Sens_2])</f>
        <v>0.9991096204683888</v>
      </c>
      <c r="AG25" s="22">
        <v>1864</v>
      </c>
      <c r="AH25" s="22">
        <v>2306</v>
      </c>
      <c r="AI25" s="23">
        <v>0.106</v>
      </c>
      <c r="AJ25" s="23">
        <v>4.3999999999999997E-2</v>
      </c>
      <c r="AK25" s="23">
        <v>2.5999999999999999E-2</v>
      </c>
      <c r="AL25" s="22">
        <v>2169453</v>
      </c>
      <c r="AM25" s="24">
        <v>463</v>
      </c>
      <c r="AN25" s="22">
        <v>2</v>
      </c>
      <c r="AO25" s="22">
        <v>0</v>
      </c>
      <c r="AP25" s="19">
        <v>21.59648165194367</v>
      </c>
      <c r="AQ25" s="23">
        <f>DataTable[[#This Row],[Sens_3]]/AVERAGEIF(DataTable[Strålkälla],DataTable[[#This Row],[Strålkälla]],DataTable[Sens_3])</f>
        <v>0.99817133059314034</v>
      </c>
      <c r="AR25" s="22">
        <v>1828</v>
      </c>
      <c r="AS25" s="22">
        <v>2175</v>
      </c>
      <c r="AT25" s="23">
        <v>8.6999999999999994E-2</v>
      </c>
      <c r="AU25" s="23">
        <v>4.3999999999999997E-2</v>
      </c>
      <c r="AV25" s="23">
        <v>2.5000000000000001E-2</v>
      </c>
      <c r="AW25" s="22">
        <v>2065927</v>
      </c>
      <c r="AX25" s="24">
        <v>463</v>
      </c>
      <c r="AY25" s="22">
        <v>0</v>
      </c>
      <c r="AZ25" s="22">
        <v>0</v>
      </c>
      <c r="BA25" s="19">
        <v>20.56590050568278</v>
      </c>
      <c r="BB25" s="23">
        <f>DataTable[[#This Row],[Sens_4]]/AVERAGEIF(DataTable[Strålkälla],DataTable[[#This Row],[Strålkälla]],DataTable[Sens_4])</f>
        <v>0.99873441179936795</v>
      </c>
      <c r="BC25" s="22">
        <v>2028</v>
      </c>
      <c r="BD25" s="22">
        <v>2434</v>
      </c>
      <c r="BE25" s="19">
        <v>9.0999999999999998E-2</v>
      </c>
      <c r="BF25" s="19">
        <v>3.1E-2</v>
      </c>
      <c r="BG25" s="19">
        <v>2.4E-2</v>
      </c>
      <c r="BH25" s="19">
        <v>2310543</v>
      </c>
      <c r="BI25" s="19">
        <v>463</v>
      </c>
      <c r="BJ25" s="19">
        <v>1</v>
      </c>
      <c r="BK25" s="19">
        <v>0</v>
      </c>
      <c r="BL25" s="19">
        <v>23.001005094614577</v>
      </c>
      <c r="BM25" s="23">
        <f>DataTable[[#This Row],[Sens_5]]/AVERAGEIF(DataTable[Strålkälla],DataTable[[#This Row],[Strålkälla]],DataTable[Sens_5])</f>
        <v>0.99890544139448645</v>
      </c>
      <c r="BN25" s="19">
        <v>2069</v>
      </c>
      <c r="BO25" s="19">
        <v>2423</v>
      </c>
      <c r="BP25" s="19">
        <v>7.9000000000000001E-2</v>
      </c>
      <c r="BQ25" s="19">
        <v>3.9E-2</v>
      </c>
      <c r="BR25" s="19">
        <v>2.3E-2</v>
      </c>
      <c r="BS25" s="19">
        <v>2302722</v>
      </c>
      <c r="BT25" s="19">
        <v>463</v>
      </c>
      <c r="BU25" s="19">
        <v>0</v>
      </c>
      <c r="BV25" s="19">
        <v>0</v>
      </c>
      <c r="BW25" s="19">
        <v>22.92314856442017</v>
      </c>
      <c r="BX25" s="23">
        <f>DataTable[[#This Row],[Sens_6]]/AVERAGEIF(DataTable[Strålkälla],DataTable[[#This Row],[Strålkälla]],DataTable[Sens_6])</f>
        <v>0.99876527917681157</v>
      </c>
      <c r="BY25" s="19">
        <v>1819</v>
      </c>
      <c r="BZ25" s="19">
        <v>2234</v>
      </c>
      <c r="CA25" s="19">
        <v>0.10199999999999999</v>
      </c>
      <c r="CB25" s="19">
        <v>3.5999999999999997E-2</v>
      </c>
      <c r="CC25" s="19">
        <v>2.5999999999999999E-2</v>
      </c>
      <c r="CD25" s="19">
        <v>2109322</v>
      </c>
      <c r="CE25" s="19">
        <v>463</v>
      </c>
      <c r="CF25" s="19">
        <v>1</v>
      </c>
      <c r="CG25" s="19">
        <v>0</v>
      </c>
      <c r="CH25" s="19">
        <v>20.997889270263574</v>
      </c>
      <c r="CI25" s="23">
        <f>DataTable[[#This Row],[Sens_7]]/AVERAGEIF(DataTable[Strålkälla],DataTable[[#This Row],[Strålkälla]],DataTable[Sens_7])</f>
        <v>0.99905098378837609</v>
      </c>
      <c r="CJ25" s="19">
        <v>2172</v>
      </c>
      <c r="CK25" s="19">
        <v>2602</v>
      </c>
      <c r="CL25" s="19">
        <v>0.09</v>
      </c>
      <c r="CM25" s="19">
        <v>2.9000000000000001E-2</v>
      </c>
      <c r="CN25" s="19">
        <v>2.4E-2</v>
      </c>
      <c r="CO25" s="19">
        <v>2445704</v>
      </c>
      <c r="CP25" s="19">
        <v>463</v>
      </c>
      <c r="CQ25" s="19">
        <v>0</v>
      </c>
      <c r="CR25" s="19">
        <v>0</v>
      </c>
      <c r="CS25" s="19">
        <v>24.346506498221089</v>
      </c>
      <c r="CT25" s="23">
        <f>DataTable[[#This Row],[Sens_8]]/AVERAGEIF(DataTable[Strålkälla],DataTable[[#This Row],[Strålkälla]],DataTable[Sens_8])</f>
        <v>0.9978939507871909</v>
      </c>
      <c r="CU25" s="19">
        <v>1732</v>
      </c>
      <c r="CV25" s="19">
        <v>2085</v>
      </c>
      <c r="CW25" s="19">
        <v>9.1999999999999998E-2</v>
      </c>
      <c r="CX25" s="19">
        <v>4.5999999999999999E-2</v>
      </c>
      <c r="CY25" s="19">
        <v>2.7E-2</v>
      </c>
      <c r="CZ25" s="19">
        <v>1968380</v>
      </c>
      <c r="DA25" s="19">
        <v>450</v>
      </c>
      <c r="DB25" s="19">
        <v>0</v>
      </c>
      <c r="DC25" s="19">
        <v>0</v>
      </c>
      <c r="DD25" s="19">
        <v>20.160912269412798</v>
      </c>
      <c r="DE25" s="23">
        <f>DataTable[[#This Row],[Sens_9]]/AVERAGEIF(DataTable[Strålkälla],DataTable[[#This Row],[Strålkälla]],DataTable[Sens_9])</f>
        <v>0.9989633986906401</v>
      </c>
      <c r="DF25" s="19">
        <v>1697</v>
      </c>
      <c r="DG25" s="19">
        <v>2006</v>
      </c>
      <c r="DH25" s="19">
        <v>8.3000000000000004E-2</v>
      </c>
      <c r="DI25" s="19">
        <v>4.1000000000000002E-2</v>
      </c>
      <c r="DJ25" s="19">
        <v>2.5000000000000001E-2</v>
      </c>
      <c r="DK25" s="19">
        <v>1904594</v>
      </c>
      <c r="DL25" s="19">
        <v>450</v>
      </c>
      <c r="DM25" s="19">
        <v>0</v>
      </c>
      <c r="DN25" s="19">
        <v>0</v>
      </c>
      <c r="DO25" s="19">
        <v>19.5075912897154</v>
      </c>
      <c r="DP25" s="23">
        <f>DataTable[[#This Row],[Sens_10]]/AVERAGEIF(DataTable[Strålkälla],DataTable[[#This Row],[Strålkälla]],DataTable[Sens_10])</f>
        <v>0.99986626741779017</v>
      </c>
      <c r="DQ25" s="19">
        <v>1497</v>
      </c>
      <c r="DR25" s="19">
        <v>1795</v>
      </c>
      <c r="DS25" s="19">
        <v>9.0999999999999998E-2</v>
      </c>
      <c r="DT25" s="19">
        <v>3.9E-2</v>
      </c>
      <c r="DU25" s="19">
        <v>2.5999999999999999E-2</v>
      </c>
      <c r="DV25" s="19">
        <v>1677615</v>
      </c>
      <c r="DW25" s="19">
        <v>450</v>
      </c>
      <c r="DX25" s="19">
        <v>0</v>
      </c>
      <c r="DY25" s="19">
        <v>0</v>
      </c>
      <c r="DZ25" s="19">
        <v>17.182784237215859</v>
      </c>
      <c r="EA25" s="23">
        <f>DataTable[[#This Row],[Sens_11]]/AVERAGEIF(DataTable[Strålkälla],DataTable[[#This Row],[Strålkälla]],DataTable[Sens_11])</f>
        <v>1.0007452008223159</v>
      </c>
      <c r="EB25" s="19">
        <v>1775</v>
      </c>
      <c r="EC25" s="19">
        <v>2182</v>
      </c>
      <c r="ED25" s="19">
        <v>0.10299999999999999</v>
      </c>
      <c r="EE25" s="19">
        <v>5.2999999999999999E-2</v>
      </c>
      <c r="EF25" s="19">
        <v>2.5999999999999999E-2</v>
      </c>
      <c r="EG25" s="19">
        <v>2000647</v>
      </c>
      <c r="EH25" s="19">
        <v>450</v>
      </c>
      <c r="EI25" s="19">
        <v>0</v>
      </c>
      <c r="EJ25" s="19">
        <v>1</v>
      </c>
      <c r="EK25" s="19">
        <v>20.491403412483315</v>
      </c>
      <c r="EL25" s="23">
        <f>DataTable[[#This Row],[Sens_12]]/AVERAGEIF(DataTable[Strålkälla],DataTable[[#This Row],[Strålkälla]],DataTable[Sens_12])</f>
        <v>1.001173890797429</v>
      </c>
      <c r="EM25" s="19">
        <v>1530</v>
      </c>
      <c r="EN25" s="19">
        <v>1890</v>
      </c>
      <c r="EO25" s="19">
        <v>0.105</v>
      </c>
      <c r="EP25" s="19">
        <v>4.5999999999999999E-2</v>
      </c>
      <c r="EQ25" s="19">
        <v>2.8000000000000001E-2</v>
      </c>
      <c r="ER25" s="19">
        <v>1705971</v>
      </c>
      <c r="ES25" s="19">
        <v>483</v>
      </c>
      <c r="ET25" s="19">
        <v>0</v>
      </c>
      <c r="EU25" s="19">
        <v>2</v>
      </c>
      <c r="EV25" s="19">
        <v>16.279395092860245</v>
      </c>
      <c r="EW25" s="19">
        <f>DataTable[[#This Row],[Sens_13]]/AVERAGEIF(DataTable[Strålkälla],DataTable[[#This Row],[Strålkälla]],DataTable[Sens_13])</f>
        <v>1.0028355832171487</v>
      </c>
      <c r="EX25" s="19">
        <v>1267</v>
      </c>
      <c r="EY25" s="19">
        <v>1601</v>
      </c>
      <c r="EZ25" s="19">
        <v>0.11600000000000001</v>
      </c>
      <c r="FA25" s="19">
        <v>4.8000000000000001E-2</v>
      </c>
      <c r="FB25" s="19">
        <v>0.03</v>
      </c>
      <c r="FC25" s="19">
        <v>1454252</v>
      </c>
      <c r="FD25" s="19">
        <v>483</v>
      </c>
      <c r="FE25" s="19">
        <v>0</v>
      </c>
      <c r="FF25" s="19">
        <v>1</v>
      </c>
      <c r="FG25" s="19">
        <v>13.87734191998703</v>
      </c>
      <c r="FH25" s="19">
        <f>DataTable[[#This Row],[Sens_14]]/AVERAGEIF(DataTable[Strålkälla],DataTable[[#This Row],[Strålkälla]],DataTable[Sens_14])</f>
        <v>1.0017604349107092</v>
      </c>
      <c r="FI25" s="19">
        <v>1443</v>
      </c>
      <c r="FJ25" s="19">
        <v>1738</v>
      </c>
      <c r="FK25" s="19">
        <v>9.2999999999999999E-2</v>
      </c>
      <c r="FL25" s="19">
        <v>0.05</v>
      </c>
      <c r="FM25" s="19">
        <v>2.9000000000000001E-2</v>
      </c>
      <c r="FN25" s="19">
        <v>1619695</v>
      </c>
      <c r="FO25" s="19">
        <v>483</v>
      </c>
      <c r="FP25" s="19">
        <v>0</v>
      </c>
      <c r="FQ25" s="19">
        <v>0</v>
      </c>
      <c r="FR25" s="19">
        <v>15.45609792600828</v>
      </c>
      <c r="FS25" s="19">
        <f>DataTable[[#This Row],[Sens_15]]/AVERAGEIF(DataTable[Strålkälla],DataTable[[#This Row],[Strålkälla]],DataTable[Sens_15])</f>
        <v>0.99931970265176784</v>
      </c>
      <c r="FT25" s="19">
        <v>1283</v>
      </c>
      <c r="FU25" s="19">
        <v>1579</v>
      </c>
      <c r="FV25" s="19">
        <v>0.10299999999999999</v>
      </c>
      <c r="FW25" s="19">
        <v>4.2000000000000003E-2</v>
      </c>
      <c r="FX25" s="19">
        <v>2.9000000000000001E-2</v>
      </c>
      <c r="FY25" s="19">
        <v>1462813</v>
      </c>
      <c r="FZ25" s="19">
        <v>483</v>
      </c>
      <c r="GA25" s="19">
        <v>0</v>
      </c>
      <c r="GB25" s="19">
        <v>0</v>
      </c>
      <c r="GC25" s="19">
        <v>13.959036099659473</v>
      </c>
      <c r="GD25" s="19">
        <f>DataTable[[#This Row],[Sens_16]]/AVERAGEIF(DataTable[Strålkälla],DataTable[[#This Row],[Strålkälla]],DataTable[Sens_16])</f>
        <v>0.9996124891582554</v>
      </c>
      <c r="GE25" s="19">
        <v>1264</v>
      </c>
      <c r="GF25" s="19">
        <v>1512</v>
      </c>
      <c r="GG25" s="19">
        <v>8.8999999999999996E-2</v>
      </c>
      <c r="GH25" s="19">
        <v>4.2000000000000003E-2</v>
      </c>
      <c r="GI25" s="19">
        <v>0.03</v>
      </c>
      <c r="GJ25" s="19">
        <v>1409118</v>
      </c>
      <c r="GK25" s="19">
        <v>483</v>
      </c>
      <c r="GL25" s="19">
        <v>0</v>
      </c>
      <c r="GM25" s="19">
        <v>0</v>
      </c>
      <c r="GN25" s="19">
        <v>13.446646311374016</v>
      </c>
      <c r="GO25" s="19">
        <f>DataTable[[#This Row],[Sens_17]]/AVERAGEIF(DataTable[Strålkälla],DataTable[[#This Row],[Strålkälla]],DataTable[Sens_17])</f>
        <v>1.0002111268338547</v>
      </c>
      <c r="GP25" s="19">
        <v>1395</v>
      </c>
      <c r="GQ25" s="19">
        <v>1768</v>
      </c>
      <c r="GR25" s="19">
        <v>0.11799999999999999</v>
      </c>
      <c r="GS25" s="19">
        <v>3.3000000000000002E-2</v>
      </c>
      <c r="GT25" s="19">
        <v>2.8000000000000001E-2</v>
      </c>
      <c r="GU25" s="19">
        <v>1632145</v>
      </c>
      <c r="GV25" s="19">
        <v>483</v>
      </c>
      <c r="GW25" s="19">
        <v>1</v>
      </c>
      <c r="GX25" s="19">
        <v>0</v>
      </c>
      <c r="GY25" s="19">
        <v>15.574903268482513</v>
      </c>
      <c r="GZ25" s="19">
        <f>DataTable[[#This Row],[Sens_18]]/AVERAGEIF(DataTable[Strålkälla],DataTable[[#This Row],[Strålkälla]],DataTable[Sens_18])</f>
        <v>1.0010960760127059</v>
      </c>
      <c r="HA25" s="19">
        <v>1302</v>
      </c>
      <c r="HB25" s="19">
        <v>1608</v>
      </c>
      <c r="HC25" s="19">
        <v>0.105</v>
      </c>
      <c r="HD25" s="19">
        <v>4.3999999999999997E-2</v>
      </c>
      <c r="HE25" s="19">
        <v>2.9000000000000001E-2</v>
      </c>
      <c r="HF25" s="19">
        <v>1485200</v>
      </c>
      <c r="HG25" s="19">
        <v>483</v>
      </c>
      <c r="HH25" s="19">
        <v>0</v>
      </c>
      <c r="HI25" s="19">
        <v>0</v>
      </c>
      <c r="HJ25" s="19">
        <v>14.172666236363943</v>
      </c>
      <c r="HK25" s="19">
        <f>DataTable[[#This Row],[Sens_19]]/AVERAGEIF(DataTable[Strålkälla],DataTable[[#This Row],[Strålkälla]],DataTable[Sens_19])</f>
        <v>1.0001620777431024</v>
      </c>
      <c r="HL25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0.11799999999999999</v>
      </c>
      <c r="HM25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9.6789473684210522E-2</v>
      </c>
      <c r="HN25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5.2999999999999999E-2</v>
      </c>
      <c r="HO25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4.1368421052631589E-2</v>
      </c>
      <c r="HP25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0.9978939507871909</v>
      </c>
      <c r="HQ25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0.99980810729085801</v>
      </c>
      <c r="HR25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1.0028355832171487</v>
      </c>
      <c r="HS25" s="49"/>
    </row>
    <row r="26" spans="2:227" x14ac:dyDescent="0.25">
      <c r="B26" s="19" t="s">
        <v>43</v>
      </c>
      <c r="C26" s="20">
        <v>42429</v>
      </c>
      <c r="D26" s="21">
        <v>0.31841435185185185</v>
      </c>
      <c r="E26" s="13" t="s">
        <v>217</v>
      </c>
      <c r="F26" s="13">
        <v>109.8</v>
      </c>
      <c r="G26" s="13">
        <v>134.19999999999999</v>
      </c>
      <c r="H26" s="24">
        <v>23.520299999999999</v>
      </c>
      <c r="I26" s="22">
        <f>MATCH(DataTable[[#This Row],[Datum]],Övrigt!$D$10:$M$10,1)</f>
        <v>1</v>
      </c>
      <c r="J26" s="13"/>
      <c r="K26" s="22">
        <v>1826</v>
      </c>
      <c r="L26" s="22">
        <v>2222</v>
      </c>
      <c r="M26" s="23">
        <v>9.8000000000000004E-2</v>
      </c>
      <c r="N26" s="23">
        <v>5.5E-2</v>
      </c>
      <c r="O26" s="23">
        <v>2.7E-2</v>
      </c>
      <c r="P26" s="22">
        <v>2077161</v>
      </c>
      <c r="Q26" s="24">
        <v>468</v>
      </c>
      <c r="R26" s="22">
        <v>0</v>
      </c>
      <c r="S26" s="22">
        <v>0</v>
      </c>
      <c r="T26" s="19">
        <v>20.666608098899538</v>
      </c>
      <c r="U26" s="23">
        <f>DataTable[[#This Row],[Sens_1]]/AVERAGEIF(DataTable[Strålkälla],DataTable[[#This Row],[Strålkälla]],DataTable[Sens_1])</f>
        <v>0.99819461902945661</v>
      </c>
      <c r="V26" s="22">
        <v>2127</v>
      </c>
      <c r="W26" s="22">
        <v>2654</v>
      </c>
      <c r="X26" s="23">
        <v>0.11</v>
      </c>
      <c r="Y26" s="23">
        <v>4.4999999999999998E-2</v>
      </c>
      <c r="Z26" s="23">
        <v>2.5000000000000001E-2</v>
      </c>
      <c r="AA26" s="22">
        <v>2453038</v>
      </c>
      <c r="AB26" s="24">
        <v>468</v>
      </c>
      <c r="AC26" s="22">
        <v>2</v>
      </c>
      <c r="AD26" s="22">
        <v>1</v>
      </c>
      <c r="AE26" s="19">
        <v>24.406377260938523</v>
      </c>
      <c r="AF26" s="23">
        <f>DataTable[[#This Row],[Sens_2]]/AVERAGEIF(DataTable[Strålkälla],DataTable[[#This Row],[Strålkälla]],DataTable[Sens_2])</f>
        <v>0.99883024898555994</v>
      </c>
      <c r="AG26" s="22">
        <v>1921</v>
      </c>
      <c r="AH26" s="22">
        <v>2309</v>
      </c>
      <c r="AI26" s="23">
        <v>9.1999999999999998E-2</v>
      </c>
      <c r="AJ26" s="23">
        <v>3.3000000000000002E-2</v>
      </c>
      <c r="AK26" s="23">
        <v>2.4E-2</v>
      </c>
      <c r="AL26" s="22">
        <v>2171923</v>
      </c>
      <c r="AM26" s="24">
        <v>468</v>
      </c>
      <c r="AN26" s="22">
        <v>0</v>
      </c>
      <c r="AO26" s="22">
        <v>0</v>
      </c>
      <c r="AP26" s="19">
        <v>21.609437815357683</v>
      </c>
      <c r="AQ26" s="23">
        <f>DataTable[[#This Row],[Sens_3]]/AVERAGEIF(DataTable[Strålkälla],DataTable[[#This Row],[Strålkälla]],DataTable[Sens_3])</f>
        <v>0.99877015363676258</v>
      </c>
      <c r="AR26" s="22">
        <v>1819</v>
      </c>
      <c r="AS26" s="22">
        <v>2242</v>
      </c>
      <c r="AT26" s="23">
        <v>0.104</v>
      </c>
      <c r="AU26" s="23">
        <v>3.6999999999999998E-2</v>
      </c>
      <c r="AV26" s="23">
        <v>2.5999999999999999E-2</v>
      </c>
      <c r="AW26" s="22">
        <v>2065379</v>
      </c>
      <c r="AX26" s="24">
        <v>468</v>
      </c>
      <c r="AY26" s="22">
        <v>0</v>
      </c>
      <c r="AZ26" s="22">
        <v>1</v>
      </c>
      <c r="BA26" s="19">
        <v>20.549383687011758</v>
      </c>
      <c r="BB26" s="23">
        <f>DataTable[[#This Row],[Sens_4]]/AVERAGEIF(DataTable[Strålkälla],DataTable[[#This Row],[Strålkälla]],DataTable[Sens_4])</f>
        <v>0.99793231148892247</v>
      </c>
      <c r="BC26" s="22">
        <v>2076</v>
      </c>
      <c r="BD26" s="22">
        <v>2441</v>
      </c>
      <c r="BE26" s="19">
        <v>8.1000000000000003E-2</v>
      </c>
      <c r="BF26" s="19">
        <v>3.1E-2</v>
      </c>
      <c r="BG26" s="19">
        <v>2.3E-2</v>
      </c>
      <c r="BH26" s="19">
        <v>2308982</v>
      </c>
      <c r="BI26" s="19">
        <v>468</v>
      </c>
      <c r="BJ26" s="19">
        <v>0</v>
      </c>
      <c r="BK26" s="19">
        <v>0</v>
      </c>
      <c r="BL26" s="19">
        <v>22.97309938970222</v>
      </c>
      <c r="BM26" s="23">
        <f>DataTable[[#This Row],[Sens_5]]/AVERAGEIF(DataTable[Strålkälla],DataTable[[#This Row],[Strålkälla]],DataTable[Sens_5])</f>
        <v>0.99769353085543666</v>
      </c>
      <c r="BN26" s="19">
        <v>2069</v>
      </c>
      <c r="BO26" s="19">
        <v>2449</v>
      </c>
      <c r="BP26" s="19">
        <v>8.4000000000000005E-2</v>
      </c>
      <c r="BQ26" s="19">
        <v>0.03</v>
      </c>
      <c r="BR26" s="19">
        <v>2.4E-2</v>
      </c>
      <c r="BS26" s="19">
        <v>2301932</v>
      </c>
      <c r="BT26" s="19">
        <v>468</v>
      </c>
      <c r="BU26" s="19">
        <v>0</v>
      </c>
      <c r="BV26" s="19">
        <v>0</v>
      </c>
      <c r="BW26" s="19">
        <v>22.902955771996496</v>
      </c>
      <c r="BX26" s="23">
        <f>DataTable[[#This Row],[Sens_6]]/AVERAGEIF(DataTable[Strålkälla],DataTable[[#This Row],[Strålkälla]],DataTable[Sens_6])</f>
        <v>0.99788547595494115</v>
      </c>
      <c r="BY26" s="19">
        <v>1889</v>
      </c>
      <c r="BZ26" s="19">
        <v>2254</v>
      </c>
      <c r="CA26" s="19">
        <v>8.7999999999999995E-2</v>
      </c>
      <c r="CB26" s="19">
        <v>3.6999999999999998E-2</v>
      </c>
      <c r="CC26" s="19">
        <v>2.5000000000000001E-2</v>
      </c>
      <c r="CD26" s="19">
        <v>2109548</v>
      </c>
      <c r="CE26" s="19">
        <v>468</v>
      </c>
      <c r="CF26" s="19">
        <v>0</v>
      </c>
      <c r="CG26" s="19">
        <v>0</v>
      </c>
      <c r="CH26" s="19">
        <v>20.988840914025115</v>
      </c>
      <c r="CI26" s="23">
        <f>DataTable[[#This Row],[Sens_7]]/AVERAGEIF(DataTable[Strålkälla],DataTable[[#This Row],[Strålkälla]],DataTable[Sens_7])</f>
        <v>0.9986204753174841</v>
      </c>
      <c r="CJ26" s="19">
        <v>2210</v>
      </c>
      <c r="CK26" s="19">
        <v>2658</v>
      </c>
      <c r="CL26" s="19">
        <v>9.1999999999999998E-2</v>
      </c>
      <c r="CM26" s="19">
        <v>3.4000000000000002E-2</v>
      </c>
      <c r="CN26" s="19">
        <v>2.5000000000000001E-2</v>
      </c>
      <c r="CO26" s="19">
        <v>2448628</v>
      </c>
      <c r="CP26" s="19">
        <v>468</v>
      </c>
      <c r="CQ26" s="19">
        <v>0</v>
      </c>
      <c r="CR26" s="19">
        <v>1</v>
      </c>
      <c r="CS26" s="19">
        <v>24.362500189437498</v>
      </c>
      <c r="CT26" s="23">
        <f>DataTable[[#This Row],[Sens_8]]/AVERAGEIF(DataTable[Strålkälla],DataTable[[#This Row],[Strålkälla]],DataTable[Sens_8])</f>
        <v>0.99854948663241694</v>
      </c>
      <c r="CU26" s="19">
        <v>1752</v>
      </c>
      <c r="CV26" s="19">
        <v>2066</v>
      </c>
      <c r="CW26" s="19">
        <v>8.2000000000000003E-2</v>
      </c>
      <c r="CX26" s="19">
        <v>3.6999999999999998E-2</v>
      </c>
      <c r="CY26" s="19">
        <v>2.5999999999999999E-2</v>
      </c>
      <c r="CZ26" s="19">
        <v>1967526</v>
      </c>
      <c r="DA26" s="19">
        <v>455</v>
      </c>
      <c r="DB26" s="19">
        <v>0</v>
      </c>
      <c r="DC26" s="19">
        <v>0</v>
      </c>
      <c r="DD26" s="19">
        <v>20.1351088004972</v>
      </c>
      <c r="DE26" s="23">
        <f>DataTable[[#This Row],[Sens_9]]/AVERAGEIF(DataTable[Strålkälla],DataTable[[#This Row],[Strålkälla]],DataTable[Sens_9])</f>
        <v>0.99768484935410828</v>
      </c>
      <c r="DF26" s="19">
        <v>1698</v>
      </c>
      <c r="DG26" s="19">
        <v>2058</v>
      </c>
      <c r="DH26" s="19">
        <v>9.6000000000000002E-2</v>
      </c>
      <c r="DI26" s="19">
        <v>3.4000000000000002E-2</v>
      </c>
      <c r="DJ26" s="19">
        <v>2.7E-2</v>
      </c>
      <c r="DK26" s="19">
        <v>1908146</v>
      </c>
      <c r="DL26" s="19">
        <v>455</v>
      </c>
      <c r="DM26" s="19">
        <v>0</v>
      </c>
      <c r="DN26" s="19">
        <v>0</v>
      </c>
      <c r="DO26" s="19">
        <v>19.527430548431653</v>
      </c>
      <c r="DP26" s="23">
        <f>DataTable[[#This Row],[Sens_10]]/AVERAGEIF(DataTable[Strålkälla],DataTable[[#This Row],[Strålkälla]],DataTable[Sens_10])</f>
        <v>1.0008831333786541</v>
      </c>
      <c r="DQ26" s="19">
        <v>1495</v>
      </c>
      <c r="DR26" s="19">
        <v>1818</v>
      </c>
      <c r="DS26" s="19">
        <v>9.7000000000000003E-2</v>
      </c>
      <c r="DT26" s="19">
        <v>5.0999999999999997E-2</v>
      </c>
      <c r="DU26" s="19">
        <v>2.7E-2</v>
      </c>
      <c r="DV26" s="19">
        <v>1676794</v>
      </c>
      <c r="DW26" s="19">
        <v>455</v>
      </c>
      <c r="DX26" s="19">
        <v>0</v>
      </c>
      <c r="DY26" s="19">
        <v>1</v>
      </c>
      <c r="DZ26" s="19">
        <v>17.159839120815128</v>
      </c>
      <c r="EA26" s="23">
        <f>DataTable[[#This Row],[Sens_11]]/AVERAGEIF(DataTable[Strålkälla],DataTable[[#This Row],[Strålkälla]],DataTable[Sens_11])</f>
        <v>0.99940885074055175</v>
      </c>
      <c r="EB26" s="19">
        <v>1739</v>
      </c>
      <c r="EC26" s="19">
        <v>2153</v>
      </c>
      <c r="ED26" s="19">
        <v>0.106</v>
      </c>
      <c r="EE26" s="19">
        <v>5.8000000000000003E-2</v>
      </c>
      <c r="EF26" s="19">
        <v>2.5999999999999999E-2</v>
      </c>
      <c r="EG26" s="19">
        <v>1999086</v>
      </c>
      <c r="EH26" s="19">
        <v>455</v>
      </c>
      <c r="EI26" s="19">
        <v>1</v>
      </c>
      <c r="EJ26" s="19">
        <v>0</v>
      </c>
      <c r="EK26" s="19">
        <v>20.458084981621969</v>
      </c>
      <c r="EL26" s="23">
        <f>DataTable[[#This Row],[Sens_12]]/AVERAGEIF(DataTable[Strålkälla],DataTable[[#This Row],[Strålkälla]],DataTable[Sens_12])</f>
        <v>0.99954601093047957</v>
      </c>
      <c r="EM26" s="19">
        <v>1478</v>
      </c>
      <c r="EN26" s="19">
        <v>1804</v>
      </c>
      <c r="EO26" s="19">
        <v>9.9000000000000005E-2</v>
      </c>
      <c r="EP26" s="19">
        <v>4.2999999999999997E-2</v>
      </c>
      <c r="EQ26" s="19">
        <v>2.8000000000000001E-2</v>
      </c>
      <c r="ER26" s="19">
        <v>1702842</v>
      </c>
      <c r="ES26" s="19">
        <v>489</v>
      </c>
      <c r="ET26" s="19">
        <v>0</v>
      </c>
      <c r="EU26" s="19">
        <v>0</v>
      </c>
      <c r="EV26" s="19">
        <v>16.214755017843952</v>
      </c>
      <c r="EW26" s="19">
        <f>DataTable[[#This Row],[Sens_13]]/AVERAGEIF(DataTable[Strålkälla],DataTable[[#This Row],[Strålkälla]],DataTable[Sens_13])</f>
        <v>0.99885365594292264</v>
      </c>
      <c r="EX26" s="19">
        <v>1263</v>
      </c>
      <c r="EY26" s="19">
        <v>1574</v>
      </c>
      <c r="EZ26" s="19">
        <v>0.11</v>
      </c>
      <c r="FA26" s="19">
        <v>4.4999999999999998E-2</v>
      </c>
      <c r="FB26" s="19">
        <v>3.1E-2</v>
      </c>
      <c r="FC26" s="19">
        <v>1451786</v>
      </c>
      <c r="FD26" s="19">
        <v>489</v>
      </c>
      <c r="FE26" s="19">
        <v>0</v>
      </c>
      <c r="FF26" s="19">
        <v>0</v>
      </c>
      <c r="FG26" s="19">
        <v>13.824156515011728</v>
      </c>
      <c r="FH26" s="19">
        <f>DataTable[[#This Row],[Sens_14]]/AVERAGEIF(DataTable[Strålkälla],DataTable[[#This Row],[Strålkälla]],DataTable[Sens_14])</f>
        <v>0.99792115252319191</v>
      </c>
      <c r="FI26" s="19">
        <v>1426</v>
      </c>
      <c r="FJ26" s="19">
        <v>1709</v>
      </c>
      <c r="FK26" s="19">
        <v>0.09</v>
      </c>
      <c r="FL26" s="19">
        <v>3.4000000000000002E-2</v>
      </c>
      <c r="FM26" s="19">
        <v>2.7E-2</v>
      </c>
      <c r="FN26" s="19">
        <v>1621963</v>
      </c>
      <c r="FO26" s="19">
        <v>489</v>
      </c>
      <c r="FP26" s="19">
        <v>0</v>
      </c>
      <c r="FQ26" s="19">
        <v>0</v>
      </c>
      <c r="FR26" s="19">
        <v>15.444611239919634</v>
      </c>
      <c r="FS26" s="19">
        <f>DataTable[[#This Row],[Sens_15]]/AVERAGEIF(DataTable[Strålkälla],DataTable[[#This Row],[Strålkälla]],DataTable[Sens_15])</f>
        <v>0.99857702673307802</v>
      </c>
      <c r="FT26" s="19">
        <v>1307</v>
      </c>
      <c r="FU26" s="19">
        <v>1568</v>
      </c>
      <c r="FV26" s="19">
        <v>9.0999999999999998E-2</v>
      </c>
      <c r="FW26" s="19">
        <v>5.0999999999999997E-2</v>
      </c>
      <c r="FX26" s="19">
        <v>2.9000000000000001E-2</v>
      </c>
      <c r="FY26" s="19">
        <v>1462179</v>
      </c>
      <c r="FZ26" s="19">
        <v>489</v>
      </c>
      <c r="GA26" s="19">
        <v>0</v>
      </c>
      <c r="GB26" s="19">
        <v>0</v>
      </c>
      <c r="GC26" s="19">
        <v>13.923120452300362</v>
      </c>
      <c r="GD26" s="19">
        <f>DataTable[[#This Row],[Sens_16]]/AVERAGEIF(DataTable[Strålkälla],DataTable[[#This Row],[Strålkälla]],DataTable[Sens_16])</f>
        <v>0.99704055443439243</v>
      </c>
      <c r="GE26" s="19">
        <v>1215</v>
      </c>
      <c r="GF26" s="19">
        <v>1548</v>
      </c>
      <c r="GG26" s="19">
        <v>0.121</v>
      </c>
      <c r="GH26" s="19">
        <v>4.2999999999999997E-2</v>
      </c>
      <c r="GI26" s="19">
        <v>0.03</v>
      </c>
      <c r="GJ26" s="19">
        <v>1410011</v>
      </c>
      <c r="GK26" s="19">
        <v>489</v>
      </c>
      <c r="GL26" s="19">
        <v>0</v>
      </c>
      <c r="GM26" s="19">
        <v>1</v>
      </c>
      <c r="GN26" s="19">
        <v>13.426367764869065</v>
      </c>
      <c r="GO26" s="19">
        <f>DataTable[[#This Row],[Sens_17]]/AVERAGEIF(DataTable[Strålkälla],DataTable[[#This Row],[Strålkälla]],DataTable[Sens_17])</f>
        <v>0.99870273378323116</v>
      </c>
      <c r="GP26" s="19">
        <v>1424</v>
      </c>
      <c r="GQ26" s="19">
        <v>1758</v>
      </c>
      <c r="GR26" s="19">
        <v>0.105</v>
      </c>
      <c r="GS26" s="19">
        <v>4.2999999999999997E-2</v>
      </c>
      <c r="GT26" s="19">
        <v>2.8000000000000001E-2</v>
      </c>
      <c r="GU26" s="19">
        <v>1633601</v>
      </c>
      <c r="GV26" s="19">
        <v>489</v>
      </c>
      <c r="GW26" s="19">
        <v>0</v>
      </c>
      <c r="GX26" s="19">
        <v>0</v>
      </c>
      <c r="GY26" s="19">
        <v>15.555430281790617</v>
      </c>
      <c r="GZ26" s="19">
        <f>DataTable[[#This Row],[Sens_18]]/AVERAGEIF(DataTable[Strålkälla],DataTable[[#This Row],[Strålkälla]],DataTable[Sens_18])</f>
        <v>0.99984442582718258</v>
      </c>
      <c r="HA26" s="19">
        <v>1305</v>
      </c>
      <c r="HB26" s="19">
        <v>1630</v>
      </c>
      <c r="HC26" s="19">
        <v>0.111</v>
      </c>
      <c r="HD26" s="19">
        <v>5.7000000000000002E-2</v>
      </c>
      <c r="HE26" s="19">
        <v>3.1E-2</v>
      </c>
      <c r="HF26" s="19">
        <v>1486644</v>
      </c>
      <c r="HG26" s="19">
        <v>489</v>
      </c>
      <c r="HH26" s="19">
        <v>0</v>
      </c>
      <c r="HI26" s="19">
        <v>0</v>
      </c>
      <c r="HJ26" s="19">
        <v>14.156080398972778</v>
      </c>
      <c r="HK26" s="19">
        <f>DataTable[[#This Row],[Sens_19]]/AVERAGEIF(DataTable[Strålkälla],DataTable[[#This Row],[Strålkälla]],DataTable[Sens_19])</f>
        <v>0.99899161868412212</v>
      </c>
      <c r="HL26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0.121</v>
      </c>
      <c r="HM26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9.7736842105263164E-2</v>
      </c>
      <c r="HN26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5.8000000000000003E-2</v>
      </c>
      <c r="HO26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4.2000000000000016E-2</v>
      </c>
      <c r="HP26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0.99704055443439243</v>
      </c>
      <c r="HQ26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0.9986279112754155</v>
      </c>
      <c r="HR26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1.0008831333786541</v>
      </c>
      <c r="HS26" s="49"/>
    </row>
    <row r="27" spans="2:227" x14ac:dyDescent="0.25">
      <c r="B27" s="19" t="s">
        <v>43</v>
      </c>
      <c r="C27" s="20">
        <v>42431</v>
      </c>
      <c r="D27" s="21">
        <v>0.31792824074074072</v>
      </c>
      <c r="E27" s="13" t="s">
        <v>217</v>
      </c>
      <c r="F27" s="13">
        <v>109.8</v>
      </c>
      <c r="G27" s="13">
        <v>134.19999999999999</v>
      </c>
      <c r="H27" s="24">
        <v>23.6113</v>
      </c>
      <c r="I27" s="22">
        <f>MATCH(DataTable[[#This Row],[Datum]],Övrigt!$D$10:$M$10,1)</f>
        <v>1</v>
      </c>
      <c r="J27" s="13"/>
      <c r="K27" s="22">
        <v>1868</v>
      </c>
      <c r="L27" s="22">
        <v>2234</v>
      </c>
      <c r="M27" s="23">
        <v>8.8999999999999996E-2</v>
      </c>
      <c r="N27" s="23">
        <v>3.7999999999999999E-2</v>
      </c>
      <c r="O27" s="23">
        <v>2.5999999999999999E-2</v>
      </c>
      <c r="P27" s="22">
        <v>2082215</v>
      </c>
      <c r="Q27" s="24">
        <v>469</v>
      </c>
      <c r="R27" s="22">
        <v>0</v>
      </c>
      <c r="S27" s="22">
        <v>0</v>
      </c>
      <c r="T27" s="19">
        <v>20.778452458548497</v>
      </c>
      <c r="U27" s="23">
        <f>DataTable[[#This Row],[Sens_1]]/AVERAGEIF(DataTable[Strålkälla],DataTable[[#This Row],[Strålkälla]],DataTable[Sens_1])</f>
        <v>1.0035966877886899</v>
      </c>
      <c r="V27" s="22">
        <v>2172</v>
      </c>
      <c r="W27" s="22">
        <v>2707</v>
      </c>
      <c r="X27" s="23">
        <v>0.11</v>
      </c>
      <c r="Y27" s="23">
        <v>4.2999999999999997E-2</v>
      </c>
      <c r="Z27" s="23">
        <v>2.5000000000000001E-2</v>
      </c>
      <c r="AA27" s="22">
        <v>2450910</v>
      </c>
      <c r="AB27" s="24">
        <v>469</v>
      </c>
      <c r="AC27" s="22">
        <v>0</v>
      </c>
      <c r="AD27" s="22">
        <v>1</v>
      </c>
      <c r="AE27" s="19">
        <v>24.457664993855627</v>
      </c>
      <c r="AF27" s="23">
        <f>DataTable[[#This Row],[Sens_2]]/AVERAGEIF(DataTable[Strålkälla],DataTable[[#This Row],[Strålkälla]],DataTable[Sens_2])</f>
        <v>1.000929197899272</v>
      </c>
      <c r="AG27" s="22">
        <v>1918</v>
      </c>
      <c r="AH27" s="22">
        <v>2347</v>
      </c>
      <c r="AI27" s="23">
        <v>0.10100000000000001</v>
      </c>
      <c r="AJ27" s="23">
        <v>3.5000000000000003E-2</v>
      </c>
      <c r="AK27" s="23">
        <v>2.4E-2</v>
      </c>
      <c r="AL27" s="22">
        <v>2171054</v>
      </c>
      <c r="AM27" s="24">
        <v>469</v>
      </c>
      <c r="AN27" s="22">
        <v>0</v>
      </c>
      <c r="AO27" s="22">
        <v>1</v>
      </c>
      <c r="AP27" s="19">
        <v>21.664978075722992</v>
      </c>
      <c r="AQ27" s="23">
        <f>DataTable[[#This Row],[Sens_3]]/AVERAGEIF(DataTable[Strålkälla],DataTable[[#This Row],[Strålkälla]],DataTable[Sens_3])</f>
        <v>1.0013371780476734</v>
      </c>
      <c r="AR27" s="22">
        <v>1805</v>
      </c>
      <c r="AS27" s="22">
        <v>2230</v>
      </c>
      <c r="AT27" s="23">
        <v>0.105</v>
      </c>
      <c r="AU27" s="23">
        <v>4.7E-2</v>
      </c>
      <c r="AV27" s="23">
        <v>2.5000000000000001E-2</v>
      </c>
      <c r="AW27" s="22">
        <v>2066523</v>
      </c>
      <c r="AX27" s="24">
        <v>469</v>
      </c>
      <c r="AY27" s="22">
        <v>1</v>
      </c>
      <c r="AZ27" s="22">
        <v>1</v>
      </c>
      <c r="BA27" s="19">
        <v>20.621861772197882</v>
      </c>
      <c r="BB27" s="23">
        <f>DataTable[[#This Row],[Sens_4]]/AVERAGEIF(DataTable[Strålkälla],DataTable[[#This Row],[Strålkälla]],DataTable[Sens_4])</f>
        <v>1.0014520386098771</v>
      </c>
      <c r="BC27" s="22">
        <v>2067</v>
      </c>
      <c r="BD27" s="22">
        <v>2454</v>
      </c>
      <c r="BE27" s="19">
        <v>8.5999999999999993E-2</v>
      </c>
      <c r="BF27" s="19">
        <v>3.2000000000000001E-2</v>
      </c>
      <c r="BG27" s="19">
        <v>2.3E-2</v>
      </c>
      <c r="BH27" s="19">
        <v>2308363</v>
      </c>
      <c r="BI27" s="19">
        <v>469</v>
      </c>
      <c r="BJ27" s="19">
        <v>0</v>
      </c>
      <c r="BK27" s="19">
        <v>0</v>
      </c>
      <c r="BL27" s="19">
        <v>23.035186497346519</v>
      </c>
      <c r="BM27" s="23">
        <f>DataTable[[#This Row],[Sens_5]]/AVERAGEIF(DataTable[Strålkälla],DataTable[[#This Row],[Strålkälla]],DataTable[Sens_5])</f>
        <v>1.0003898977929344</v>
      </c>
      <c r="BN27" s="19">
        <v>2045</v>
      </c>
      <c r="BO27" s="19">
        <v>2410</v>
      </c>
      <c r="BP27" s="19">
        <v>8.2000000000000003E-2</v>
      </c>
      <c r="BQ27" s="19">
        <v>3.1E-2</v>
      </c>
      <c r="BR27" s="19">
        <v>2.3E-2</v>
      </c>
      <c r="BS27" s="19">
        <v>2302320</v>
      </c>
      <c r="BT27" s="19">
        <v>469</v>
      </c>
      <c r="BU27" s="19">
        <v>0</v>
      </c>
      <c r="BV27" s="19">
        <v>0</v>
      </c>
      <c r="BW27" s="19">
        <v>22.974883316259547</v>
      </c>
      <c r="BX27" s="23">
        <f>DataTable[[#This Row],[Sens_6]]/AVERAGEIF(DataTable[Strålkälla],DataTable[[#This Row],[Strålkälla]],DataTable[Sens_6])</f>
        <v>1.0010193706563826</v>
      </c>
      <c r="BY27" s="19">
        <v>1877</v>
      </c>
      <c r="BZ27" s="19">
        <v>2263</v>
      </c>
      <c r="CA27" s="19">
        <v>9.2999999999999999E-2</v>
      </c>
      <c r="CB27" s="19">
        <v>4.2999999999999997E-2</v>
      </c>
      <c r="CC27" s="19">
        <v>2.5999999999999999E-2</v>
      </c>
      <c r="CD27" s="19">
        <v>2108600</v>
      </c>
      <c r="CE27" s="19">
        <v>469</v>
      </c>
      <c r="CF27" s="19">
        <v>0</v>
      </c>
      <c r="CG27" s="19">
        <v>0</v>
      </c>
      <c r="CH27" s="19">
        <v>21.041748740689776</v>
      </c>
      <c r="CI27" s="23">
        <f>DataTable[[#This Row],[Sens_7]]/AVERAGEIF(DataTable[Strålkälla],DataTable[[#This Row],[Strålkälla]],DataTable[Sens_7])</f>
        <v>1.0011377576785399</v>
      </c>
      <c r="CJ27" s="19">
        <v>2162</v>
      </c>
      <c r="CK27" s="19">
        <v>2619</v>
      </c>
      <c r="CL27" s="19">
        <v>9.6000000000000002E-2</v>
      </c>
      <c r="CM27" s="19">
        <v>4.3999999999999997E-2</v>
      </c>
      <c r="CN27" s="19">
        <v>2.5999999999999999E-2</v>
      </c>
      <c r="CO27" s="19">
        <v>2446560</v>
      </c>
      <c r="CP27" s="19">
        <v>469</v>
      </c>
      <c r="CQ27" s="19">
        <v>0</v>
      </c>
      <c r="CR27" s="19">
        <v>0</v>
      </c>
      <c r="CS27" s="19">
        <v>24.414256283326367</v>
      </c>
      <c r="CT27" s="23">
        <f>DataTable[[#This Row],[Sens_8]]/AVERAGEIF(DataTable[Strålkälla],DataTable[[#This Row],[Strålkälla]],DataTable[Sens_8])</f>
        <v>1.0006708214946425</v>
      </c>
      <c r="CU27" s="19">
        <v>1699</v>
      </c>
      <c r="CV27" s="19">
        <v>2094</v>
      </c>
      <c r="CW27" s="19">
        <v>0.104</v>
      </c>
      <c r="CX27" s="19">
        <v>4.3999999999999997E-2</v>
      </c>
      <c r="CY27" s="19">
        <v>2.7E-2</v>
      </c>
      <c r="CZ27" s="19">
        <v>1970012</v>
      </c>
      <c r="DA27" s="19">
        <v>457</v>
      </c>
      <c r="DB27" s="19">
        <v>1</v>
      </c>
      <c r="DC27" s="19">
        <v>0</v>
      </c>
      <c r="DD27" s="19">
        <v>20.174981374543279</v>
      </c>
      <c r="DE27" s="23">
        <f>DataTable[[#This Row],[Sens_9]]/AVERAGEIF(DataTable[Strålkälla],DataTable[[#This Row],[Strålkälla]],DataTable[Sens_9])</f>
        <v>0.99966051600804462</v>
      </c>
      <c r="DF27" s="19">
        <v>1670</v>
      </c>
      <c r="DG27" s="19">
        <v>2009</v>
      </c>
      <c r="DH27" s="19">
        <v>9.1999999999999998E-2</v>
      </c>
      <c r="DI27" s="19">
        <v>4.2000000000000003E-2</v>
      </c>
      <c r="DJ27" s="19">
        <v>2.5999999999999999E-2</v>
      </c>
      <c r="DK27" s="19">
        <v>1908960</v>
      </c>
      <c r="DL27" s="19">
        <v>457</v>
      </c>
      <c r="DM27" s="19">
        <v>1</v>
      </c>
      <c r="DN27" s="19">
        <v>0</v>
      </c>
      <c r="DO27" s="19">
        <v>19.549745100409613</v>
      </c>
      <c r="DP27" s="23">
        <f>DataTable[[#This Row],[Sens_10]]/AVERAGEIF(DataTable[Strålkälla],DataTable[[#This Row],[Strålkälla]],DataTable[Sens_10])</f>
        <v>1.002026871088961</v>
      </c>
      <c r="DQ27" s="19">
        <v>1455</v>
      </c>
      <c r="DR27" s="19">
        <v>1794</v>
      </c>
      <c r="DS27" s="19">
        <v>0.104</v>
      </c>
      <c r="DT27" s="19">
        <v>0.04</v>
      </c>
      <c r="DU27" s="19">
        <v>2.7E-2</v>
      </c>
      <c r="DV27" s="19">
        <v>1675313</v>
      </c>
      <c r="DW27" s="19">
        <v>457</v>
      </c>
      <c r="DX27" s="19">
        <v>1</v>
      </c>
      <c r="DY27" s="19">
        <v>0</v>
      </c>
      <c r="DZ27" s="19">
        <v>17.156955679219326</v>
      </c>
      <c r="EA27" s="23">
        <f>DataTable[[#This Row],[Sens_11]]/AVERAGEIF(DataTable[Strålkälla],DataTable[[#This Row],[Strålkälla]],DataTable[Sens_11])</f>
        <v>0.99924091577151442</v>
      </c>
      <c r="EB27" s="19">
        <v>1746</v>
      </c>
      <c r="EC27" s="19">
        <v>2128</v>
      </c>
      <c r="ED27" s="19">
        <v>9.9000000000000005E-2</v>
      </c>
      <c r="EE27" s="19">
        <v>4.5999999999999999E-2</v>
      </c>
      <c r="EF27" s="19">
        <v>2.5999999999999999E-2</v>
      </c>
      <c r="EG27" s="19">
        <v>1997605</v>
      </c>
      <c r="EH27" s="19">
        <v>457</v>
      </c>
      <c r="EI27" s="19">
        <v>2</v>
      </c>
      <c r="EJ27" s="19">
        <v>0</v>
      </c>
      <c r="EK27" s="19">
        <v>20.457562526875233</v>
      </c>
      <c r="EL27" s="23">
        <f>DataTable[[#This Row],[Sens_12]]/AVERAGEIF(DataTable[Strålkälla],DataTable[[#This Row],[Strålkälla]],DataTable[Sens_12])</f>
        <v>0.99952048471145849</v>
      </c>
      <c r="EM27" s="19">
        <v>1498</v>
      </c>
      <c r="EN27" s="19">
        <v>1817</v>
      </c>
      <c r="EO27" s="19">
        <v>9.6000000000000002E-2</v>
      </c>
      <c r="EP27" s="19">
        <v>4.2000000000000003E-2</v>
      </c>
      <c r="EQ27" s="19">
        <v>2.7E-2</v>
      </c>
      <c r="ER27" s="19">
        <v>1701434</v>
      </c>
      <c r="ES27" s="19">
        <v>491</v>
      </c>
      <c r="ET27" s="19">
        <v>0</v>
      </c>
      <c r="EU27" s="19">
        <v>0</v>
      </c>
      <c r="EV27" s="19">
        <v>16.21788012248599</v>
      </c>
      <c r="EW27" s="19">
        <f>DataTable[[#This Row],[Sens_13]]/AVERAGEIF(DataTable[Strålkälla],DataTable[[#This Row],[Strålkälla]],DataTable[Sens_13])</f>
        <v>0.99904616715838468</v>
      </c>
      <c r="EX27" s="19">
        <v>1301</v>
      </c>
      <c r="EY27" s="19">
        <v>1555</v>
      </c>
      <c r="EZ27" s="19">
        <v>8.8999999999999996E-2</v>
      </c>
      <c r="FA27" s="19">
        <v>4.2999999999999997E-2</v>
      </c>
      <c r="FB27" s="19">
        <v>2.9000000000000001E-2</v>
      </c>
      <c r="FC27" s="19">
        <v>1454506</v>
      </c>
      <c r="FD27" s="19">
        <v>491</v>
      </c>
      <c r="FE27" s="19">
        <v>0</v>
      </c>
      <c r="FF27" s="19">
        <v>0</v>
      </c>
      <c r="FG27" s="19">
        <v>13.864189821901176</v>
      </c>
      <c r="FH27" s="19">
        <f>DataTable[[#This Row],[Sens_14]]/AVERAGEIF(DataTable[Strålkälla],DataTable[[#This Row],[Strålkälla]],DataTable[Sens_14])</f>
        <v>1.0008110274827997</v>
      </c>
      <c r="FI27" s="19">
        <v>1447</v>
      </c>
      <c r="FJ27" s="19">
        <v>1741</v>
      </c>
      <c r="FK27" s="19">
        <v>9.1999999999999998E-2</v>
      </c>
      <c r="FL27" s="19">
        <v>4.4999999999999998E-2</v>
      </c>
      <c r="FM27" s="19">
        <v>2.9000000000000001E-2</v>
      </c>
      <c r="FN27" s="19">
        <v>1620929</v>
      </c>
      <c r="FO27" s="19">
        <v>491</v>
      </c>
      <c r="FP27" s="19">
        <v>0</v>
      </c>
      <c r="FQ27" s="19">
        <v>0</v>
      </c>
      <c r="FR27" s="19">
        <v>15.450515394109376</v>
      </c>
      <c r="FS27" s="19">
        <f>DataTable[[#This Row],[Sens_15]]/AVERAGEIF(DataTable[Strålkälla],DataTable[[#This Row],[Strålkälla]],DataTable[Sens_15])</f>
        <v>0.99895876199624389</v>
      </c>
      <c r="FT27" s="19">
        <v>1302</v>
      </c>
      <c r="FU27" s="19">
        <v>1565</v>
      </c>
      <c r="FV27" s="19">
        <v>9.1999999999999998E-2</v>
      </c>
      <c r="FW27" s="19">
        <v>4.1000000000000002E-2</v>
      </c>
      <c r="FX27" s="19">
        <v>2.9000000000000001E-2</v>
      </c>
      <c r="FY27" s="19">
        <v>1461116</v>
      </c>
      <c r="FZ27" s="19">
        <v>491</v>
      </c>
      <c r="GA27" s="19">
        <v>0</v>
      </c>
      <c r="GB27" s="19">
        <v>0</v>
      </c>
      <c r="GC27" s="19">
        <v>13.927195608555042</v>
      </c>
      <c r="GD27" s="19">
        <f>DataTable[[#This Row],[Sens_16]]/AVERAGEIF(DataTable[Strålkälla],DataTable[[#This Row],[Strålkälla]],DataTable[Sens_16])</f>
        <v>0.99733237810032227</v>
      </c>
      <c r="GE27" s="19">
        <v>1258</v>
      </c>
      <c r="GF27" s="19">
        <v>1573</v>
      </c>
      <c r="GG27" s="19">
        <v>0.111</v>
      </c>
      <c r="GH27" s="19">
        <v>0.04</v>
      </c>
      <c r="GI27" s="19">
        <v>0.03</v>
      </c>
      <c r="GJ27" s="19">
        <v>1408693</v>
      </c>
      <c r="GK27" s="19">
        <v>491</v>
      </c>
      <c r="GL27" s="19">
        <v>0</v>
      </c>
      <c r="GM27" s="19">
        <v>1</v>
      </c>
      <c r="GN27" s="19">
        <v>13.427505388622277</v>
      </c>
      <c r="GO27" s="19">
        <f>DataTable[[#This Row],[Sens_17]]/AVERAGEIF(DataTable[Strålkälla],DataTable[[#This Row],[Strålkälla]],DataTable[Sens_17])</f>
        <v>0.99878735443211009</v>
      </c>
      <c r="GP27" s="19">
        <v>1469</v>
      </c>
      <c r="GQ27" s="19">
        <v>1771</v>
      </c>
      <c r="GR27" s="19">
        <v>9.2999999999999999E-2</v>
      </c>
      <c r="GS27" s="19">
        <v>5.2999999999999999E-2</v>
      </c>
      <c r="GT27" s="19">
        <v>2.7E-2</v>
      </c>
      <c r="GU27" s="19">
        <v>1633853</v>
      </c>
      <c r="GV27" s="19">
        <v>491</v>
      </c>
      <c r="GW27" s="19">
        <v>0</v>
      </c>
      <c r="GX27" s="19">
        <v>1</v>
      </c>
      <c r="GY27" s="19">
        <v>15.573705528256813</v>
      </c>
      <c r="GZ27" s="19">
        <f>DataTable[[#This Row],[Sens_18]]/AVERAGEIF(DataTable[Strålkälla],DataTable[[#This Row],[Strålkälla]],DataTable[Sens_18])</f>
        <v>1.0010190897856097</v>
      </c>
      <c r="HA27" s="19">
        <v>1307</v>
      </c>
      <c r="HB27" s="19">
        <v>1606</v>
      </c>
      <c r="HC27" s="19">
        <v>0.10299999999999999</v>
      </c>
      <c r="HD27" s="19">
        <v>3.7999999999999999E-2</v>
      </c>
      <c r="HE27" s="19">
        <v>2.9000000000000001E-2</v>
      </c>
      <c r="HF27" s="19">
        <v>1489024</v>
      </c>
      <c r="HG27" s="19">
        <v>491</v>
      </c>
      <c r="HH27" s="19">
        <v>0</v>
      </c>
      <c r="HI27" s="19">
        <v>0</v>
      </c>
      <c r="HJ27" s="19">
        <v>14.193211568303312</v>
      </c>
      <c r="HK27" s="19">
        <f>DataTable[[#This Row],[Sens_19]]/AVERAGEIF(DataTable[Strålkälla],DataTable[[#This Row],[Strålkälla]],DataTable[Sens_19])</f>
        <v>1.0016119575002138</v>
      </c>
      <c r="HL27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0.111</v>
      </c>
      <c r="HM27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9.6684210526315789E-2</v>
      </c>
      <c r="HN27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5.2999999999999999E-2</v>
      </c>
      <c r="HO27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4.1421052631578956E-2</v>
      </c>
      <c r="HP27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0.99733237810032227</v>
      </c>
      <c r="HQ27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1.0004499196844039</v>
      </c>
      <c r="HR27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1.0035966877886899</v>
      </c>
      <c r="HS27" s="49"/>
    </row>
    <row r="28" spans="2:227" x14ac:dyDescent="0.25">
      <c r="B28" s="19" t="s">
        <v>43</v>
      </c>
      <c r="C28" s="20">
        <v>42432</v>
      </c>
      <c r="D28" s="21">
        <v>0.32238425925925923</v>
      </c>
      <c r="E28" s="13" t="s">
        <v>217</v>
      </c>
      <c r="F28" s="13">
        <v>109.8</v>
      </c>
      <c r="G28" s="13">
        <v>134.19999999999999</v>
      </c>
      <c r="H28" s="24">
        <v>23.6906</v>
      </c>
      <c r="I28" s="22">
        <f>MATCH(DataTable[[#This Row],[Datum]],Övrigt!$D$10:$M$10,1)</f>
        <v>1</v>
      </c>
      <c r="J28" s="13"/>
      <c r="K28" s="22">
        <v>1871</v>
      </c>
      <c r="L28" s="22">
        <v>2239</v>
      </c>
      <c r="M28" s="23">
        <v>0.09</v>
      </c>
      <c r="N28" s="23">
        <v>4.1000000000000002E-2</v>
      </c>
      <c r="O28" s="23">
        <v>2.5999999999999999E-2</v>
      </c>
      <c r="P28" s="22">
        <v>2080933</v>
      </c>
      <c r="Q28" s="24">
        <v>471</v>
      </c>
      <c r="R28" s="22">
        <v>0</v>
      </c>
      <c r="S28" s="22">
        <v>0</v>
      </c>
      <c r="T28" s="19">
        <v>20.73029336442232</v>
      </c>
      <c r="U28" s="23">
        <f>DataTable[[#This Row],[Sens_1]]/AVERAGEIF(DataTable[Strålkälla],DataTable[[#This Row],[Strålkälla]],DataTable[Sens_1])</f>
        <v>1.0012706094896273</v>
      </c>
      <c r="V28" s="22">
        <v>2181</v>
      </c>
      <c r="W28" s="22">
        <v>2767</v>
      </c>
      <c r="X28" s="23">
        <v>0.11799999999999999</v>
      </c>
      <c r="Y28" s="23">
        <v>4.4999999999999998E-2</v>
      </c>
      <c r="Z28" s="23">
        <v>2.3E-2</v>
      </c>
      <c r="AA28" s="22">
        <v>2452134</v>
      </c>
      <c r="AB28" s="24">
        <v>471</v>
      </c>
      <c r="AC28" s="22">
        <v>0</v>
      </c>
      <c r="AD28" s="22">
        <v>1</v>
      </c>
      <c r="AE28" s="19">
        <v>24.428204650930311</v>
      </c>
      <c r="AF28" s="23">
        <f>DataTable[[#This Row],[Sens_2]]/AVERAGEIF(DataTable[Strålkälla],DataTable[[#This Row],[Strålkälla]],DataTable[Sens_2])</f>
        <v>0.99972353425879446</v>
      </c>
      <c r="AG28" s="22">
        <v>1967</v>
      </c>
      <c r="AH28" s="22">
        <v>2306</v>
      </c>
      <c r="AI28" s="23">
        <v>7.9000000000000001E-2</v>
      </c>
      <c r="AJ28" s="23">
        <v>3.9E-2</v>
      </c>
      <c r="AK28" s="23">
        <v>2.5999999999999999E-2</v>
      </c>
      <c r="AL28" s="22">
        <v>2168046</v>
      </c>
      <c r="AM28" s="24">
        <v>471</v>
      </c>
      <c r="AN28" s="22">
        <v>0</v>
      </c>
      <c r="AO28" s="22">
        <v>0</v>
      </c>
      <c r="AP28" s="19">
        <v>21.598114695457447</v>
      </c>
      <c r="AQ28" s="23">
        <f>DataTable[[#This Row],[Sens_3]]/AVERAGEIF(DataTable[Strålkälla],DataTable[[#This Row],[Strålkälla]],DataTable[Sens_3])</f>
        <v>0.9982468084993722</v>
      </c>
      <c r="AR28" s="22">
        <v>1845</v>
      </c>
      <c r="AS28" s="22">
        <v>2198</v>
      </c>
      <c r="AT28" s="23">
        <v>8.6999999999999994E-2</v>
      </c>
      <c r="AU28" s="23">
        <v>3.7999999999999999E-2</v>
      </c>
      <c r="AV28" s="23">
        <v>2.5000000000000001E-2</v>
      </c>
      <c r="AW28" s="22">
        <v>2064440</v>
      </c>
      <c r="AX28" s="24">
        <v>471</v>
      </c>
      <c r="AY28" s="22">
        <v>0</v>
      </c>
      <c r="AZ28" s="22">
        <v>0</v>
      </c>
      <c r="BA28" s="19">
        <v>20.565989790756365</v>
      </c>
      <c r="BB28" s="23">
        <f>DataTable[[#This Row],[Sens_4]]/AVERAGEIF(DataTable[Strålkälla],DataTable[[#This Row],[Strålkälla]],DataTable[Sens_4])</f>
        <v>0.99873874771820725</v>
      </c>
      <c r="BC28" s="22">
        <v>2068</v>
      </c>
      <c r="BD28" s="22">
        <v>2465</v>
      </c>
      <c r="BE28" s="19">
        <v>8.7999999999999995E-2</v>
      </c>
      <c r="BF28" s="19">
        <v>4.7E-2</v>
      </c>
      <c r="BG28" s="19">
        <v>2.4E-2</v>
      </c>
      <c r="BH28" s="19">
        <v>2311216</v>
      </c>
      <c r="BI28" s="19">
        <v>471</v>
      </c>
      <c r="BJ28" s="19">
        <v>0</v>
      </c>
      <c r="BK28" s="19">
        <v>0</v>
      </c>
      <c r="BL28" s="19">
        <v>23.024376906198661</v>
      </c>
      <c r="BM28" s="23">
        <f>DataTable[[#This Row],[Sens_5]]/AVERAGEIF(DataTable[Strålkälla],DataTable[[#This Row],[Strålkälla]],DataTable[Sens_5])</f>
        <v>0.99992045050693845</v>
      </c>
      <c r="BN28" s="19">
        <v>2065</v>
      </c>
      <c r="BO28" s="19">
        <v>2446</v>
      </c>
      <c r="BP28" s="19">
        <v>8.4000000000000005E-2</v>
      </c>
      <c r="BQ28" s="19">
        <v>3.4000000000000002E-2</v>
      </c>
      <c r="BR28" s="19">
        <v>2.4E-2</v>
      </c>
      <c r="BS28" s="19">
        <v>2303797</v>
      </c>
      <c r="BT28" s="19">
        <v>471</v>
      </c>
      <c r="BU28" s="19">
        <v>0</v>
      </c>
      <c r="BV28" s="19">
        <v>0</v>
      </c>
      <c r="BW28" s="19">
        <v>22.950468689802147</v>
      </c>
      <c r="BX28" s="23">
        <f>DataTable[[#This Row],[Sens_6]]/AVERAGEIF(DataTable[Strålkälla],DataTable[[#This Row],[Strålkälla]],DataTable[Sens_6])</f>
        <v>0.99995562144491634</v>
      </c>
      <c r="BY28" s="19">
        <v>1834</v>
      </c>
      <c r="BZ28" s="19">
        <v>2273</v>
      </c>
      <c r="CA28" s="19">
        <v>0.107</v>
      </c>
      <c r="CB28" s="19">
        <v>4.3999999999999997E-2</v>
      </c>
      <c r="CC28" s="19">
        <v>2.5999999999999999E-2</v>
      </c>
      <c r="CD28" s="19">
        <v>2109304</v>
      </c>
      <c r="CE28" s="19">
        <v>471</v>
      </c>
      <c r="CF28" s="19">
        <v>1</v>
      </c>
      <c r="CG28" s="19">
        <v>0</v>
      </c>
      <c r="CH28" s="19">
        <v>21.012925795664472</v>
      </c>
      <c r="CI28" s="23">
        <f>DataTable[[#This Row],[Sens_7]]/AVERAGEIF(DataTable[Strålkälla],DataTable[[#This Row],[Strålkälla]],DataTable[Sens_7])</f>
        <v>0.9997664011953914</v>
      </c>
      <c r="CJ28" s="19">
        <v>2222</v>
      </c>
      <c r="CK28" s="19">
        <v>2588</v>
      </c>
      <c r="CL28" s="19">
        <v>7.5999999999999998E-2</v>
      </c>
      <c r="CM28" s="19">
        <v>3.5999999999999997E-2</v>
      </c>
      <c r="CN28" s="19">
        <v>2.4E-2</v>
      </c>
      <c r="CO28" s="19">
        <v>2449470</v>
      </c>
      <c r="CP28" s="19">
        <v>471</v>
      </c>
      <c r="CQ28" s="19">
        <v>0</v>
      </c>
      <c r="CR28" s="19">
        <v>0</v>
      </c>
      <c r="CS28" s="19">
        <v>24.40166583323516</v>
      </c>
      <c r="CT28" s="23">
        <f>DataTable[[#This Row],[Sens_8]]/AVERAGEIF(DataTable[Strålkälla],DataTable[[#This Row],[Strålkälla]],DataTable[Sens_8])</f>
        <v>1.0001547748090689</v>
      </c>
      <c r="CU28" s="19">
        <v>1754</v>
      </c>
      <c r="CV28" s="19">
        <v>2079</v>
      </c>
      <c r="CW28" s="19">
        <v>8.5000000000000006E-2</v>
      </c>
      <c r="CX28" s="19">
        <v>4.2999999999999997E-2</v>
      </c>
      <c r="CY28" s="19">
        <v>2.5999999999999999E-2</v>
      </c>
      <c r="CZ28" s="19">
        <v>1967275</v>
      </c>
      <c r="DA28" s="19">
        <v>458</v>
      </c>
      <c r="DB28" s="19">
        <v>0</v>
      </c>
      <c r="DC28" s="19">
        <v>0</v>
      </c>
      <c r="DD28" s="19">
        <v>20.154306215951749</v>
      </c>
      <c r="DE28" s="23">
        <f>DataTable[[#This Row],[Sens_9]]/AVERAGEIF(DataTable[Strålkälla],DataTable[[#This Row],[Strålkälla]],DataTable[Sens_9])</f>
        <v>0.99863607195417126</v>
      </c>
      <c r="DF28" s="19">
        <v>1635</v>
      </c>
      <c r="DG28" s="19">
        <v>2077</v>
      </c>
      <c r="DH28" s="19">
        <v>0.11899999999999999</v>
      </c>
      <c r="DI28" s="19">
        <v>3.9E-2</v>
      </c>
      <c r="DJ28" s="19">
        <v>2.5999999999999999E-2</v>
      </c>
      <c r="DK28" s="19">
        <v>1909280</v>
      </c>
      <c r="DL28" s="19">
        <v>458</v>
      </c>
      <c r="DM28" s="19">
        <v>1</v>
      </c>
      <c r="DN28" s="19">
        <v>1</v>
      </c>
      <c r="DO28" s="19">
        <v>19.560160004062652</v>
      </c>
      <c r="DP28" s="23">
        <f>DataTable[[#This Row],[Sens_10]]/AVERAGEIF(DataTable[Strålkälla],DataTable[[#This Row],[Strålkälla]],DataTable[Sens_10])</f>
        <v>1.0025606894720933</v>
      </c>
      <c r="DQ28" s="19">
        <v>1492</v>
      </c>
      <c r="DR28" s="19">
        <v>1800</v>
      </c>
      <c r="DS28" s="19">
        <v>9.4E-2</v>
      </c>
      <c r="DT28" s="19">
        <v>4.3999999999999997E-2</v>
      </c>
      <c r="DU28" s="19">
        <v>2.7E-2</v>
      </c>
      <c r="DV28" s="19">
        <v>1676330</v>
      </c>
      <c r="DW28" s="19">
        <v>458</v>
      </c>
      <c r="DX28" s="19">
        <v>0</v>
      </c>
      <c r="DY28" s="19">
        <v>0</v>
      </c>
      <c r="DZ28" s="19">
        <v>17.173637716631582</v>
      </c>
      <c r="EA28" s="23">
        <f>DataTable[[#This Row],[Sens_11]]/AVERAGEIF(DataTable[Strålkälla],DataTable[[#This Row],[Strålkälla]],DataTable[Sens_11])</f>
        <v>1.0002124968988673</v>
      </c>
      <c r="EB28" s="19">
        <v>1724</v>
      </c>
      <c r="EC28" s="19">
        <v>2141</v>
      </c>
      <c r="ED28" s="19">
        <v>0.108</v>
      </c>
      <c r="EE28" s="19">
        <v>3.9E-2</v>
      </c>
      <c r="EF28" s="19">
        <v>2.5999999999999999E-2</v>
      </c>
      <c r="EG28" s="19">
        <v>1998932</v>
      </c>
      <c r="EH28" s="19">
        <v>458</v>
      </c>
      <c r="EI28" s="19">
        <v>2</v>
      </c>
      <c r="EJ28" s="19">
        <v>0</v>
      </c>
      <c r="EK28" s="19">
        <v>20.478625323284675</v>
      </c>
      <c r="EL28" s="23">
        <f>DataTable[[#This Row],[Sens_12]]/AVERAGEIF(DataTable[Strålkälla],DataTable[[#This Row],[Strålkälla]],DataTable[Sens_12])</f>
        <v>1.0005495758580156</v>
      </c>
      <c r="EM28" s="19">
        <v>1504</v>
      </c>
      <c r="EN28" s="19">
        <v>1806</v>
      </c>
      <c r="EO28" s="19">
        <v>9.0999999999999998E-2</v>
      </c>
      <c r="EP28" s="19">
        <v>0.04</v>
      </c>
      <c r="EQ28" s="19">
        <v>2.8000000000000001E-2</v>
      </c>
      <c r="ER28" s="19">
        <v>1703550</v>
      </c>
      <c r="ES28" s="19">
        <v>492</v>
      </c>
      <c r="ET28" s="19">
        <v>0</v>
      </c>
      <c r="EU28" s="19">
        <v>0</v>
      </c>
      <c r="EV28" s="19">
        <v>16.24643359718986</v>
      </c>
      <c r="EW28" s="19">
        <f>DataTable[[#This Row],[Sens_13]]/AVERAGEIF(DataTable[Strålkälla],DataTable[[#This Row],[Strålkälla]],DataTable[Sens_13])</f>
        <v>1.0008051047782529</v>
      </c>
      <c r="EX28" s="19">
        <v>1282</v>
      </c>
      <c r="EY28" s="19">
        <v>1590</v>
      </c>
      <c r="EZ28" s="19">
        <v>0.107</v>
      </c>
      <c r="FA28" s="19">
        <v>3.9E-2</v>
      </c>
      <c r="FB28" s="19">
        <v>3.1E-2</v>
      </c>
      <c r="FC28" s="19">
        <v>1451836</v>
      </c>
      <c r="FD28" s="19">
        <v>492</v>
      </c>
      <c r="FE28" s="19">
        <v>0</v>
      </c>
      <c r="FF28" s="19">
        <v>0</v>
      </c>
      <c r="FG28" s="19">
        <v>13.845884868662345</v>
      </c>
      <c r="FH28" s="19">
        <f>DataTable[[#This Row],[Sens_14]]/AVERAGEIF(DataTable[Strålkälla],DataTable[[#This Row],[Strålkälla]],DataTable[Sens_14])</f>
        <v>0.99948965210534801</v>
      </c>
      <c r="FI28" s="19">
        <v>1434</v>
      </c>
      <c r="FJ28" s="19">
        <v>1702</v>
      </c>
      <c r="FK28" s="19">
        <v>8.5000000000000006E-2</v>
      </c>
      <c r="FL28" s="19">
        <v>4.3999999999999997E-2</v>
      </c>
      <c r="FM28" s="19">
        <v>2.7E-2</v>
      </c>
      <c r="FN28" s="19">
        <v>1620470</v>
      </c>
      <c r="FO28" s="19">
        <v>492</v>
      </c>
      <c r="FP28" s="19">
        <v>0</v>
      </c>
      <c r="FQ28" s="19">
        <v>0</v>
      </c>
      <c r="FR28" s="19">
        <v>15.454115377440202</v>
      </c>
      <c r="FS28" s="19">
        <f>DataTable[[#This Row],[Sens_15]]/AVERAGEIF(DataTable[Strålkälla],DataTable[[#This Row],[Strålkälla]],DataTable[Sens_15])</f>
        <v>0.99919152024408453</v>
      </c>
      <c r="FT28" s="19">
        <v>1280</v>
      </c>
      <c r="FU28" s="19">
        <v>1552</v>
      </c>
      <c r="FV28" s="19">
        <v>9.6000000000000002E-2</v>
      </c>
      <c r="FW28" s="19">
        <v>3.9E-2</v>
      </c>
      <c r="FX28" s="19">
        <v>2.9000000000000001E-2</v>
      </c>
      <c r="FY28" s="19">
        <v>1461930</v>
      </c>
      <c r="FZ28" s="19">
        <v>492</v>
      </c>
      <c r="GA28" s="19">
        <v>0</v>
      </c>
      <c r="GB28" s="19">
        <v>0</v>
      </c>
      <c r="GC28" s="19">
        <v>13.942149434263611</v>
      </c>
      <c r="GD28" s="19">
        <f>DataTable[[#This Row],[Sens_16]]/AVERAGEIF(DataTable[Strålkälla],DataTable[[#This Row],[Strålkälla]],DataTable[Sens_16])</f>
        <v>0.9984032278948396</v>
      </c>
      <c r="GE28" s="19">
        <v>1243</v>
      </c>
      <c r="GF28" s="19">
        <v>1525</v>
      </c>
      <c r="GG28" s="19">
        <v>0.10199999999999999</v>
      </c>
      <c r="GH28" s="19">
        <v>4.2000000000000003E-2</v>
      </c>
      <c r="GI28" s="19">
        <v>0.03</v>
      </c>
      <c r="GJ28" s="19">
        <v>1409977</v>
      </c>
      <c r="GK28" s="19">
        <v>492</v>
      </c>
      <c r="GL28" s="19">
        <v>0</v>
      </c>
      <c r="GM28" s="19">
        <v>0</v>
      </c>
      <c r="GN28" s="19">
        <v>13.446683516224924</v>
      </c>
      <c r="GO28" s="19">
        <f>DataTable[[#This Row],[Sens_17]]/AVERAGEIF(DataTable[Strålkälla],DataTable[[#This Row],[Strålkälla]],DataTable[Sens_17])</f>
        <v>1.0002138942678296</v>
      </c>
      <c r="GP28" s="19">
        <v>1450</v>
      </c>
      <c r="GQ28" s="19">
        <v>1724</v>
      </c>
      <c r="GR28" s="19">
        <v>8.5999999999999993E-2</v>
      </c>
      <c r="GS28" s="19">
        <v>5.1999999999999998E-2</v>
      </c>
      <c r="GT28" s="19">
        <v>2.8000000000000001E-2</v>
      </c>
      <c r="GU28" s="19">
        <v>1633596</v>
      </c>
      <c r="GV28" s="19">
        <v>492</v>
      </c>
      <c r="GW28" s="19">
        <v>0</v>
      </c>
      <c r="GX28" s="19">
        <v>0</v>
      </c>
      <c r="GY28" s="19">
        <v>15.5792955526019</v>
      </c>
      <c r="GZ28" s="19">
        <f>DataTable[[#This Row],[Sens_18]]/AVERAGEIF(DataTable[Strålkälla],DataTable[[#This Row],[Strålkälla]],DataTable[Sens_18])</f>
        <v>1.0013783954801758</v>
      </c>
      <c r="HA28" s="19">
        <v>1298</v>
      </c>
      <c r="HB28" s="19">
        <v>1623</v>
      </c>
      <c r="HC28" s="19">
        <v>0.111</v>
      </c>
      <c r="HD28" s="19">
        <v>4.9000000000000002E-2</v>
      </c>
      <c r="HE28" s="19">
        <v>2.9000000000000001E-2</v>
      </c>
      <c r="HF28" s="19">
        <v>1487420</v>
      </c>
      <c r="HG28" s="19">
        <v>492</v>
      </c>
      <c r="HH28" s="19">
        <v>0</v>
      </c>
      <c r="HI28" s="19">
        <v>1</v>
      </c>
      <c r="HJ28" s="19">
        <v>14.185242734954738</v>
      </c>
      <c r="HK28" s="19">
        <f>DataTable[[#This Row],[Sens_19]]/AVERAGEIF(DataTable[Strålkälla],DataTable[[#This Row],[Strålkälla]],DataTable[Sens_19])</f>
        <v>1.0010495986055516</v>
      </c>
      <c r="HL28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0.11899999999999999</v>
      </c>
      <c r="HM28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9.5421052631578962E-2</v>
      </c>
      <c r="HN28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5.1999999999999998E-2</v>
      </c>
      <c r="HO28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4.1789473684210536E-2</v>
      </c>
      <c r="HP28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0.9982468084993722</v>
      </c>
      <c r="HQ28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1.0000140618674498</v>
      </c>
      <c r="HR28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1.0025606894720933</v>
      </c>
      <c r="HS28" s="49"/>
    </row>
    <row r="29" spans="2:227" x14ac:dyDescent="0.25">
      <c r="B29" s="19" t="s">
        <v>43</v>
      </c>
      <c r="C29" s="20">
        <v>42436</v>
      </c>
      <c r="D29" s="21">
        <v>0.31491898148148151</v>
      </c>
      <c r="E29" s="13" t="s">
        <v>217</v>
      </c>
      <c r="F29" s="13">
        <v>109.8</v>
      </c>
      <c r="G29" s="13">
        <v>134.19999999999999</v>
      </c>
      <c r="H29" s="24">
        <v>23.9496</v>
      </c>
      <c r="I29" s="22">
        <f>MATCH(DataTable[[#This Row],[Datum]],Övrigt!$D$10:$M$10,1)</f>
        <v>1</v>
      </c>
      <c r="J29" s="13"/>
      <c r="K29" s="22">
        <v>1841</v>
      </c>
      <c r="L29" s="22">
        <v>2268</v>
      </c>
      <c r="M29" s="23">
        <v>0.104</v>
      </c>
      <c r="N29" s="23">
        <v>4.9000000000000002E-2</v>
      </c>
      <c r="O29" s="23">
        <v>2.7E-2</v>
      </c>
      <c r="P29" s="22">
        <v>2077711</v>
      </c>
      <c r="Q29" s="24">
        <v>476</v>
      </c>
      <c r="R29" s="22">
        <v>0</v>
      </c>
      <c r="S29" s="22">
        <v>1</v>
      </c>
      <c r="T29" s="19">
        <v>20.690814706400172</v>
      </c>
      <c r="U29" s="23">
        <f>DataTable[[#This Row],[Sens_1]]/AVERAGEIF(DataTable[Strålkälla],DataTable[[#This Row],[Strålkälla]],DataTable[Sens_1])</f>
        <v>0.99936379518243046</v>
      </c>
      <c r="V29" s="22">
        <v>2213</v>
      </c>
      <c r="W29" s="22">
        <v>2608</v>
      </c>
      <c r="X29" s="23">
        <v>8.2000000000000003E-2</v>
      </c>
      <c r="Y29" s="23">
        <v>3.6999999999999998E-2</v>
      </c>
      <c r="Z29" s="23">
        <v>2.4E-2</v>
      </c>
      <c r="AA29" s="22">
        <v>2454116</v>
      </c>
      <c r="AB29" s="24">
        <v>476</v>
      </c>
      <c r="AC29" s="22">
        <v>0</v>
      </c>
      <c r="AD29" s="22">
        <v>0</v>
      </c>
      <c r="AE29" s="19">
        <v>24.439231165456583</v>
      </c>
      <c r="AF29" s="23">
        <f>DataTable[[#This Row],[Sens_2]]/AVERAGEIF(DataTable[Strålkälla],DataTable[[#This Row],[Strålkälla]],DataTable[Sens_2])</f>
        <v>1.0001747940312697</v>
      </c>
      <c r="AG29" s="22">
        <v>1928</v>
      </c>
      <c r="AH29" s="22">
        <v>2308</v>
      </c>
      <c r="AI29" s="23">
        <v>0.09</v>
      </c>
      <c r="AJ29" s="23">
        <v>3.6999999999999998E-2</v>
      </c>
      <c r="AK29" s="23">
        <v>2.4E-2</v>
      </c>
      <c r="AL29" s="22">
        <v>2170668</v>
      </c>
      <c r="AM29" s="24">
        <v>476</v>
      </c>
      <c r="AN29" s="22">
        <v>0</v>
      </c>
      <c r="AO29" s="22">
        <v>0</v>
      </c>
      <c r="AP29" s="19">
        <v>21.616523846248228</v>
      </c>
      <c r="AQ29" s="23">
        <f>DataTable[[#This Row],[Sens_3]]/AVERAGEIF(DataTable[Strålkälla],DataTable[[#This Row],[Strålkälla]],DataTable[Sens_3])</f>
        <v>0.9990976640616841</v>
      </c>
      <c r="AR29" s="22">
        <v>1816</v>
      </c>
      <c r="AS29" s="22">
        <v>2228</v>
      </c>
      <c r="AT29" s="23">
        <v>0.10199999999999999</v>
      </c>
      <c r="AU29" s="23">
        <v>3.3000000000000002E-2</v>
      </c>
      <c r="AV29" s="23">
        <v>2.5999999999999999E-2</v>
      </c>
      <c r="AW29" s="22">
        <v>2066052</v>
      </c>
      <c r="AX29" s="24">
        <v>476</v>
      </c>
      <c r="AY29" s="22">
        <v>0</v>
      </c>
      <c r="AZ29" s="22">
        <v>1</v>
      </c>
      <c r="BA29" s="19">
        <v>20.574708949313685</v>
      </c>
      <c r="BB29" s="23">
        <f>DataTable[[#This Row],[Sens_4]]/AVERAGEIF(DataTable[Strålkälla],DataTable[[#This Row],[Strålkälla]],DataTable[Sens_4])</f>
        <v>0.99916217307177857</v>
      </c>
      <c r="BC29" s="22">
        <v>2054</v>
      </c>
      <c r="BD29" s="22">
        <v>2427</v>
      </c>
      <c r="BE29" s="19">
        <v>8.3000000000000004E-2</v>
      </c>
      <c r="BF29" s="19">
        <v>3.2000000000000001E-2</v>
      </c>
      <c r="BG29" s="19">
        <v>2.4E-2</v>
      </c>
      <c r="BH29" s="19">
        <v>2309093</v>
      </c>
      <c r="BI29" s="19">
        <v>476</v>
      </c>
      <c r="BJ29" s="19">
        <v>0</v>
      </c>
      <c r="BK29" s="19">
        <v>0</v>
      </c>
      <c r="BL29" s="19">
        <v>22.995024525954616</v>
      </c>
      <c r="BM29" s="23">
        <f>DataTable[[#This Row],[Sens_5]]/AVERAGEIF(DataTable[Strålkälla],DataTable[[#This Row],[Strålkälla]],DataTable[Sens_5])</f>
        <v>0.99864571263252611</v>
      </c>
      <c r="BN29" s="19">
        <v>2086</v>
      </c>
      <c r="BO29" s="19">
        <v>2452</v>
      </c>
      <c r="BP29" s="19">
        <v>8.1000000000000003E-2</v>
      </c>
      <c r="BQ29" s="19">
        <v>4.5999999999999999E-2</v>
      </c>
      <c r="BR29" s="19">
        <v>2.5999999999999999E-2</v>
      </c>
      <c r="BS29" s="19">
        <v>2302977</v>
      </c>
      <c r="BT29" s="19">
        <v>476</v>
      </c>
      <c r="BU29" s="19">
        <v>0</v>
      </c>
      <c r="BV29" s="19">
        <v>0</v>
      </c>
      <c r="BW29" s="19">
        <v>22.934118546853412</v>
      </c>
      <c r="BX29" s="23">
        <f>DataTable[[#This Row],[Sens_6]]/AVERAGEIF(DataTable[Strålkälla],DataTable[[#This Row],[Strålkälla]],DataTable[Sens_6])</f>
        <v>0.99924324308027412</v>
      </c>
      <c r="BY29" s="19">
        <v>1897</v>
      </c>
      <c r="BZ29" s="19">
        <v>2241</v>
      </c>
      <c r="CA29" s="19">
        <v>8.3000000000000004E-2</v>
      </c>
      <c r="CB29" s="19">
        <v>3.6999999999999998E-2</v>
      </c>
      <c r="CC29" s="19">
        <v>2.5999999999999999E-2</v>
      </c>
      <c r="CD29" s="19">
        <v>2112297</v>
      </c>
      <c r="CE29" s="19">
        <v>476</v>
      </c>
      <c r="CF29" s="19">
        <v>0</v>
      </c>
      <c r="CG29" s="19">
        <v>0</v>
      </c>
      <c r="CH29" s="19">
        <v>21.035238217386809</v>
      </c>
      <c r="CI29" s="23">
        <f>DataTable[[#This Row],[Sens_7]]/AVERAGEIF(DataTable[Strålkälla],DataTable[[#This Row],[Strålkälla]],DataTable[Sens_7])</f>
        <v>1.000827995843572</v>
      </c>
      <c r="CJ29" s="19">
        <v>2185</v>
      </c>
      <c r="CK29" s="19">
        <v>2617</v>
      </c>
      <c r="CL29" s="19">
        <v>0.09</v>
      </c>
      <c r="CM29" s="19">
        <v>0.04</v>
      </c>
      <c r="CN29" s="19">
        <v>2.5000000000000001E-2</v>
      </c>
      <c r="CO29" s="19">
        <v>2448942</v>
      </c>
      <c r="CP29" s="19">
        <v>476</v>
      </c>
      <c r="CQ29" s="19">
        <v>0</v>
      </c>
      <c r="CR29" s="19">
        <v>0</v>
      </c>
      <c r="CS29" s="19">
        <v>24.387706061488363</v>
      </c>
      <c r="CT29" s="23">
        <f>DataTable[[#This Row],[Sens_8]]/AVERAGEIF(DataTable[Strålkälla],DataTable[[#This Row],[Strålkälla]],DataTable[Sens_8])</f>
        <v>0.99958260352932005</v>
      </c>
      <c r="CU29" s="19">
        <v>1721</v>
      </c>
      <c r="CV29" s="19">
        <v>2107</v>
      </c>
      <c r="CW29" s="19">
        <v>0.10100000000000001</v>
      </c>
      <c r="CX29" s="19">
        <v>4.2000000000000003E-2</v>
      </c>
      <c r="CY29" s="19">
        <v>2.7E-2</v>
      </c>
      <c r="CZ29" s="19">
        <v>1968898</v>
      </c>
      <c r="DA29" s="19">
        <v>463</v>
      </c>
      <c r="DB29" s="19">
        <v>0</v>
      </c>
      <c r="DC29" s="19">
        <v>0</v>
      </c>
      <c r="DD29" s="19">
        <v>20.157730376731049</v>
      </c>
      <c r="DE29" s="23">
        <f>DataTable[[#This Row],[Sens_9]]/AVERAGEIF(DataTable[Strålkälla],DataTable[[#This Row],[Strålkälla]],DataTable[Sens_9])</f>
        <v>0.99880573745561496</v>
      </c>
      <c r="DF29" s="19">
        <v>1711</v>
      </c>
      <c r="DG29" s="19">
        <v>2068</v>
      </c>
      <c r="DH29" s="19">
        <v>9.4E-2</v>
      </c>
      <c r="DI29" s="19">
        <v>0.04</v>
      </c>
      <c r="DJ29" s="19">
        <v>2.5999999999999999E-2</v>
      </c>
      <c r="DK29" s="19">
        <v>1907956</v>
      </c>
      <c r="DL29" s="19">
        <v>463</v>
      </c>
      <c r="DM29" s="19">
        <v>0</v>
      </c>
      <c r="DN29" s="19">
        <v>1</v>
      </c>
      <c r="DO29" s="19">
        <v>19.53380145577184</v>
      </c>
      <c r="DP29" s="23">
        <f>DataTable[[#This Row],[Sens_10]]/AVERAGEIF(DataTable[Strålkälla],DataTable[[#This Row],[Strålkälla]],DataTable[Sens_10])</f>
        <v>1.0012096757614473</v>
      </c>
      <c r="DQ29" s="19">
        <v>1509</v>
      </c>
      <c r="DR29" s="19">
        <v>1806</v>
      </c>
      <c r="DS29" s="19">
        <v>0.09</v>
      </c>
      <c r="DT29" s="19">
        <v>3.5999999999999997E-2</v>
      </c>
      <c r="DU29" s="19">
        <v>2.7E-2</v>
      </c>
      <c r="DV29" s="19">
        <v>1677971</v>
      </c>
      <c r="DW29" s="19">
        <v>463</v>
      </c>
      <c r="DX29" s="19">
        <v>0</v>
      </c>
      <c r="DY29" s="19">
        <v>0</v>
      </c>
      <c r="DZ29" s="19">
        <v>17.179197194559482</v>
      </c>
      <c r="EA29" s="23">
        <f>DataTable[[#This Row],[Sens_11]]/AVERAGEIF(DataTable[Strålkälla],DataTable[[#This Row],[Strålkälla]],DataTable[Sens_11])</f>
        <v>1.0005362873148216</v>
      </c>
      <c r="EB29" s="19">
        <v>1743</v>
      </c>
      <c r="EC29" s="19">
        <v>2153</v>
      </c>
      <c r="ED29" s="19">
        <v>0.105</v>
      </c>
      <c r="EE29" s="19">
        <v>4.5999999999999999E-2</v>
      </c>
      <c r="EF29" s="19">
        <v>2.5999999999999999E-2</v>
      </c>
      <c r="EG29" s="19">
        <v>1997098</v>
      </c>
      <c r="EH29" s="19">
        <v>463</v>
      </c>
      <c r="EI29" s="19">
        <v>1</v>
      </c>
      <c r="EJ29" s="19">
        <v>0</v>
      </c>
      <c r="EK29" s="19">
        <v>20.446444163135329</v>
      </c>
      <c r="EL29" s="23">
        <f>DataTable[[#This Row],[Sens_12]]/AVERAGEIF(DataTable[Strålkälla],DataTable[[#This Row],[Strålkälla]],DataTable[Sens_12])</f>
        <v>0.9989772610356219</v>
      </c>
      <c r="EM29" s="19">
        <v>1523</v>
      </c>
      <c r="EN29" s="19">
        <v>1814</v>
      </c>
      <c r="EO29" s="19">
        <v>8.6999999999999994E-2</v>
      </c>
      <c r="EP29" s="19">
        <v>4.3999999999999997E-2</v>
      </c>
      <c r="EQ29" s="19">
        <v>2.5999999999999999E-2</v>
      </c>
      <c r="ER29" s="19">
        <v>1704941</v>
      </c>
      <c r="ES29" s="19">
        <v>497</v>
      </c>
      <c r="ET29" s="19">
        <v>0</v>
      </c>
      <c r="EU29" s="19">
        <v>0</v>
      </c>
      <c r="EV29" s="19">
        <v>16.261191753345042</v>
      </c>
      <c r="EW29" s="19">
        <f>DataTable[[#This Row],[Sens_13]]/AVERAGEIF(DataTable[Strålkälla],DataTable[[#This Row],[Strålkälla]],DataTable[Sens_13])</f>
        <v>1.0017142297212052</v>
      </c>
      <c r="EX29" s="19">
        <v>1274</v>
      </c>
      <c r="EY29" s="19">
        <v>1577</v>
      </c>
      <c r="EZ29" s="19">
        <v>0.106</v>
      </c>
      <c r="FA29" s="19">
        <v>4.5999999999999999E-2</v>
      </c>
      <c r="FB29" s="19">
        <v>3.1E-2</v>
      </c>
      <c r="FC29" s="19">
        <v>1452424</v>
      </c>
      <c r="FD29" s="19">
        <v>497</v>
      </c>
      <c r="FE29" s="19">
        <v>0</v>
      </c>
      <c r="FF29" s="19">
        <v>0</v>
      </c>
      <c r="FG29" s="19">
        <v>13.85276392037051</v>
      </c>
      <c r="FH29" s="19">
        <f>DataTable[[#This Row],[Sens_14]]/AVERAGEIF(DataTable[Strålkälla],DataTable[[#This Row],[Strålkälla]],DataTable[Sens_14])</f>
        <v>0.99998622860181796</v>
      </c>
      <c r="FI29" s="19">
        <v>1372</v>
      </c>
      <c r="FJ29" s="19">
        <v>1720</v>
      </c>
      <c r="FK29" s="19">
        <v>0.113</v>
      </c>
      <c r="FL29" s="19">
        <v>4.4999999999999998E-2</v>
      </c>
      <c r="FM29" s="19">
        <v>2.7E-2</v>
      </c>
      <c r="FN29" s="19">
        <v>1620476</v>
      </c>
      <c r="FO29" s="19">
        <v>497</v>
      </c>
      <c r="FP29" s="19">
        <v>1</v>
      </c>
      <c r="FQ29" s="19">
        <v>0</v>
      </c>
      <c r="FR29" s="19">
        <v>15.455591112943827</v>
      </c>
      <c r="FS29" s="19">
        <f>DataTable[[#This Row],[Sens_15]]/AVERAGEIF(DataTable[Strålkälla],DataTable[[#This Row],[Strålkälla]],DataTable[Sens_15])</f>
        <v>0.99928693446646688</v>
      </c>
      <c r="FT29" s="19">
        <v>1297</v>
      </c>
      <c r="FU29" s="19">
        <v>1605</v>
      </c>
      <c r="FV29" s="19">
        <v>0.106</v>
      </c>
      <c r="FW29" s="19">
        <v>3.7999999999999999E-2</v>
      </c>
      <c r="FX29" s="19">
        <v>2.9000000000000001E-2</v>
      </c>
      <c r="FY29" s="19">
        <v>1462150</v>
      </c>
      <c r="FZ29" s="19">
        <v>497</v>
      </c>
      <c r="GA29" s="19">
        <v>0</v>
      </c>
      <c r="GB29" s="19">
        <v>1</v>
      </c>
      <c r="GC29" s="19">
        <v>13.945527453532675</v>
      </c>
      <c r="GD29" s="19">
        <f>DataTable[[#This Row],[Sens_16]]/AVERAGEIF(DataTable[Strålkälla],DataTable[[#This Row],[Strålkälla]],DataTable[Sens_16])</f>
        <v>0.99864512928587168</v>
      </c>
      <c r="GE29" s="19">
        <v>1226</v>
      </c>
      <c r="GF29" s="19">
        <v>1530</v>
      </c>
      <c r="GG29" s="19">
        <v>0.11</v>
      </c>
      <c r="GH29" s="19">
        <v>0.05</v>
      </c>
      <c r="GI29" s="19">
        <v>0.03</v>
      </c>
      <c r="GJ29" s="19">
        <v>1409285</v>
      </c>
      <c r="GK29" s="19">
        <v>497</v>
      </c>
      <c r="GL29" s="19">
        <v>0</v>
      </c>
      <c r="GM29" s="19">
        <v>0</v>
      </c>
      <c r="GN29" s="19">
        <v>13.441317687892347</v>
      </c>
      <c r="GO29" s="19">
        <f>DataTable[[#This Row],[Sens_17]]/AVERAGEIF(DataTable[Strålkälla],DataTable[[#This Row],[Strålkälla]],DataTable[Sens_17])</f>
        <v>0.99981476417407655</v>
      </c>
      <c r="GP29" s="19">
        <v>1458</v>
      </c>
      <c r="GQ29" s="19">
        <v>1807</v>
      </c>
      <c r="GR29" s="19">
        <v>0.107</v>
      </c>
      <c r="GS29" s="19">
        <v>0.05</v>
      </c>
      <c r="GT29" s="19">
        <v>2.9000000000000001E-2</v>
      </c>
      <c r="GU29" s="19">
        <v>1631546</v>
      </c>
      <c r="GV29" s="19">
        <v>497</v>
      </c>
      <c r="GW29" s="19">
        <v>0</v>
      </c>
      <c r="GX29" s="19">
        <v>3</v>
      </c>
      <c r="GY29" s="19">
        <v>15.561173295969239</v>
      </c>
      <c r="GZ29" s="19">
        <f>DataTable[[#This Row],[Sens_18]]/AVERAGEIF(DataTable[Strålkälla],DataTable[[#This Row],[Strålkälla]],DataTable[Sens_18])</f>
        <v>1.0002135651315875</v>
      </c>
      <c r="HA29" s="19">
        <v>1331</v>
      </c>
      <c r="HB29" s="19">
        <v>1625</v>
      </c>
      <c r="HC29" s="19">
        <v>9.9000000000000005E-2</v>
      </c>
      <c r="HD29" s="19">
        <v>4.8000000000000001E-2</v>
      </c>
      <c r="HE29" s="19">
        <v>0.03</v>
      </c>
      <c r="HF29" s="19">
        <v>1488390</v>
      </c>
      <c r="HG29" s="19">
        <v>497</v>
      </c>
      <c r="HH29" s="19">
        <v>0</v>
      </c>
      <c r="HI29" s="19">
        <v>0</v>
      </c>
      <c r="HJ29" s="19">
        <v>14.195796331815135</v>
      </c>
      <c r="HK29" s="19">
        <f>DataTable[[#This Row],[Sens_19]]/AVERAGEIF(DataTable[Strålkälla],DataTable[[#This Row],[Strålkälla]],DataTable[Sens_19])</f>
        <v>1.001794363718024</v>
      </c>
      <c r="HL29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0.113</v>
      </c>
      <c r="HM29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9.6473684210526323E-2</v>
      </c>
      <c r="HN29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0.05</v>
      </c>
      <c r="HO29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4.1894736842105269E-2</v>
      </c>
      <c r="HP29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0.99864512928587168</v>
      </c>
      <c r="HQ29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0.99984642937365331</v>
      </c>
      <c r="HR29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1.001794363718024</v>
      </c>
      <c r="HS29" s="49"/>
    </row>
    <row r="30" spans="2:227" x14ac:dyDescent="0.25">
      <c r="B30" s="19" t="s">
        <v>43</v>
      </c>
      <c r="C30" s="20">
        <v>42438</v>
      </c>
      <c r="D30" s="21">
        <v>0.31217592592592591</v>
      </c>
      <c r="E30" s="13" t="s">
        <v>217</v>
      </c>
      <c r="F30" s="13">
        <v>109.8</v>
      </c>
      <c r="G30" s="13">
        <v>134.19999999999999</v>
      </c>
      <c r="H30" s="24">
        <v>24.072099999999999</v>
      </c>
      <c r="I30" s="22">
        <f>MATCH(DataTable[[#This Row],[Datum]],Övrigt!$D$10:$M$10,1)</f>
        <v>1</v>
      </c>
      <c r="J30" s="13"/>
      <c r="K30" s="22">
        <v>1830</v>
      </c>
      <c r="L30" s="22">
        <v>2288</v>
      </c>
      <c r="M30" s="23">
        <v>0.111</v>
      </c>
      <c r="N30" s="23">
        <v>4.2999999999999997E-2</v>
      </c>
      <c r="O30" s="23">
        <v>2.8000000000000001E-2</v>
      </c>
      <c r="P30" s="22">
        <v>2080842</v>
      </c>
      <c r="Q30" s="24">
        <v>479</v>
      </c>
      <c r="R30" s="22">
        <v>0</v>
      </c>
      <c r="S30" s="22">
        <v>1</v>
      </c>
      <c r="T30" s="19">
        <v>20.697532371705378</v>
      </c>
      <c r="U30" s="23">
        <f>DataTable[[#This Row],[Sens_1]]/AVERAGEIF(DataTable[Strålkälla],DataTable[[#This Row],[Strålkälla]],DataTable[Sens_1])</f>
        <v>0.99968825758709845</v>
      </c>
      <c r="V30" s="22">
        <v>2172</v>
      </c>
      <c r="W30" s="22">
        <v>2619</v>
      </c>
      <c r="X30" s="23">
        <v>9.2999999999999999E-2</v>
      </c>
      <c r="Y30" s="23">
        <v>4.7E-2</v>
      </c>
      <c r="Z30" s="23">
        <v>2.4E-2</v>
      </c>
      <c r="AA30" s="22">
        <v>2455055</v>
      </c>
      <c r="AB30" s="24">
        <v>479</v>
      </c>
      <c r="AC30" s="22">
        <v>0</v>
      </c>
      <c r="AD30" s="22">
        <v>0</v>
      </c>
      <c r="AE30" s="19">
        <v>24.419720640402851</v>
      </c>
      <c r="AF30" s="23">
        <f>DataTable[[#This Row],[Sens_2]]/AVERAGEIF(DataTable[Strålkälla],DataTable[[#This Row],[Strålkälla]],DataTable[Sens_2])</f>
        <v>0.99937632638533824</v>
      </c>
      <c r="AG30" s="22">
        <v>1938</v>
      </c>
      <c r="AH30" s="22">
        <v>2301</v>
      </c>
      <c r="AI30" s="23">
        <v>8.5999999999999993E-2</v>
      </c>
      <c r="AJ30" s="23">
        <v>3.5999999999999997E-2</v>
      </c>
      <c r="AK30" s="23">
        <v>2.4E-2</v>
      </c>
      <c r="AL30" s="22">
        <v>2172136</v>
      </c>
      <c r="AM30" s="24">
        <v>479</v>
      </c>
      <c r="AN30" s="22">
        <v>0</v>
      </c>
      <c r="AO30" s="22">
        <v>0</v>
      </c>
      <c r="AP30" s="19">
        <v>21.605607333832474</v>
      </c>
      <c r="AQ30" s="23">
        <f>DataTable[[#This Row],[Sens_3]]/AVERAGEIF(DataTable[Strålkälla],DataTable[[#This Row],[Strålkälla]],DataTable[Sens_3])</f>
        <v>0.99859311198236478</v>
      </c>
      <c r="AR30" s="22">
        <v>1837</v>
      </c>
      <c r="AS30" s="22">
        <v>2184</v>
      </c>
      <c r="AT30" s="23">
        <v>8.5999999999999993E-2</v>
      </c>
      <c r="AU30" s="23">
        <v>3.4000000000000002E-2</v>
      </c>
      <c r="AV30" s="23">
        <v>2.5000000000000001E-2</v>
      </c>
      <c r="AW30" s="22">
        <v>2064007</v>
      </c>
      <c r="AX30" s="24">
        <v>479</v>
      </c>
      <c r="AY30" s="22">
        <v>0</v>
      </c>
      <c r="AZ30" s="22">
        <v>0</v>
      </c>
      <c r="BA30" s="19">
        <v>20.530079505280316</v>
      </c>
      <c r="BB30" s="23">
        <f>DataTable[[#This Row],[Sens_4]]/AVERAGEIF(DataTable[Strålkälla],DataTable[[#This Row],[Strålkälla]],DataTable[Sens_4])</f>
        <v>0.9969948494710793</v>
      </c>
      <c r="BC30" s="22">
        <v>2071</v>
      </c>
      <c r="BD30" s="22">
        <v>2456</v>
      </c>
      <c r="BE30" s="19">
        <v>8.5000000000000006E-2</v>
      </c>
      <c r="BF30" s="19">
        <v>3.4000000000000002E-2</v>
      </c>
      <c r="BG30" s="19">
        <v>2.3E-2</v>
      </c>
      <c r="BH30" s="19">
        <v>2309070</v>
      </c>
      <c r="BI30" s="19">
        <v>479</v>
      </c>
      <c r="BJ30" s="19">
        <v>0</v>
      </c>
      <c r="BK30" s="19">
        <v>0</v>
      </c>
      <c r="BL30" s="19">
        <v>22.967650150051632</v>
      </c>
      <c r="BM30" s="23">
        <f>DataTable[[#This Row],[Sens_5]]/AVERAGEIF(DataTable[Strålkälla],DataTable[[#This Row],[Strålkälla]],DataTable[Sens_5])</f>
        <v>0.99745687706069841</v>
      </c>
      <c r="BN30" s="19">
        <v>2035</v>
      </c>
      <c r="BO30" s="19">
        <v>2447</v>
      </c>
      <c r="BP30" s="19">
        <v>9.1999999999999998E-2</v>
      </c>
      <c r="BQ30" s="19">
        <v>4.4999999999999998E-2</v>
      </c>
      <c r="BR30" s="19">
        <v>2.4E-2</v>
      </c>
      <c r="BS30" s="19">
        <v>2298641</v>
      </c>
      <c r="BT30" s="19">
        <v>479</v>
      </c>
      <c r="BU30" s="19">
        <v>0</v>
      </c>
      <c r="BV30" s="19">
        <v>0</v>
      </c>
      <c r="BW30" s="19">
        <v>22.863915909246941</v>
      </c>
      <c r="BX30" s="23">
        <f>DataTable[[#This Row],[Sens_6]]/AVERAGEIF(DataTable[Strålkälla],DataTable[[#This Row],[Strålkälla]],DataTable[Sens_6])</f>
        <v>0.99618450283999116</v>
      </c>
      <c r="BY30" s="19">
        <v>1860</v>
      </c>
      <c r="BZ30" s="19">
        <v>2294</v>
      </c>
      <c r="CA30" s="19">
        <v>0.104</v>
      </c>
      <c r="CB30" s="19">
        <v>5.7000000000000002E-2</v>
      </c>
      <c r="CC30" s="19">
        <v>2.7E-2</v>
      </c>
      <c r="CD30" s="19">
        <v>2110730</v>
      </c>
      <c r="CE30" s="19">
        <v>479</v>
      </c>
      <c r="CF30" s="19">
        <v>0</v>
      </c>
      <c r="CG30" s="19">
        <v>1</v>
      </c>
      <c r="CH30" s="19">
        <v>20.994819646532363</v>
      </c>
      <c r="CI30" s="23">
        <f>DataTable[[#This Row],[Sens_7]]/AVERAGEIF(DataTable[Strålkälla],DataTable[[#This Row],[Strålkälla]],DataTable[Sens_7])</f>
        <v>0.99890493527040103</v>
      </c>
      <c r="CJ30" s="19">
        <v>2140</v>
      </c>
      <c r="CK30" s="19">
        <v>2630</v>
      </c>
      <c r="CL30" s="19">
        <v>0.10299999999999999</v>
      </c>
      <c r="CM30" s="19">
        <v>0.05</v>
      </c>
      <c r="CN30" s="19">
        <v>2.5000000000000001E-2</v>
      </c>
      <c r="CO30" s="19">
        <v>2451665</v>
      </c>
      <c r="CP30" s="19">
        <v>479</v>
      </c>
      <c r="CQ30" s="19">
        <v>1</v>
      </c>
      <c r="CR30" s="19">
        <v>0</v>
      </c>
      <c r="CS30" s="19">
        <v>24.386001292782954</v>
      </c>
      <c r="CT30" s="23">
        <f>DataTable[[#This Row],[Sens_8]]/AVERAGEIF(DataTable[Strålkälla],DataTable[[#This Row],[Strålkälla]],DataTable[Sens_8])</f>
        <v>0.99951272991608753</v>
      </c>
      <c r="CU30" s="19">
        <v>1740</v>
      </c>
      <c r="CV30" s="19">
        <v>2106</v>
      </c>
      <c r="CW30" s="19">
        <v>9.5000000000000001E-2</v>
      </c>
      <c r="CX30" s="19">
        <v>3.6999999999999998E-2</v>
      </c>
      <c r="CY30" s="19">
        <v>2.5999999999999999E-2</v>
      </c>
      <c r="CZ30" s="19">
        <v>1971183</v>
      </c>
      <c r="DA30" s="19">
        <v>466</v>
      </c>
      <c r="DB30" s="19">
        <v>0</v>
      </c>
      <c r="DC30" s="19">
        <v>0</v>
      </c>
      <c r="DD30" s="19">
        <v>20.153756503555925</v>
      </c>
      <c r="DE30" s="23">
        <f>DataTable[[#This Row],[Sens_9]]/AVERAGEIF(DataTable[Strålkälla],DataTable[[#This Row],[Strålkälla]],DataTable[Sens_9])</f>
        <v>0.9986088339722835</v>
      </c>
      <c r="DF30" s="19">
        <v>1675</v>
      </c>
      <c r="DG30" s="19">
        <v>2000</v>
      </c>
      <c r="DH30" s="19">
        <v>8.7999999999999995E-2</v>
      </c>
      <c r="DI30" s="19">
        <v>4.2999999999999997E-2</v>
      </c>
      <c r="DJ30" s="19">
        <v>2.7E-2</v>
      </c>
      <c r="DK30" s="19">
        <v>1904052</v>
      </c>
      <c r="DL30" s="19">
        <v>466</v>
      </c>
      <c r="DM30" s="19">
        <v>0</v>
      </c>
      <c r="DN30" s="19">
        <v>0</v>
      </c>
      <c r="DO30" s="19">
        <v>19.467396166722555</v>
      </c>
      <c r="DP30" s="23">
        <f>DataTable[[#This Row],[Sens_10]]/AVERAGEIF(DataTable[Strålkälla],DataTable[[#This Row],[Strålkälla]],DataTable[Sens_10])</f>
        <v>0.99780605675423972</v>
      </c>
      <c r="DQ30" s="19">
        <v>1481</v>
      </c>
      <c r="DR30" s="19">
        <v>1765</v>
      </c>
      <c r="DS30" s="19">
        <v>8.6999999999999994E-2</v>
      </c>
      <c r="DT30" s="19">
        <v>3.5999999999999997E-2</v>
      </c>
      <c r="DU30" s="19">
        <v>2.7E-2</v>
      </c>
      <c r="DV30" s="19">
        <v>1674916</v>
      </c>
      <c r="DW30" s="19">
        <v>466</v>
      </c>
      <c r="DX30" s="19">
        <v>0</v>
      </c>
      <c r="DY30" s="19">
        <v>0</v>
      </c>
      <c r="DZ30" s="19">
        <v>17.124665354718399</v>
      </c>
      <c r="EA30" s="23">
        <f>DataTable[[#This Row],[Sens_11]]/AVERAGEIF(DataTable[Strålkälla],DataTable[[#This Row],[Strålkälla]],DataTable[Sens_11])</f>
        <v>0.99736028997588178</v>
      </c>
      <c r="EB30" s="19">
        <v>1761</v>
      </c>
      <c r="EC30" s="19">
        <v>2179</v>
      </c>
      <c r="ED30" s="19">
        <v>0.106</v>
      </c>
      <c r="EE30" s="19">
        <v>5.0999999999999997E-2</v>
      </c>
      <c r="EF30" s="19">
        <v>2.7E-2</v>
      </c>
      <c r="EG30" s="19">
        <v>2002061</v>
      </c>
      <c r="EH30" s="19">
        <v>466</v>
      </c>
      <c r="EI30" s="19">
        <v>0</v>
      </c>
      <c r="EJ30" s="19">
        <v>2</v>
      </c>
      <c r="EK30" s="19">
        <v>20.469459151821866</v>
      </c>
      <c r="EL30" s="23">
        <f>DataTable[[#This Row],[Sens_12]]/AVERAGEIF(DataTable[Strålkälla],DataTable[[#This Row],[Strålkälla]],DataTable[Sens_12])</f>
        <v>1.0001017328595441</v>
      </c>
      <c r="EM30" s="19">
        <v>1507</v>
      </c>
      <c r="EN30" s="19">
        <v>1799</v>
      </c>
      <c r="EO30" s="19">
        <v>8.7999999999999995E-2</v>
      </c>
      <c r="EP30" s="19">
        <v>3.9E-2</v>
      </c>
      <c r="EQ30" s="19">
        <v>2.7E-2</v>
      </c>
      <c r="ER30" s="19">
        <v>1702995</v>
      </c>
      <c r="ES30" s="19">
        <v>500</v>
      </c>
      <c r="ET30" s="19">
        <v>0</v>
      </c>
      <c r="EU30" s="19">
        <v>0</v>
      </c>
      <c r="EV30" s="19">
        <v>16.227751452256154</v>
      </c>
      <c r="EW30" s="19">
        <f>DataTable[[#This Row],[Sens_13]]/AVERAGEIF(DataTable[Strålkälla],DataTable[[#This Row],[Strålkälla]],DataTable[Sens_13])</f>
        <v>0.99965425613778003</v>
      </c>
      <c r="EX30" s="19">
        <v>1269</v>
      </c>
      <c r="EY30" s="19">
        <v>1579</v>
      </c>
      <c r="EZ30" s="19">
        <v>0.109</v>
      </c>
      <c r="FA30" s="19">
        <v>4.4999999999999998E-2</v>
      </c>
      <c r="FB30" s="19">
        <v>2.9000000000000001E-2</v>
      </c>
      <c r="FC30" s="19">
        <v>1454397</v>
      </c>
      <c r="FD30" s="19">
        <v>500</v>
      </c>
      <c r="FE30" s="19">
        <v>0</v>
      </c>
      <c r="FF30" s="19">
        <v>0</v>
      </c>
      <c r="FG30" s="19">
        <v>13.858873942029774</v>
      </c>
      <c r="FH30" s="19">
        <f>DataTable[[#This Row],[Sens_14]]/AVERAGEIF(DataTable[Strålkälla],DataTable[[#This Row],[Strålkälla]],DataTable[Sens_14])</f>
        <v>1.0004272913060439</v>
      </c>
      <c r="FI30" s="19">
        <v>1415</v>
      </c>
      <c r="FJ30" s="19">
        <v>1731</v>
      </c>
      <c r="FK30" s="19">
        <v>0.1</v>
      </c>
      <c r="FL30" s="19">
        <v>4.2000000000000003E-2</v>
      </c>
      <c r="FM30" s="19">
        <v>2.8000000000000001E-2</v>
      </c>
      <c r="FN30" s="19">
        <v>1618613</v>
      </c>
      <c r="FO30" s="19">
        <v>500</v>
      </c>
      <c r="FP30" s="19">
        <v>0</v>
      </c>
      <c r="FQ30" s="19">
        <v>0</v>
      </c>
      <c r="FR30" s="19">
        <v>15.423679729764734</v>
      </c>
      <c r="FS30" s="19">
        <f>DataTable[[#This Row],[Sens_15]]/AVERAGEIF(DataTable[Strålkälla],DataTable[[#This Row],[Strålkälla]],DataTable[Sens_15])</f>
        <v>0.99722369223661045</v>
      </c>
      <c r="FT30" s="19">
        <v>1275</v>
      </c>
      <c r="FU30" s="19">
        <v>1576</v>
      </c>
      <c r="FV30" s="19">
        <v>0.106</v>
      </c>
      <c r="FW30" s="19">
        <v>4.8000000000000001E-2</v>
      </c>
      <c r="FX30" s="19">
        <v>0.03</v>
      </c>
      <c r="FY30" s="19">
        <v>1464160</v>
      </c>
      <c r="FZ30" s="19">
        <v>500</v>
      </c>
      <c r="GA30" s="19">
        <v>0</v>
      </c>
      <c r="GB30" s="19">
        <v>0</v>
      </c>
      <c r="GC30" s="19">
        <v>13.951905065097296</v>
      </c>
      <c r="GD30" s="19">
        <f>DataTable[[#This Row],[Sens_16]]/AVERAGEIF(DataTable[Strålkälla],DataTable[[#This Row],[Strålkälla]],DataTable[Sens_16])</f>
        <v>0.99910183275203368</v>
      </c>
      <c r="GE30" s="19">
        <v>1241</v>
      </c>
      <c r="GF30" s="19">
        <v>1541</v>
      </c>
      <c r="GG30" s="19">
        <v>0.108</v>
      </c>
      <c r="GH30" s="19">
        <v>5.5E-2</v>
      </c>
      <c r="GI30" s="19">
        <v>2.9000000000000001E-2</v>
      </c>
      <c r="GJ30" s="19">
        <v>1410092</v>
      </c>
      <c r="GK30" s="19">
        <v>500</v>
      </c>
      <c r="GL30" s="19">
        <v>0</v>
      </c>
      <c r="GM30" s="19">
        <v>1</v>
      </c>
      <c r="GN30" s="19">
        <v>13.436693883901471</v>
      </c>
      <c r="GO30" s="19">
        <f>DataTable[[#This Row],[Sens_17]]/AVERAGEIF(DataTable[Strålkälla],DataTable[[#This Row],[Strålkälla]],DataTable[Sens_17])</f>
        <v>0.99947082858650471</v>
      </c>
      <c r="GP30" s="19">
        <v>1438</v>
      </c>
      <c r="GQ30" s="19">
        <v>1751</v>
      </c>
      <c r="GR30" s="19">
        <v>9.8000000000000004E-2</v>
      </c>
      <c r="GS30" s="19">
        <v>4.1000000000000002E-2</v>
      </c>
      <c r="GT30" s="19">
        <v>2.9000000000000001E-2</v>
      </c>
      <c r="GU30" s="19">
        <v>1633877</v>
      </c>
      <c r="GV30" s="19">
        <v>500</v>
      </c>
      <c r="GW30" s="19">
        <v>0</v>
      </c>
      <c r="GX30" s="19">
        <v>0</v>
      </c>
      <c r="GY30" s="19">
        <v>15.569129597889559</v>
      </c>
      <c r="GZ30" s="19">
        <f>DataTable[[#This Row],[Sens_18]]/AVERAGEIF(DataTable[Strålkälla],DataTable[[#This Row],[Strålkälla]],DataTable[Sens_18])</f>
        <v>1.0007249662295401</v>
      </c>
      <c r="HA30" s="19">
        <v>1315</v>
      </c>
      <c r="HB30" s="19">
        <v>1710</v>
      </c>
      <c r="HC30" s="19">
        <v>0.13100000000000001</v>
      </c>
      <c r="HD30" s="19">
        <v>6.4000000000000001E-2</v>
      </c>
      <c r="HE30" s="19">
        <v>3.1E-2</v>
      </c>
      <c r="HF30" s="19">
        <v>1486661</v>
      </c>
      <c r="HG30" s="19">
        <v>500</v>
      </c>
      <c r="HH30" s="19">
        <v>0</v>
      </c>
      <c r="HI30" s="19">
        <v>1</v>
      </c>
      <c r="HJ30" s="19">
        <v>14.166315932673077</v>
      </c>
      <c r="HK30" s="19">
        <f>DataTable[[#This Row],[Sens_19]]/AVERAGEIF(DataTable[Strålkälla],DataTable[[#This Row],[Strålkälla]],DataTable[Sens_19])</f>
        <v>0.99971393814623122</v>
      </c>
      <c r="HL30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0.13100000000000001</v>
      </c>
      <c r="HM30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9.8736842105263192E-2</v>
      </c>
      <c r="HN30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6.4000000000000001E-2</v>
      </c>
      <c r="HO30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4.4578947368421065E-2</v>
      </c>
      <c r="HP30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0.99618450283999116</v>
      </c>
      <c r="HQ30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0.99878448997209246</v>
      </c>
      <c r="HR30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1.0007249662295401</v>
      </c>
      <c r="HS30" s="49"/>
    </row>
    <row r="31" spans="2:227" x14ac:dyDescent="0.25">
      <c r="B31" s="19" t="s">
        <v>43</v>
      </c>
      <c r="C31" s="20">
        <v>42439</v>
      </c>
      <c r="D31" s="21">
        <v>0.3159837962962963</v>
      </c>
      <c r="E31" s="13" t="s">
        <v>217</v>
      </c>
      <c r="F31" s="13">
        <v>109.8</v>
      </c>
      <c r="G31" s="13">
        <v>134.19999999999999</v>
      </c>
      <c r="H31" s="24">
        <v>24.145800000000001</v>
      </c>
      <c r="I31" s="22">
        <f>MATCH(DataTable[[#This Row],[Datum]],Övrigt!$D$10:$M$10,1)</f>
        <v>1</v>
      </c>
      <c r="J31" s="13"/>
      <c r="K31" s="22">
        <v>1861</v>
      </c>
      <c r="L31" s="22">
        <v>2228</v>
      </c>
      <c r="M31" s="23">
        <v>0.09</v>
      </c>
      <c r="N31" s="23">
        <v>4.5999999999999999E-2</v>
      </c>
      <c r="O31" s="23">
        <v>2.7E-2</v>
      </c>
      <c r="P31" s="22">
        <v>2076948</v>
      </c>
      <c r="Q31" s="24">
        <v>480</v>
      </c>
      <c r="R31" s="22">
        <v>0</v>
      </c>
      <c r="S31" s="22">
        <v>0</v>
      </c>
      <c r="T31" s="19">
        <v>20.668413975770054</v>
      </c>
      <c r="U31" s="23">
        <f>DataTable[[#This Row],[Sens_1]]/AVERAGEIF(DataTable[Strålkälla],DataTable[[#This Row],[Strålkälla]],DataTable[Sens_1])</f>
        <v>0.99828184265929232</v>
      </c>
      <c r="V31" s="22">
        <v>2184</v>
      </c>
      <c r="W31" s="22">
        <v>2571</v>
      </c>
      <c r="X31" s="23">
        <v>8.1000000000000003E-2</v>
      </c>
      <c r="Y31" s="23">
        <v>3.5999999999999997E-2</v>
      </c>
      <c r="Z31" s="23">
        <v>2.3E-2</v>
      </c>
      <c r="AA31" s="22">
        <v>2452127</v>
      </c>
      <c r="AB31" s="24">
        <v>480</v>
      </c>
      <c r="AC31" s="22">
        <v>0</v>
      </c>
      <c r="AD31" s="22">
        <v>0</v>
      </c>
      <c r="AE31" s="19">
        <v>24.401947452301691</v>
      </c>
      <c r="AF31" s="23">
        <f>DataTable[[#This Row],[Sens_2]]/AVERAGEIF(DataTable[Strålkälla],DataTable[[#This Row],[Strålkälla]],DataTable[Sens_2])</f>
        <v>0.998648959201485</v>
      </c>
      <c r="AG31" s="22">
        <v>1915</v>
      </c>
      <c r="AH31" s="22">
        <v>2342</v>
      </c>
      <c r="AI31" s="23">
        <v>0.1</v>
      </c>
      <c r="AJ31" s="23">
        <v>4.2000000000000003E-2</v>
      </c>
      <c r="AK31" s="23">
        <v>2.5999999999999999E-2</v>
      </c>
      <c r="AL31" s="22">
        <v>2170631</v>
      </c>
      <c r="AM31" s="24">
        <v>480</v>
      </c>
      <c r="AN31" s="22">
        <v>0</v>
      </c>
      <c r="AO31" s="22">
        <v>1</v>
      </c>
      <c r="AP31" s="19">
        <v>21.600685282751289</v>
      </c>
      <c r="AQ31" s="23">
        <f>DataTable[[#This Row],[Sens_3]]/AVERAGEIF(DataTable[Strålkälla],DataTable[[#This Row],[Strålkälla]],DataTable[Sens_3])</f>
        <v>0.99836561889547526</v>
      </c>
      <c r="AR31" s="22">
        <v>1798</v>
      </c>
      <c r="AS31" s="22">
        <v>2229</v>
      </c>
      <c r="AT31" s="23">
        <v>0.107</v>
      </c>
      <c r="AU31" s="23">
        <v>3.5999999999999997E-2</v>
      </c>
      <c r="AV31" s="23">
        <v>2.5000000000000001E-2</v>
      </c>
      <c r="AW31" s="22">
        <v>2063510</v>
      </c>
      <c r="AX31" s="24">
        <v>480</v>
      </c>
      <c r="AY31" s="22">
        <v>1</v>
      </c>
      <c r="AZ31" s="22">
        <v>1</v>
      </c>
      <c r="BA31" s="19">
        <v>20.534687880072713</v>
      </c>
      <c r="BB31" s="23">
        <f>DataTable[[#This Row],[Sens_4]]/AVERAGEIF(DataTable[Strålkälla],DataTable[[#This Row],[Strålkälla]],DataTable[Sens_4])</f>
        <v>0.99721864431470231</v>
      </c>
      <c r="BC31" s="22">
        <v>2081</v>
      </c>
      <c r="BD31" s="22">
        <v>2451</v>
      </c>
      <c r="BE31" s="19">
        <v>8.2000000000000003E-2</v>
      </c>
      <c r="BF31" s="19">
        <v>0.04</v>
      </c>
      <c r="BG31" s="19">
        <v>2.4E-2</v>
      </c>
      <c r="BH31" s="19">
        <v>2313143</v>
      </c>
      <c r="BI31" s="19">
        <v>480</v>
      </c>
      <c r="BJ31" s="19">
        <v>0</v>
      </c>
      <c r="BK31" s="19">
        <v>0</v>
      </c>
      <c r="BL31" s="19">
        <v>23.018870529813299</v>
      </c>
      <c r="BM31" s="23">
        <f>DataTable[[#This Row],[Sens_5]]/AVERAGEIF(DataTable[Strålkälla],DataTable[[#This Row],[Strålkälla]],DataTable[Sens_5])</f>
        <v>0.99968131533388505</v>
      </c>
      <c r="BN31" s="19">
        <v>2066</v>
      </c>
      <c r="BO31" s="19">
        <v>2454</v>
      </c>
      <c r="BP31" s="19">
        <v>8.5999999999999993E-2</v>
      </c>
      <c r="BQ31" s="19">
        <v>3.9E-2</v>
      </c>
      <c r="BR31" s="19">
        <v>2.4E-2</v>
      </c>
      <c r="BS31" s="19">
        <v>2305232</v>
      </c>
      <c r="BT31" s="19">
        <v>480</v>
      </c>
      <c r="BU31" s="19">
        <v>0</v>
      </c>
      <c r="BV31" s="19">
        <v>0</v>
      </c>
      <c r="BW31" s="19">
        <v>22.940145485680119</v>
      </c>
      <c r="BX31" s="23">
        <f>DataTable[[#This Row],[Sens_6]]/AVERAGEIF(DataTable[Strålkälla],DataTable[[#This Row],[Strålkälla]],DataTable[Sens_6])</f>
        <v>0.99950583777676272</v>
      </c>
      <c r="BY31" s="19">
        <v>1846</v>
      </c>
      <c r="BZ31" s="19">
        <v>2244</v>
      </c>
      <c r="CA31" s="19">
        <v>9.7000000000000003E-2</v>
      </c>
      <c r="CB31" s="19">
        <v>0.04</v>
      </c>
      <c r="CC31" s="19">
        <v>2.5999999999999999E-2</v>
      </c>
      <c r="CD31" s="19">
        <v>2108857</v>
      </c>
      <c r="CE31" s="19">
        <v>480</v>
      </c>
      <c r="CF31" s="19">
        <v>0</v>
      </c>
      <c r="CG31" s="19">
        <v>0</v>
      </c>
      <c r="CH31" s="19">
        <v>20.985951257181455</v>
      </c>
      <c r="CI31" s="23">
        <f>DataTable[[#This Row],[Sens_7]]/AVERAGEIF(DataTable[Strålkälla],DataTable[[#This Row],[Strålkälla]],DataTable[Sens_7])</f>
        <v>0.99848298937900182</v>
      </c>
      <c r="CJ31" s="19">
        <v>2213</v>
      </c>
      <c r="CK31" s="19">
        <v>2561</v>
      </c>
      <c r="CL31" s="19">
        <v>7.2999999999999995E-2</v>
      </c>
      <c r="CM31" s="19">
        <v>3.5000000000000003E-2</v>
      </c>
      <c r="CN31" s="19">
        <v>2.3E-2</v>
      </c>
      <c r="CO31" s="19">
        <v>2451747</v>
      </c>
      <c r="CP31" s="19">
        <v>480</v>
      </c>
      <c r="CQ31" s="19">
        <v>0</v>
      </c>
      <c r="CR31" s="19">
        <v>0</v>
      </c>
      <c r="CS31" s="19">
        <v>24.398165943419048</v>
      </c>
      <c r="CT31" s="23">
        <f>DataTable[[#This Row],[Sens_8]]/AVERAGEIF(DataTable[Strålkälla],DataTable[[#This Row],[Strålkälla]],DataTable[Sens_8])</f>
        <v>1.000011324294878</v>
      </c>
      <c r="CU31" s="19">
        <v>1744</v>
      </c>
      <c r="CV31" s="19">
        <v>2091</v>
      </c>
      <c r="CW31" s="19">
        <v>0.09</v>
      </c>
      <c r="CX31" s="19">
        <v>4.2999999999999997E-2</v>
      </c>
      <c r="CY31" s="19">
        <v>2.5999999999999999E-2</v>
      </c>
      <c r="CZ31" s="19">
        <v>1969532</v>
      </c>
      <c r="DA31" s="19">
        <v>467</v>
      </c>
      <c r="DB31" s="19">
        <v>0</v>
      </c>
      <c r="DC31" s="19">
        <v>0</v>
      </c>
      <c r="DD31" s="19">
        <v>20.145076756869731</v>
      </c>
      <c r="DE31" s="23">
        <f>DataTable[[#This Row],[Sens_9]]/AVERAGEIF(DataTable[Strålkälla],DataTable[[#This Row],[Strålkälla]],DataTable[Sens_9])</f>
        <v>0.99817875674494649</v>
      </c>
      <c r="DF31" s="19">
        <v>1699</v>
      </c>
      <c r="DG31" s="19">
        <v>2025</v>
      </c>
      <c r="DH31" s="19">
        <v>8.7999999999999995E-2</v>
      </c>
      <c r="DI31" s="19">
        <v>3.4000000000000002E-2</v>
      </c>
      <c r="DJ31" s="19">
        <v>2.5000000000000001E-2</v>
      </c>
      <c r="DK31" s="19">
        <v>1907788</v>
      </c>
      <c r="DL31" s="19">
        <v>467</v>
      </c>
      <c r="DM31" s="19">
        <v>0</v>
      </c>
      <c r="DN31" s="19">
        <v>0</v>
      </c>
      <c r="DO31" s="19">
        <v>19.513537071667276</v>
      </c>
      <c r="DP31" s="23">
        <f>DataTable[[#This Row],[Sens_10]]/AVERAGEIF(DataTable[Strålkälla],DataTable[[#This Row],[Strålkälla]],DataTable[Sens_10])</f>
        <v>1.0001710198969052</v>
      </c>
      <c r="DQ31" s="19">
        <v>1493</v>
      </c>
      <c r="DR31" s="19">
        <v>1778</v>
      </c>
      <c r="DS31" s="19">
        <v>8.6999999999999994E-2</v>
      </c>
      <c r="DT31" s="19">
        <v>4.1000000000000002E-2</v>
      </c>
      <c r="DU31" s="19">
        <v>2.8000000000000001E-2</v>
      </c>
      <c r="DV31" s="19">
        <v>1676476</v>
      </c>
      <c r="DW31" s="19">
        <v>467</v>
      </c>
      <c r="DX31" s="19">
        <v>0</v>
      </c>
      <c r="DY31" s="19">
        <v>0</v>
      </c>
      <c r="DZ31" s="19">
        <v>17.147595317593186</v>
      </c>
      <c r="EA31" s="23">
        <f>DataTable[[#This Row],[Sens_11]]/AVERAGEIF(DataTable[Strålkälla],DataTable[[#This Row],[Strålkälla]],DataTable[Sens_11])</f>
        <v>0.99869575749879214</v>
      </c>
      <c r="EB31" s="19">
        <v>1742</v>
      </c>
      <c r="EC31" s="19">
        <v>2137</v>
      </c>
      <c r="ED31" s="19">
        <v>0.10199999999999999</v>
      </c>
      <c r="EE31" s="19">
        <v>0.04</v>
      </c>
      <c r="EF31" s="19">
        <v>2.5999999999999999E-2</v>
      </c>
      <c r="EG31" s="19">
        <v>1998131</v>
      </c>
      <c r="EH31" s="19">
        <v>467</v>
      </c>
      <c r="EI31" s="19">
        <v>1</v>
      </c>
      <c r="EJ31" s="19">
        <v>0</v>
      </c>
      <c r="EK31" s="19">
        <v>20.437597543619944</v>
      </c>
      <c r="EL31" s="23">
        <f>DataTable[[#This Row],[Sens_12]]/AVERAGEIF(DataTable[Strålkälla],DataTable[[#This Row],[Strålkälla]],DataTable[Sens_12])</f>
        <v>0.99854503078265511</v>
      </c>
      <c r="EM31" s="19">
        <v>1497</v>
      </c>
      <c r="EN31" s="19">
        <v>1832</v>
      </c>
      <c r="EO31" s="19">
        <v>0.10100000000000001</v>
      </c>
      <c r="EP31" s="19">
        <v>4.3999999999999997E-2</v>
      </c>
      <c r="EQ31" s="19">
        <v>2.8000000000000001E-2</v>
      </c>
      <c r="ER31" s="19">
        <v>1706709</v>
      </c>
      <c r="ES31" s="19">
        <v>502</v>
      </c>
      <c r="ET31" s="19">
        <v>0</v>
      </c>
      <c r="EU31" s="19">
        <v>0</v>
      </c>
      <c r="EV31" s="19">
        <v>16.2397196315979</v>
      </c>
      <c r="EW31" s="19">
        <f>DataTable[[#This Row],[Sens_13]]/AVERAGEIF(DataTable[Strålkälla],DataTable[[#This Row],[Strålkälla]],DataTable[Sens_13])</f>
        <v>1.0003915142509818</v>
      </c>
      <c r="EX31" s="19">
        <v>1272</v>
      </c>
      <c r="EY31" s="19">
        <v>1588</v>
      </c>
      <c r="EZ31" s="19">
        <v>0.11</v>
      </c>
      <c r="FA31" s="19">
        <v>4.2000000000000003E-2</v>
      </c>
      <c r="FB31" s="19">
        <v>0.03</v>
      </c>
      <c r="FC31" s="19">
        <v>1452184</v>
      </c>
      <c r="FD31" s="19">
        <v>502</v>
      </c>
      <c r="FE31" s="19">
        <v>0</v>
      </c>
      <c r="FF31" s="19">
        <v>0</v>
      </c>
      <c r="FG31" s="19">
        <v>13.817857064966766</v>
      </c>
      <c r="FH31" s="19">
        <f>DataTable[[#This Row],[Sens_14]]/AVERAGEIF(DataTable[Strålkälla],DataTable[[#This Row],[Strålkälla]],DataTable[Sens_14])</f>
        <v>0.9974664155963997</v>
      </c>
      <c r="FI31" s="19">
        <v>1463</v>
      </c>
      <c r="FJ31" s="19">
        <v>1730</v>
      </c>
      <c r="FK31" s="19">
        <v>8.4000000000000005E-2</v>
      </c>
      <c r="FL31" s="19">
        <v>4.1000000000000002E-2</v>
      </c>
      <c r="FM31" s="19">
        <v>2.7E-2</v>
      </c>
      <c r="FN31" s="19">
        <v>1622140</v>
      </c>
      <c r="FO31" s="19">
        <v>502</v>
      </c>
      <c r="FP31" s="19">
        <v>0</v>
      </c>
      <c r="FQ31" s="19">
        <v>0</v>
      </c>
      <c r="FR31" s="19">
        <v>15.43502659398891</v>
      </c>
      <c r="FS31" s="19">
        <f>DataTable[[#This Row],[Sens_15]]/AVERAGEIF(DataTable[Strålkälla],DataTable[[#This Row],[Strålkälla]],DataTable[Sens_15])</f>
        <v>0.99795732792116787</v>
      </c>
      <c r="FT31" s="19">
        <v>1303</v>
      </c>
      <c r="FU31" s="19">
        <v>1595</v>
      </c>
      <c r="FV31" s="19">
        <v>0.10100000000000001</v>
      </c>
      <c r="FW31" s="19">
        <v>4.1000000000000002E-2</v>
      </c>
      <c r="FX31" s="19">
        <v>2.8000000000000001E-2</v>
      </c>
      <c r="FY31" s="19">
        <v>1462910</v>
      </c>
      <c r="FZ31" s="19">
        <v>502</v>
      </c>
      <c r="GA31" s="19">
        <v>0</v>
      </c>
      <c r="GB31" s="19">
        <v>1</v>
      </c>
      <c r="GC31" s="19">
        <v>13.91991736509322</v>
      </c>
      <c r="GD31" s="19">
        <f>DataTable[[#This Row],[Sens_16]]/AVERAGEIF(DataTable[Strålkälla],DataTable[[#This Row],[Strålkälla]],DataTable[Sens_16])</f>
        <v>0.99681118000242852</v>
      </c>
      <c r="GE31" s="19">
        <v>1240</v>
      </c>
      <c r="GF31" s="19">
        <v>1545</v>
      </c>
      <c r="GG31" s="19">
        <v>0.11</v>
      </c>
      <c r="GH31" s="19">
        <v>3.9E-2</v>
      </c>
      <c r="GI31" s="19">
        <v>0.03</v>
      </c>
      <c r="GJ31" s="19">
        <v>1406429</v>
      </c>
      <c r="GK31" s="19">
        <v>502</v>
      </c>
      <c r="GL31" s="19">
        <v>0</v>
      </c>
      <c r="GM31" s="19">
        <v>1</v>
      </c>
      <c r="GN31" s="19">
        <v>13.382487958842781</v>
      </c>
      <c r="GO31" s="19">
        <f>DataTable[[#This Row],[Sens_17]]/AVERAGEIF(DataTable[Strålkälla],DataTable[[#This Row],[Strålkälla]],DataTable[Sens_17])</f>
        <v>0.99543879203787</v>
      </c>
      <c r="GP31" s="19">
        <v>1447</v>
      </c>
      <c r="GQ31" s="19">
        <v>1765</v>
      </c>
      <c r="GR31" s="19">
        <v>9.9000000000000005E-2</v>
      </c>
      <c r="GS31" s="19">
        <v>3.9E-2</v>
      </c>
      <c r="GT31" s="19">
        <v>2.8000000000000001E-2</v>
      </c>
      <c r="GU31" s="19">
        <v>1635509</v>
      </c>
      <c r="GV31" s="19">
        <v>502</v>
      </c>
      <c r="GW31" s="19">
        <v>0</v>
      </c>
      <c r="GX31" s="19">
        <v>0</v>
      </c>
      <c r="GY31" s="19">
        <v>15.562235632996046</v>
      </c>
      <c r="GZ31" s="19">
        <f>DataTable[[#This Row],[Sens_18]]/AVERAGEIF(DataTable[Strålkälla],DataTable[[#This Row],[Strålkälla]],DataTable[Sens_18])</f>
        <v>1.0002818481514311</v>
      </c>
      <c r="HA31" s="19">
        <v>1292</v>
      </c>
      <c r="HB31" s="19">
        <v>1620</v>
      </c>
      <c r="HC31" s="19">
        <v>0.113</v>
      </c>
      <c r="HD31" s="19">
        <v>5.1999999999999998E-2</v>
      </c>
      <c r="HE31" s="19">
        <v>3.1E-2</v>
      </c>
      <c r="HF31" s="19">
        <v>1486136</v>
      </c>
      <c r="HG31" s="19">
        <v>502</v>
      </c>
      <c r="HH31" s="19">
        <v>0</v>
      </c>
      <c r="HI31" s="19">
        <v>0</v>
      </c>
      <c r="HJ31" s="19">
        <v>14.140917973962976</v>
      </c>
      <c r="HK31" s="19">
        <f>DataTable[[#This Row],[Sens_19]]/AVERAGEIF(DataTable[Strålkälla],DataTable[[#This Row],[Strålkälla]],DataTable[Sens_19])</f>
        <v>0.99792160953774733</v>
      </c>
      <c r="HL31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0.113</v>
      </c>
      <c r="HM31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9.4789473684210535E-2</v>
      </c>
      <c r="HN31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5.1999999999999998E-2</v>
      </c>
      <c r="HO31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4.0526315789473695E-2</v>
      </c>
      <c r="HP31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0.99543879203787</v>
      </c>
      <c r="HQ31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0.99852925180404239</v>
      </c>
      <c r="HR31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1.0003915142509818</v>
      </c>
      <c r="HS31" s="49"/>
    </row>
    <row r="32" spans="2:227" x14ac:dyDescent="0.25">
      <c r="B32" s="19" t="s">
        <v>43</v>
      </c>
      <c r="C32" s="20">
        <v>42443</v>
      </c>
      <c r="D32" s="21">
        <v>0.35510416666666672</v>
      </c>
      <c r="E32" s="13" t="s">
        <v>217</v>
      </c>
      <c r="F32" s="13">
        <v>109.8</v>
      </c>
      <c r="G32" s="13">
        <v>134.19999999999999</v>
      </c>
      <c r="H32" s="24">
        <v>24.350999999999999</v>
      </c>
      <c r="I32" s="22">
        <f>MATCH(DataTable[[#This Row],[Datum]],Övrigt!$D$10:$M$10,1)</f>
        <v>1</v>
      </c>
      <c r="J32" s="13"/>
      <c r="K32" s="22">
        <v>1812</v>
      </c>
      <c r="L32" s="22">
        <v>2220</v>
      </c>
      <c r="M32" s="23">
        <v>0.10100000000000001</v>
      </c>
      <c r="N32" s="23">
        <v>0.04</v>
      </c>
      <c r="O32" s="23">
        <v>2.7E-2</v>
      </c>
      <c r="P32" s="22">
        <v>2077676</v>
      </c>
      <c r="Q32" s="24">
        <v>484</v>
      </c>
      <c r="R32" s="22">
        <v>0</v>
      </c>
      <c r="S32" s="22">
        <v>0</v>
      </c>
      <c r="T32" s="19">
        <v>20.715068533996082</v>
      </c>
      <c r="U32" s="23">
        <f>DataTable[[#This Row],[Sens_1]]/AVERAGEIF(DataTable[Strålkälla],DataTable[[#This Row],[Strålkälla]],DataTable[Sens_1])</f>
        <v>1.0005352520601749</v>
      </c>
      <c r="V32" s="22">
        <v>2178</v>
      </c>
      <c r="W32" s="22">
        <v>2616</v>
      </c>
      <c r="X32" s="23">
        <v>9.0999999999999998E-2</v>
      </c>
      <c r="Y32" s="23">
        <v>5.0999999999999997E-2</v>
      </c>
      <c r="Z32" s="23">
        <v>2.5999999999999999E-2</v>
      </c>
      <c r="AA32" s="22">
        <v>2451794</v>
      </c>
      <c r="AB32" s="24">
        <v>484</v>
      </c>
      <c r="AC32" s="22">
        <v>0</v>
      </c>
      <c r="AD32" s="22">
        <v>0</v>
      </c>
      <c r="AE32" s="19">
        <v>24.445140022429094</v>
      </c>
      <c r="AF32" s="23">
        <f>DataTable[[#This Row],[Sens_2]]/AVERAGEIF(DataTable[Strålkälla],DataTable[[#This Row],[Strålkälla]],DataTable[Sens_2])</f>
        <v>1.0004166138236124</v>
      </c>
      <c r="AG32" s="22">
        <v>1946</v>
      </c>
      <c r="AH32" s="22">
        <v>2334</v>
      </c>
      <c r="AI32" s="23">
        <v>9.0999999999999998E-2</v>
      </c>
      <c r="AJ32" s="23">
        <v>4.4999999999999998E-2</v>
      </c>
      <c r="AK32" s="23">
        <v>2.4E-2</v>
      </c>
      <c r="AL32" s="22">
        <v>2169022</v>
      </c>
      <c r="AM32" s="24">
        <v>484</v>
      </c>
      <c r="AN32" s="22">
        <v>0</v>
      </c>
      <c r="AO32" s="22">
        <v>1</v>
      </c>
      <c r="AP32" s="19">
        <v>21.625816239753092</v>
      </c>
      <c r="AQ32" s="23">
        <f>DataTable[[#This Row],[Sens_3]]/AVERAGEIF(DataTable[Strålkälla],DataTable[[#This Row],[Strålkälla]],DataTable[Sens_3])</f>
        <v>0.99952715072245746</v>
      </c>
      <c r="AR32" s="22">
        <v>1853</v>
      </c>
      <c r="AS32" s="22">
        <v>2215</v>
      </c>
      <c r="AT32" s="23">
        <v>8.8999999999999996E-2</v>
      </c>
      <c r="AU32" s="23">
        <v>3.5000000000000003E-2</v>
      </c>
      <c r="AV32" s="23">
        <v>2.5999999999999999E-2</v>
      </c>
      <c r="AW32" s="22">
        <v>2064995</v>
      </c>
      <c r="AX32" s="24">
        <v>484</v>
      </c>
      <c r="AY32" s="22">
        <v>0</v>
      </c>
      <c r="AZ32" s="22">
        <v>0</v>
      </c>
      <c r="BA32" s="19">
        <v>20.58863506502421</v>
      </c>
      <c r="BB32" s="23">
        <f>DataTable[[#This Row],[Sens_4]]/AVERAGEIF(DataTable[Strålkälla],DataTable[[#This Row],[Strålkälla]],DataTable[Sens_4])</f>
        <v>0.99983846200835869</v>
      </c>
      <c r="BC32" s="22">
        <v>2068</v>
      </c>
      <c r="BD32" s="22">
        <v>2464</v>
      </c>
      <c r="BE32" s="19">
        <v>8.6999999999999994E-2</v>
      </c>
      <c r="BF32" s="19">
        <v>4.1000000000000002E-2</v>
      </c>
      <c r="BG32" s="19">
        <v>2.4E-2</v>
      </c>
      <c r="BH32" s="19">
        <v>2312786</v>
      </c>
      <c r="BI32" s="19">
        <v>484</v>
      </c>
      <c r="BJ32" s="19">
        <v>0</v>
      </c>
      <c r="BK32" s="19">
        <v>0</v>
      </c>
      <c r="BL32" s="19">
        <v>23.059187522244404</v>
      </c>
      <c r="BM32" s="23">
        <f>DataTable[[#This Row],[Sens_5]]/AVERAGEIF(DataTable[Strålkälla],DataTable[[#This Row],[Strålkälla]],DataTable[Sens_5])</f>
        <v>1.0014322328678984</v>
      </c>
      <c r="BN32" s="19">
        <v>2057</v>
      </c>
      <c r="BO32" s="19">
        <v>2465</v>
      </c>
      <c r="BP32" s="19">
        <v>0.09</v>
      </c>
      <c r="BQ32" s="19">
        <v>3.4000000000000002E-2</v>
      </c>
      <c r="BR32" s="19">
        <v>2.4E-2</v>
      </c>
      <c r="BS32" s="19">
        <v>2306950</v>
      </c>
      <c r="BT32" s="19">
        <v>484</v>
      </c>
      <c r="BU32" s="19">
        <v>0</v>
      </c>
      <c r="BV32" s="19">
        <v>0</v>
      </c>
      <c r="BW32" s="19">
        <v>23.001000807874885</v>
      </c>
      <c r="BX32" s="23">
        <f>DataTable[[#This Row],[Sens_6]]/AVERAGEIF(DataTable[Strålkälla],DataTable[[#This Row],[Strålkälla]],DataTable[Sens_6])</f>
        <v>1.0021573139773572</v>
      </c>
      <c r="BY32" s="19">
        <v>1876</v>
      </c>
      <c r="BZ32" s="19">
        <v>2255</v>
      </c>
      <c r="CA32" s="19">
        <v>9.1999999999999998E-2</v>
      </c>
      <c r="CB32" s="19">
        <v>4.4999999999999998E-2</v>
      </c>
      <c r="CC32" s="19">
        <v>2.5999999999999999E-2</v>
      </c>
      <c r="CD32" s="19">
        <v>2109419</v>
      </c>
      <c r="CE32" s="19">
        <v>484</v>
      </c>
      <c r="CF32" s="19">
        <v>0</v>
      </c>
      <c r="CG32" s="19">
        <v>0</v>
      </c>
      <c r="CH32" s="19">
        <v>21.031556003878123</v>
      </c>
      <c r="CI32" s="23">
        <f>DataTable[[#This Row],[Sens_7]]/AVERAGEIF(DataTable[Strålkälla],DataTable[[#This Row],[Strålkälla]],DataTable[Sens_7])</f>
        <v>1.0006528011379985</v>
      </c>
      <c r="CJ32" s="19">
        <v>2166</v>
      </c>
      <c r="CK32" s="19">
        <v>2696</v>
      </c>
      <c r="CL32" s="19">
        <v>0.109</v>
      </c>
      <c r="CM32" s="19">
        <v>3.9E-2</v>
      </c>
      <c r="CN32" s="19">
        <v>2.4E-2</v>
      </c>
      <c r="CO32" s="19">
        <v>2448821</v>
      </c>
      <c r="CP32" s="19">
        <v>484</v>
      </c>
      <c r="CQ32" s="19">
        <v>0</v>
      </c>
      <c r="CR32" s="19">
        <v>1</v>
      </c>
      <c r="CS32" s="19">
        <v>24.415498298333723</v>
      </c>
      <c r="CT32" s="23">
        <f>DataTable[[#This Row],[Sens_8]]/AVERAGEIF(DataTable[Strålkälla],DataTable[[#This Row],[Strålkälla]],DataTable[Sens_8])</f>
        <v>1.0007217281519372</v>
      </c>
      <c r="CU32" s="19">
        <v>1748</v>
      </c>
      <c r="CV32" s="19">
        <v>2094</v>
      </c>
      <c r="CW32" s="19">
        <v>0.09</v>
      </c>
      <c r="CX32" s="19">
        <v>4.5999999999999999E-2</v>
      </c>
      <c r="CY32" s="19">
        <v>2.5999999999999999E-2</v>
      </c>
      <c r="CZ32" s="19">
        <v>1970821</v>
      </c>
      <c r="DA32" s="19">
        <v>471</v>
      </c>
      <c r="DB32" s="19">
        <v>0</v>
      </c>
      <c r="DC32" s="19">
        <v>0</v>
      </c>
      <c r="DD32" s="19">
        <v>20.192039498091518</v>
      </c>
      <c r="DE32" s="23">
        <f>DataTable[[#This Row],[Sens_9]]/AVERAGEIF(DataTable[Strålkälla],DataTable[[#This Row],[Strålkälla]],DataTable[Sens_9])</f>
        <v>1.0005057377344884</v>
      </c>
      <c r="DF32" s="19">
        <v>1705</v>
      </c>
      <c r="DG32" s="19">
        <v>2009</v>
      </c>
      <c r="DH32" s="19">
        <v>8.2000000000000003E-2</v>
      </c>
      <c r="DI32" s="19">
        <v>3.2000000000000001E-2</v>
      </c>
      <c r="DJ32" s="19">
        <v>2.4E-2</v>
      </c>
      <c r="DK32" s="19">
        <v>1906182</v>
      </c>
      <c r="DL32" s="19">
        <v>471</v>
      </c>
      <c r="DM32" s="19">
        <v>0</v>
      </c>
      <c r="DN32" s="19">
        <v>0</v>
      </c>
      <c r="DO32" s="19">
        <v>19.529780855060444</v>
      </c>
      <c r="DP32" s="23">
        <f>DataTable[[#This Row],[Sens_10]]/AVERAGEIF(DataTable[Strålkälla],DataTable[[#This Row],[Strålkälla]],DataTable[Sens_10])</f>
        <v>1.0010035989082684</v>
      </c>
      <c r="DQ32" s="19">
        <v>1472</v>
      </c>
      <c r="DR32" s="19">
        <v>1786</v>
      </c>
      <c r="DS32" s="19">
        <v>9.6000000000000002E-2</v>
      </c>
      <c r="DT32" s="19">
        <v>3.7999999999999999E-2</v>
      </c>
      <c r="DU32" s="19">
        <v>2.5999999999999999E-2</v>
      </c>
      <c r="DV32" s="19">
        <v>1676408</v>
      </c>
      <c r="DW32" s="19">
        <v>471</v>
      </c>
      <c r="DX32" s="19">
        <v>0</v>
      </c>
      <c r="DY32" s="19">
        <v>0</v>
      </c>
      <c r="DZ32" s="19">
        <v>17.175632160869306</v>
      </c>
      <c r="EA32" s="23">
        <f>DataTable[[#This Row],[Sens_11]]/AVERAGEIF(DataTable[Strålkälla],DataTable[[#This Row],[Strålkälla]],DataTable[Sens_11])</f>
        <v>1.0003286556349402</v>
      </c>
      <c r="EB32" s="19">
        <v>1791</v>
      </c>
      <c r="EC32" s="19">
        <v>2162</v>
      </c>
      <c r="ED32" s="19">
        <v>9.4E-2</v>
      </c>
      <c r="EE32" s="19">
        <v>3.5999999999999997E-2</v>
      </c>
      <c r="EF32" s="19">
        <v>2.7E-2</v>
      </c>
      <c r="EG32" s="19">
        <v>1999171</v>
      </c>
      <c r="EH32" s="19">
        <v>471</v>
      </c>
      <c r="EI32" s="19">
        <v>0</v>
      </c>
      <c r="EJ32" s="19">
        <v>0</v>
      </c>
      <c r="EK32" s="19">
        <v>20.482499321571627</v>
      </c>
      <c r="EL32" s="23">
        <f>DataTable[[#This Row],[Sens_12]]/AVERAGEIF(DataTable[Strålkälla],DataTable[[#This Row],[Strålkälla]],DataTable[Sens_12])</f>
        <v>1.0007388525932306</v>
      </c>
      <c r="EM32" s="19">
        <v>1508</v>
      </c>
      <c r="EN32" s="19">
        <v>1801</v>
      </c>
      <c r="EO32" s="19">
        <v>8.8999999999999996E-2</v>
      </c>
      <c r="EP32" s="19">
        <v>4.1000000000000002E-2</v>
      </c>
      <c r="EQ32" s="19">
        <v>2.7E-2</v>
      </c>
      <c r="ER32" s="19">
        <v>1702858</v>
      </c>
      <c r="ES32" s="19">
        <v>506</v>
      </c>
      <c r="ET32" s="19">
        <v>0</v>
      </c>
      <c r="EU32" s="19">
        <v>0</v>
      </c>
      <c r="EV32" s="19">
        <v>16.239843142061591</v>
      </c>
      <c r="EW32" s="19">
        <f>DataTable[[#This Row],[Sens_13]]/AVERAGEIF(DataTable[Strålkälla],DataTable[[#This Row],[Strålkälla]],DataTable[Sens_13])</f>
        <v>1.0003991226840458</v>
      </c>
      <c r="EX32" s="19">
        <v>1228</v>
      </c>
      <c r="EY32" s="19">
        <v>1584</v>
      </c>
      <c r="EZ32" s="19">
        <v>0.127</v>
      </c>
      <c r="FA32" s="19">
        <v>5.0999999999999997E-2</v>
      </c>
      <c r="FB32" s="19">
        <v>3.1E-2</v>
      </c>
      <c r="FC32" s="19">
        <v>1453096</v>
      </c>
      <c r="FD32" s="19">
        <v>506</v>
      </c>
      <c r="FE32" s="19">
        <v>1</v>
      </c>
      <c r="FF32" s="19">
        <v>0</v>
      </c>
      <c r="FG32" s="19">
        <v>13.857908945054215</v>
      </c>
      <c r="FH32" s="19">
        <f>DataTable[[#This Row],[Sens_14]]/AVERAGEIF(DataTable[Strålkälla],DataTable[[#This Row],[Strålkälla]],DataTable[Sens_14])</f>
        <v>1.000357631295107</v>
      </c>
      <c r="FI32" s="19">
        <v>1422</v>
      </c>
      <c r="FJ32" s="19">
        <v>1700</v>
      </c>
      <c r="FK32" s="19">
        <v>8.8999999999999996E-2</v>
      </c>
      <c r="FL32" s="19">
        <v>4.5999999999999999E-2</v>
      </c>
      <c r="FM32" s="19">
        <v>2.7E-2</v>
      </c>
      <c r="FN32" s="19">
        <v>1620350</v>
      </c>
      <c r="FO32" s="19">
        <v>506</v>
      </c>
      <c r="FP32" s="19">
        <v>0</v>
      </c>
      <c r="FQ32" s="19">
        <v>0</v>
      </c>
      <c r="FR32" s="19">
        <v>15.452979541006647</v>
      </c>
      <c r="FS32" s="19">
        <f>DataTable[[#This Row],[Sens_15]]/AVERAGEIF(DataTable[Strålkälla],DataTable[[#This Row],[Strålkälla]],DataTable[Sens_15])</f>
        <v>0.99911808232123533</v>
      </c>
      <c r="FT32" s="19">
        <v>1295</v>
      </c>
      <c r="FU32" s="19">
        <v>1574</v>
      </c>
      <c r="FV32" s="19">
        <v>9.7000000000000003E-2</v>
      </c>
      <c r="FW32" s="19">
        <v>4.3999999999999997E-2</v>
      </c>
      <c r="FX32" s="19">
        <v>2.9000000000000001E-2</v>
      </c>
      <c r="FY32" s="19">
        <v>1464018</v>
      </c>
      <c r="FZ32" s="19">
        <v>506</v>
      </c>
      <c r="GA32" s="19">
        <v>0</v>
      </c>
      <c r="GB32" s="19">
        <v>0</v>
      </c>
      <c r="GC32" s="19">
        <v>13.962070047622717</v>
      </c>
      <c r="GD32" s="19">
        <f>DataTable[[#This Row],[Sens_16]]/AVERAGEIF(DataTable[Strålkälla],DataTable[[#This Row],[Strålkälla]],DataTable[Sens_16])</f>
        <v>0.99982975145730402</v>
      </c>
      <c r="GE32" s="19">
        <v>1260</v>
      </c>
      <c r="GF32" s="19">
        <v>1617</v>
      </c>
      <c r="GG32" s="19">
        <v>0.124</v>
      </c>
      <c r="GH32" s="19">
        <v>6.3E-2</v>
      </c>
      <c r="GI32" s="19">
        <v>0.03</v>
      </c>
      <c r="GJ32" s="19">
        <v>1411300</v>
      </c>
      <c r="GK32" s="19">
        <v>506</v>
      </c>
      <c r="GL32" s="19">
        <v>0</v>
      </c>
      <c r="GM32" s="19">
        <v>3</v>
      </c>
      <c r="GN32" s="19">
        <v>13.459308190343247</v>
      </c>
      <c r="GO32" s="19">
        <f>DataTable[[#This Row],[Sens_17]]/AVERAGEIF(DataTable[Strålkälla],DataTable[[#This Row],[Strålkälla]],DataTable[Sens_17])</f>
        <v>1.0011529640725525</v>
      </c>
      <c r="GP32" s="19">
        <v>1465</v>
      </c>
      <c r="GQ32" s="19">
        <v>1763</v>
      </c>
      <c r="GR32" s="19">
        <v>9.1999999999999998E-2</v>
      </c>
      <c r="GS32" s="19">
        <v>3.7999999999999999E-2</v>
      </c>
      <c r="GT32" s="19">
        <v>2.7E-2</v>
      </c>
      <c r="GU32" s="19">
        <v>1634002</v>
      </c>
      <c r="GV32" s="19">
        <v>506</v>
      </c>
      <c r="GW32" s="19">
        <v>0</v>
      </c>
      <c r="GX32" s="19">
        <v>0</v>
      </c>
      <c r="GY32" s="19">
        <v>15.583176150809358</v>
      </c>
      <c r="GZ32" s="19">
        <f>DataTable[[#This Row],[Sens_18]]/AVERAGEIF(DataTable[Strålkälla],DataTable[[#This Row],[Strålkälla]],DataTable[Sens_18])</f>
        <v>1.0016278257059112</v>
      </c>
      <c r="HA32" s="19">
        <v>1319</v>
      </c>
      <c r="HB32" s="19">
        <v>1606</v>
      </c>
      <c r="HC32" s="19">
        <v>9.8000000000000004E-2</v>
      </c>
      <c r="HD32" s="19">
        <v>4.2000000000000003E-2</v>
      </c>
      <c r="HE32" s="19">
        <v>0.03</v>
      </c>
      <c r="HF32" s="19">
        <v>1486859</v>
      </c>
      <c r="HG32" s="19">
        <v>506</v>
      </c>
      <c r="HH32" s="19">
        <v>0</v>
      </c>
      <c r="HI32" s="19">
        <v>0</v>
      </c>
      <c r="HJ32" s="19">
        <v>14.17990045814892</v>
      </c>
      <c r="HK32" s="19">
        <f>DataTable[[#This Row],[Sens_19]]/AVERAGEIF(DataTable[Strålkälla],DataTable[[#This Row],[Strålkälla]],DataTable[Sens_19])</f>
        <v>1.0006725952541091</v>
      </c>
      <c r="HL32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0.127</v>
      </c>
      <c r="HM32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9.6210526315789482E-2</v>
      </c>
      <c r="HN32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6.3E-2</v>
      </c>
      <c r="HO32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4.2473684210526323E-2</v>
      </c>
      <c r="HP32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0.99911808232123533</v>
      </c>
      <c r="HQ32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1.0005798090742624</v>
      </c>
      <c r="HR32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1.0021573139773572</v>
      </c>
      <c r="HS32" s="49"/>
    </row>
    <row r="33" spans="2:227" x14ac:dyDescent="0.25">
      <c r="B33" s="19" t="s">
        <v>43</v>
      </c>
      <c r="C33" s="20">
        <v>42445</v>
      </c>
      <c r="D33" s="21">
        <v>0.36173611111111109</v>
      </c>
      <c r="E33" s="13" t="s">
        <v>217</v>
      </c>
      <c r="F33" s="13">
        <v>109.8</v>
      </c>
      <c r="G33" s="13">
        <v>134.19999999999999</v>
      </c>
      <c r="H33" s="24">
        <v>24.467300000000002</v>
      </c>
      <c r="I33" s="22">
        <f>MATCH(DataTable[[#This Row],[Datum]],Övrigt!$D$10:$M$10,1)</f>
        <v>1</v>
      </c>
      <c r="J33" s="13"/>
      <c r="K33" s="22">
        <v>1768</v>
      </c>
      <c r="L33" s="22">
        <v>2253</v>
      </c>
      <c r="M33" s="23">
        <v>0.121</v>
      </c>
      <c r="N33" s="23">
        <v>5.7000000000000002E-2</v>
      </c>
      <c r="O33" s="23">
        <v>2.5999999999999999E-2</v>
      </c>
      <c r="P33" s="22">
        <v>2078059</v>
      </c>
      <c r="Q33" s="24">
        <v>486</v>
      </c>
      <c r="R33" s="22">
        <v>1</v>
      </c>
      <c r="S33" s="22">
        <v>1</v>
      </c>
      <c r="T33" s="19">
        <v>20.73915661422582</v>
      </c>
      <c r="U33" s="23">
        <f>DataTable[[#This Row],[Sens_1]]/AVERAGEIF(DataTable[Strålkälla],DataTable[[#This Row],[Strålkälla]],DataTable[Sens_1])</f>
        <v>1.0016987033606017</v>
      </c>
      <c r="V33" s="22">
        <v>2159</v>
      </c>
      <c r="W33" s="22">
        <v>2623</v>
      </c>
      <c r="X33" s="23">
        <v>9.7000000000000003E-2</v>
      </c>
      <c r="Y33" s="23">
        <v>3.4000000000000002E-2</v>
      </c>
      <c r="Z33" s="23">
        <v>2.5000000000000001E-2</v>
      </c>
      <c r="AA33" s="22">
        <v>2451793</v>
      </c>
      <c r="AB33" s="24">
        <v>486</v>
      </c>
      <c r="AC33" s="22">
        <v>0</v>
      </c>
      <c r="AD33" s="22">
        <v>0</v>
      </c>
      <c r="AE33" s="19">
        <v>24.469044917715312</v>
      </c>
      <c r="AF33" s="23">
        <f>DataTable[[#This Row],[Sens_2]]/AVERAGEIF(DataTable[Strålkälla],DataTable[[#This Row],[Strålkälla]],DataTable[Sens_2])</f>
        <v>1.001394920937996</v>
      </c>
      <c r="AG33" s="22">
        <v>1935</v>
      </c>
      <c r="AH33" s="22">
        <v>2324</v>
      </c>
      <c r="AI33" s="23">
        <v>9.0999999999999998E-2</v>
      </c>
      <c r="AJ33" s="23">
        <v>3.2000000000000001E-2</v>
      </c>
      <c r="AK33" s="23">
        <v>2.5999999999999999E-2</v>
      </c>
      <c r="AL33" s="22">
        <v>2168735</v>
      </c>
      <c r="AM33" s="24">
        <v>486</v>
      </c>
      <c r="AN33" s="22">
        <v>0</v>
      </c>
      <c r="AO33" s="22">
        <v>0</v>
      </c>
      <c r="AP33" s="19">
        <v>21.644108670520438</v>
      </c>
      <c r="AQ33" s="23">
        <f>DataTable[[#This Row],[Sens_3]]/AVERAGEIF(DataTable[Strålkälla],DataTable[[#This Row],[Strålkälla]],DataTable[Sens_3])</f>
        <v>1.0003726115828464</v>
      </c>
      <c r="AR33" s="22">
        <v>1845</v>
      </c>
      <c r="AS33" s="22">
        <v>2235</v>
      </c>
      <c r="AT33" s="23">
        <v>9.6000000000000002E-2</v>
      </c>
      <c r="AU33" s="23">
        <v>4.2999999999999997E-2</v>
      </c>
      <c r="AV33" s="23">
        <v>2.5000000000000001E-2</v>
      </c>
      <c r="AW33" s="22">
        <v>2067724</v>
      </c>
      <c r="AX33" s="24">
        <v>486</v>
      </c>
      <c r="AY33" s="22">
        <v>0</v>
      </c>
      <c r="AZ33" s="22">
        <v>1</v>
      </c>
      <c r="BA33" s="19">
        <v>20.636012678655163</v>
      </c>
      <c r="BB33" s="23">
        <f>DataTable[[#This Row],[Sens_4]]/AVERAGEIF(DataTable[Strålkälla],DataTable[[#This Row],[Strålkälla]],DataTable[Sens_4])</f>
        <v>1.00213924397845</v>
      </c>
      <c r="BC33" s="22">
        <v>2049</v>
      </c>
      <c r="BD33" s="22">
        <v>2459</v>
      </c>
      <c r="BE33" s="19">
        <v>9.0999999999999998E-2</v>
      </c>
      <c r="BF33" s="19">
        <v>3.5000000000000003E-2</v>
      </c>
      <c r="BG33" s="19">
        <v>2.4E-2</v>
      </c>
      <c r="BH33" s="19">
        <v>2309348</v>
      </c>
      <c r="BI33" s="19">
        <v>486</v>
      </c>
      <c r="BJ33" s="19">
        <v>0</v>
      </c>
      <c r="BK33" s="19">
        <v>0</v>
      </c>
      <c r="BL33" s="19">
        <v>23.0474350577867</v>
      </c>
      <c r="BM33" s="23">
        <f>DataTable[[#This Row],[Sens_5]]/AVERAGEIF(DataTable[Strålkälla],DataTable[[#This Row],[Strålkälla]],DataTable[Sens_5])</f>
        <v>1.0009218377504543</v>
      </c>
      <c r="BN33" s="19">
        <v>2100</v>
      </c>
      <c r="BO33" s="19">
        <v>2495</v>
      </c>
      <c r="BP33" s="19">
        <v>8.5999999999999993E-2</v>
      </c>
      <c r="BQ33" s="19">
        <v>3.6999999999999998E-2</v>
      </c>
      <c r="BR33" s="19">
        <v>2.4E-2</v>
      </c>
      <c r="BS33" s="19">
        <v>2306223</v>
      </c>
      <c r="BT33" s="19">
        <v>486</v>
      </c>
      <c r="BU33" s="19">
        <v>0</v>
      </c>
      <c r="BV33" s="19">
        <v>1</v>
      </c>
      <c r="BW33" s="19">
        <v>23.016247365608827</v>
      </c>
      <c r="BX33" s="23">
        <f>DataTable[[#This Row],[Sens_6]]/AVERAGEIF(DataTable[Strålkälla],DataTable[[#This Row],[Strålkälla]],DataTable[Sens_6])</f>
        <v>1.0028216089562441</v>
      </c>
      <c r="BY33" s="19">
        <v>1875</v>
      </c>
      <c r="BZ33" s="19">
        <v>2234</v>
      </c>
      <c r="CA33" s="19">
        <v>8.6999999999999994E-2</v>
      </c>
      <c r="CB33" s="19">
        <v>3.5999999999999997E-2</v>
      </c>
      <c r="CC33" s="19">
        <v>2.5999999999999999E-2</v>
      </c>
      <c r="CD33" s="19">
        <v>2112202</v>
      </c>
      <c r="CE33" s="19">
        <v>486</v>
      </c>
      <c r="CF33" s="19">
        <v>0</v>
      </c>
      <c r="CG33" s="19">
        <v>0</v>
      </c>
      <c r="CH33" s="19">
        <v>21.079905853915122</v>
      </c>
      <c r="CI33" s="23">
        <f>DataTable[[#This Row],[Sens_7]]/AVERAGEIF(DataTable[Strålkälla],DataTable[[#This Row],[Strålkälla]],DataTable[Sens_7])</f>
        <v>1.0029532211765921</v>
      </c>
      <c r="CJ33" s="19">
        <v>2168</v>
      </c>
      <c r="CK33" s="19">
        <v>2580</v>
      </c>
      <c r="CL33" s="19">
        <v>8.6999999999999994E-2</v>
      </c>
      <c r="CM33" s="19">
        <v>3.1E-2</v>
      </c>
      <c r="CN33" s="19">
        <v>2.5000000000000001E-2</v>
      </c>
      <c r="CO33" s="19">
        <v>2449862</v>
      </c>
      <c r="CP33" s="19">
        <v>486</v>
      </c>
      <c r="CQ33" s="19">
        <v>0</v>
      </c>
      <c r="CR33" s="19">
        <v>0</v>
      </c>
      <c r="CS33" s="19">
        <v>24.449773418964764</v>
      </c>
      <c r="CT33" s="23">
        <f>DataTable[[#This Row],[Sens_8]]/AVERAGEIF(DataTable[Strålkälla],DataTable[[#This Row],[Strålkälla]],DataTable[Sens_8])</f>
        <v>1.0021265677145543</v>
      </c>
      <c r="CU33" s="19">
        <v>1740</v>
      </c>
      <c r="CV33" s="19">
        <v>2106</v>
      </c>
      <c r="CW33" s="19">
        <v>9.5000000000000001E-2</v>
      </c>
      <c r="CX33" s="19">
        <v>4.7E-2</v>
      </c>
      <c r="CY33" s="19">
        <v>2.7E-2</v>
      </c>
      <c r="CZ33" s="19">
        <v>1973223</v>
      </c>
      <c r="DA33" s="19">
        <v>473</v>
      </c>
      <c r="DB33" s="19">
        <v>0</v>
      </c>
      <c r="DC33" s="19">
        <v>0</v>
      </c>
      <c r="DD33" s="19">
        <v>20.234129021453544</v>
      </c>
      <c r="DE33" s="23">
        <f>DataTable[[#This Row],[Sens_9]]/AVERAGEIF(DataTable[Strålkälla],DataTable[[#This Row],[Strålkälla]],DataTable[Sens_9])</f>
        <v>1.0025912531489267</v>
      </c>
      <c r="DF33" s="19">
        <v>1706</v>
      </c>
      <c r="DG33" s="19">
        <v>2080</v>
      </c>
      <c r="DH33" s="19">
        <v>9.9000000000000005E-2</v>
      </c>
      <c r="DI33" s="19">
        <v>3.4000000000000002E-2</v>
      </c>
      <c r="DJ33" s="19">
        <v>2.5999999999999999E-2</v>
      </c>
      <c r="DK33" s="19">
        <v>1906008</v>
      </c>
      <c r="DL33" s="19">
        <v>473</v>
      </c>
      <c r="DM33" s="19">
        <v>0</v>
      </c>
      <c r="DN33" s="19">
        <v>1</v>
      </c>
      <c r="DO33" s="19">
        <v>19.544882554036025</v>
      </c>
      <c r="DP33" s="23">
        <f>DataTable[[#This Row],[Sens_10]]/AVERAGEIF(DataTable[Strålkälla],DataTable[[#This Row],[Strålkälla]],DataTable[Sens_10])</f>
        <v>1.0017776401090568</v>
      </c>
      <c r="DQ33" s="19">
        <v>1435</v>
      </c>
      <c r="DR33" s="19">
        <v>1789</v>
      </c>
      <c r="DS33" s="19">
        <v>0.11</v>
      </c>
      <c r="DT33" s="19">
        <v>4.1000000000000002E-2</v>
      </c>
      <c r="DU33" s="19">
        <v>2.8000000000000001E-2</v>
      </c>
      <c r="DV33" s="19">
        <v>1674058</v>
      </c>
      <c r="DW33" s="19">
        <v>473</v>
      </c>
      <c r="DX33" s="19">
        <v>1</v>
      </c>
      <c r="DY33" s="19">
        <v>0</v>
      </c>
      <c r="DZ33" s="19">
        <v>17.166384925270219</v>
      </c>
      <c r="EA33" s="23">
        <f>DataTable[[#This Row],[Sens_11]]/AVERAGEIF(DataTable[Strålkälla],DataTable[[#This Row],[Strålkälla]],DataTable[Sens_11])</f>
        <v>0.9997900859526988</v>
      </c>
      <c r="EB33" s="19">
        <v>1807</v>
      </c>
      <c r="EC33" s="19">
        <v>2144</v>
      </c>
      <c r="ED33" s="19">
        <v>8.5000000000000006E-2</v>
      </c>
      <c r="EE33" s="19">
        <v>4.1000000000000002E-2</v>
      </c>
      <c r="EF33" s="19">
        <v>2.5999999999999999E-2</v>
      </c>
      <c r="EG33" s="19">
        <v>1999351</v>
      </c>
      <c r="EH33" s="19">
        <v>473</v>
      </c>
      <c r="EI33" s="19">
        <v>0</v>
      </c>
      <c r="EJ33" s="19">
        <v>0</v>
      </c>
      <c r="EK33" s="19">
        <v>20.50205480737462</v>
      </c>
      <c r="EL33" s="23">
        <f>DataTable[[#This Row],[Sens_12]]/AVERAGEIF(DataTable[Strålkälla],DataTable[[#This Row],[Strålkälla]],DataTable[Sens_12])</f>
        <v>1.0016942991975315</v>
      </c>
      <c r="EM33" s="19">
        <v>1508</v>
      </c>
      <c r="EN33" s="19">
        <v>1831</v>
      </c>
      <c r="EO33" s="19">
        <v>9.7000000000000003E-2</v>
      </c>
      <c r="EP33" s="19">
        <v>4.3999999999999997E-2</v>
      </c>
      <c r="EQ33" s="19">
        <v>2.8000000000000001E-2</v>
      </c>
      <c r="ER33" s="19">
        <v>1703669</v>
      </c>
      <c r="ES33" s="19">
        <v>508</v>
      </c>
      <c r="ET33" s="19">
        <v>0</v>
      </c>
      <c r="EU33" s="19">
        <v>0</v>
      </c>
      <c r="EV33" s="19">
        <v>16.266383062463884</v>
      </c>
      <c r="EW33" s="19">
        <f>DataTable[[#This Row],[Sens_13]]/AVERAGEIF(DataTable[Strålkälla],DataTable[[#This Row],[Strålkälla]],DataTable[Sens_13])</f>
        <v>1.0020340222858648</v>
      </c>
      <c r="EX33" s="19">
        <v>1289</v>
      </c>
      <c r="EY33" s="19">
        <v>1590</v>
      </c>
      <c r="EZ33" s="19">
        <v>0.105</v>
      </c>
      <c r="FA33" s="19">
        <v>3.7999999999999999E-2</v>
      </c>
      <c r="FB33" s="19">
        <v>0.03</v>
      </c>
      <c r="FC33" s="19">
        <v>1454378</v>
      </c>
      <c r="FD33" s="19">
        <v>508</v>
      </c>
      <c r="FE33" s="19">
        <v>0</v>
      </c>
      <c r="FF33" s="19">
        <v>1</v>
      </c>
      <c r="FG33" s="19">
        <v>13.886188963713078</v>
      </c>
      <c r="FH33" s="19">
        <f>DataTable[[#This Row],[Sens_14]]/AVERAGEIF(DataTable[Strålkälla],DataTable[[#This Row],[Strålkälla]],DataTable[Sens_14])</f>
        <v>1.0023990743866102</v>
      </c>
      <c r="FI33" s="19">
        <v>1420</v>
      </c>
      <c r="FJ33" s="19">
        <v>1732</v>
      </c>
      <c r="FK33" s="19">
        <v>9.9000000000000005E-2</v>
      </c>
      <c r="FL33" s="19">
        <v>4.5999999999999999E-2</v>
      </c>
      <c r="FM33" s="19">
        <v>2.9000000000000001E-2</v>
      </c>
      <c r="FN33" s="19">
        <v>1621822</v>
      </c>
      <c r="FO33" s="19">
        <v>508</v>
      </c>
      <c r="FP33" s="19">
        <v>0</v>
      </c>
      <c r="FQ33" s="19">
        <v>0</v>
      </c>
      <c r="FR33" s="19">
        <v>15.484919847183519</v>
      </c>
      <c r="FS33" s="19">
        <f>DataTable[[#This Row],[Sens_15]]/AVERAGEIF(DataTable[Strålkälla],DataTable[[#This Row],[Strålkälla]],DataTable[Sens_15])</f>
        <v>1.0011831945781633</v>
      </c>
      <c r="FT33" s="19">
        <v>1312</v>
      </c>
      <c r="FU33" s="19">
        <v>1585</v>
      </c>
      <c r="FV33" s="19">
        <v>9.4E-2</v>
      </c>
      <c r="FW33" s="19">
        <v>3.9E-2</v>
      </c>
      <c r="FX33" s="19">
        <v>2.9000000000000001E-2</v>
      </c>
      <c r="FY33" s="19">
        <v>1461421</v>
      </c>
      <c r="FZ33" s="19">
        <v>508</v>
      </c>
      <c r="GA33" s="19">
        <v>0</v>
      </c>
      <c r="GB33" s="19">
        <v>0</v>
      </c>
      <c r="GC33" s="19">
        <v>13.953434500204576</v>
      </c>
      <c r="GD33" s="19">
        <f>DataTable[[#This Row],[Sens_16]]/AVERAGEIF(DataTable[Strålkälla],DataTable[[#This Row],[Strålkälla]],DataTable[Sens_16])</f>
        <v>0.9992113562480458</v>
      </c>
      <c r="GE33" s="19">
        <v>1224</v>
      </c>
      <c r="GF33" s="19">
        <v>1552</v>
      </c>
      <c r="GG33" s="19">
        <v>0.11799999999999999</v>
      </c>
      <c r="GH33" s="19">
        <v>5.3999999999999999E-2</v>
      </c>
      <c r="GI33" s="19">
        <v>3.1E-2</v>
      </c>
      <c r="GJ33" s="19">
        <v>1408027</v>
      </c>
      <c r="GK33" s="19">
        <v>508</v>
      </c>
      <c r="GL33" s="19">
        <v>0</v>
      </c>
      <c r="GM33" s="19">
        <v>1</v>
      </c>
      <c r="GN33" s="19">
        <v>13.443636377894904</v>
      </c>
      <c r="GO33" s="19">
        <f>DataTable[[#This Row],[Sens_17]]/AVERAGEIF(DataTable[Strålkälla],DataTable[[#This Row],[Strålkälla]],DataTable[Sens_17])</f>
        <v>0.99998723688485758</v>
      </c>
      <c r="GP33" s="19">
        <v>1467</v>
      </c>
      <c r="GQ33" s="19">
        <v>1762</v>
      </c>
      <c r="GR33" s="19">
        <v>9.0999999999999998E-2</v>
      </c>
      <c r="GS33" s="19">
        <v>4.2999999999999997E-2</v>
      </c>
      <c r="GT33" s="19">
        <v>2.9000000000000001E-2</v>
      </c>
      <c r="GU33" s="19">
        <v>1636127</v>
      </c>
      <c r="GV33" s="19">
        <v>508</v>
      </c>
      <c r="GW33" s="19">
        <v>0</v>
      </c>
      <c r="GX33" s="19">
        <v>0</v>
      </c>
      <c r="GY33" s="19">
        <v>15.621501900216442</v>
      </c>
      <c r="GZ33" s="19">
        <f>DataTable[[#This Row],[Sens_18]]/AVERAGEIF(DataTable[Strålkälla],DataTable[[#This Row],[Strålkälla]],DataTable[Sens_18])</f>
        <v>1.0040912604175298</v>
      </c>
      <c r="HA33" s="19">
        <v>1251</v>
      </c>
      <c r="HB33" s="19">
        <v>1611</v>
      </c>
      <c r="HC33" s="19">
        <v>0.126</v>
      </c>
      <c r="HD33" s="19">
        <v>5.2999999999999999E-2</v>
      </c>
      <c r="HE33" s="19">
        <v>3.1E-2</v>
      </c>
      <c r="HF33" s="19">
        <v>1486847</v>
      </c>
      <c r="HG33" s="19">
        <v>508</v>
      </c>
      <c r="HH33" s="19">
        <v>1</v>
      </c>
      <c r="HI33" s="19">
        <v>0</v>
      </c>
      <c r="HJ33" s="19">
        <v>14.196198238786547</v>
      </c>
      <c r="HK33" s="19">
        <f>DataTable[[#This Row],[Sens_19]]/AVERAGEIF(DataTable[Strålkälla],DataTable[[#This Row],[Strålkälla]],DataTable[Sens_19])</f>
        <v>1.0018227262085309</v>
      </c>
      <c r="HL33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0.126</v>
      </c>
      <c r="HM33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9.8684210526315791E-2</v>
      </c>
      <c r="HN33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5.7000000000000002E-2</v>
      </c>
      <c r="HO33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4.1315789473684215E-2</v>
      </c>
      <c r="HP33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0.9992113562480458</v>
      </c>
      <c r="HQ33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1.0016321507829238</v>
      </c>
      <c r="HR33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1.0040912604175298</v>
      </c>
      <c r="HS33" s="49"/>
    </row>
    <row r="34" spans="2:227" x14ac:dyDescent="0.25">
      <c r="B34" s="19" t="s">
        <v>43</v>
      </c>
      <c r="C34" s="20">
        <v>42446</v>
      </c>
      <c r="D34" s="21">
        <v>0.35855324074074074</v>
      </c>
      <c r="E34" s="13" t="s">
        <v>217</v>
      </c>
      <c r="F34" s="13">
        <v>109.8</v>
      </c>
      <c r="G34" s="13">
        <v>134.19999999999999</v>
      </c>
      <c r="H34" s="24">
        <v>24.552900000000001</v>
      </c>
      <c r="I34" s="22">
        <f>MATCH(DataTable[[#This Row],[Datum]],Övrigt!$D$10:$M$10,1)</f>
        <v>1</v>
      </c>
      <c r="J34" s="13"/>
      <c r="K34" s="22">
        <v>1781</v>
      </c>
      <c r="L34" s="22">
        <v>2300</v>
      </c>
      <c r="M34" s="23">
        <v>0.127</v>
      </c>
      <c r="N34" s="23">
        <v>4.9000000000000002E-2</v>
      </c>
      <c r="O34" s="23">
        <v>2.7E-2</v>
      </c>
      <c r="P34" s="22">
        <v>2081825</v>
      </c>
      <c r="Q34" s="24">
        <v>488</v>
      </c>
      <c r="R34" s="22">
        <v>1</v>
      </c>
      <c r="S34" s="22">
        <v>1</v>
      </c>
      <c r="T34" s="19">
        <v>20.744437878493084</v>
      </c>
      <c r="U34" s="23">
        <f>DataTable[[#This Row],[Sens_1]]/AVERAGEIF(DataTable[Strålkälla],DataTable[[#This Row],[Strålkälla]],DataTable[Sens_1])</f>
        <v>1.0019537877725202</v>
      </c>
      <c r="V34" s="22">
        <v>2086</v>
      </c>
      <c r="W34" s="22">
        <v>2681</v>
      </c>
      <c r="X34" s="23">
        <v>0.125</v>
      </c>
      <c r="Y34" s="23">
        <v>4.9000000000000002E-2</v>
      </c>
      <c r="Z34" s="23">
        <v>2.5000000000000001E-2</v>
      </c>
      <c r="AA34" s="22">
        <v>2455671</v>
      </c>
      <c r="AB34" s="24">
        <v>488</v>
      </c>
      <c r="AC34" s="22">
        <v>1</v>
      </c>
      <c r="AD34" s="22">
        <v>2</v>
      </c>
      <c r="AE34" s="19">
        <v>24.469642986090086</v>
      </c>
      <c r="AF34" s="23">
        <f>DataTable[[#This Row],[Sens_2]]/AVERAGEIF(DataTable[Strålkälla],DataTable[[#This Row],[Strålkälla]],DataTable[Sens_2])</f>
        <v>1.00141939686809</v>
      </c>
      <c r="AG34" s="22">
        <v>1920</v>
      </c>
      <c r="AH34" s="22">
        <v>2313</v>
      </c>
      <c r="AI34" s="23">
        <v>9.2999999999999999E-2</v>
      </c>
      <c r="AJ34" s="23">
        <v>0.04</v>
      </c>
      <c r="AK34" s="23">
        <v>2.5000000000000001E-2</v>
      </c>
      <c r="AL34" s="22">
        <v>2170466</v>
      </c>
      <c r="AM34" s="24">
        <v>488</v>
      </c>
      <c r="AN34" s="22">
        <v>0</v>
      </c>
      <c r="AO34" s="22">
        <v>0</v>
      </c>
      <c r="AP34" s="19">
        <v>21.627705068572705</v>
      </c>
      <c r="AQ34" s="23">
        <f>DataTable[[#This Row],[Sens_3]]/AVERAGEIF(DataTable[Strålkälla],DataTable[[#This Row],[Strålkälla]],DataTable[Sens_3])</f>
        <v>0.99961445081172762</v>
      </c>
      <c r="AR34" s="22">
        <v>1810</v>
      </c>
      <c r="AS34" s="22">
        <v>2234</v>
      </c>
      <c r="AT34" s="23">
        <v>0.105</v>
      </c>
      <c r="AU34" s="23">
        <v>3.5999999999999997E-2</v>
      </c>
      <c r="AV34" s="23">
        <v>2.5999999999999999E-2</v>
      </c>
      <c r="AW34" s="22">
        <v>2063491</v>
      </c>
      <c r="AX34" s="24">
        <v>488</v>
      </c>
      <c r="AY34" s="22">
        <v>0</v>
      </c>
      <c r="AZ34" s="22">
        <v>1</v>
      </c>
      <c r="BA34" s="19">
        <v>20.56174791941185</v>
      </c>
      <c r="BB34" s="23">
        <f>DataTable[[#This Row],[Sens_4]]/AVERAGEIF(DataTable[Strålkälla],DataTable[[#This Row],[Strålkälla]],DataTable[Sens_4])</f>
        <v>0.99853275124939123</v>
      </c>
      <c r="BC34" s="22">
        <v>2073</v>
      </c>
      <c r="BD34" s="22">
        <v>2425</v>
      </c>
      <c r="BE34" s="19">
        <v>7.8E-2</v>
      </c>
      <c r="BF34" s="19">
        <v>3.7999999999999999E-2</v>
      </c>
      <c r="BG34" s="19">
        <v>2.3E-2</v>
      </c>
      <c r="BH34" s="19">
        <v>2311640</v>
      </c>
      <c r="BI34" s="19">
        <v>488</v>
      </c>
      <c r="BJ34" s="19">
        <v>0</v>
      </c>
      <c r="BK34" s="19">
        <v>0</v>
      </c>
      <c r="BL34" s="19">
        <v>23.034439675496142</v>
      </c>
      <c r="BM34" s="23">
        <f>DataTable[[#This Row],[Sens_5]]/AVERAGEIF(DataTable[Strålkälla],DataTable[[#This Row],[Strålkälla]],DataTable[Sens_5])</f>
        <v>1.0003574642359212</v>
      </c>
      <c r="BN34" s="19">
        <v>2054</v>
      </c>
      <c r="BO34" s="19">
        <v>2413</v>
      </c>
      <c r="BP34" s="19">
        <v>0.08</v>
      </c>
      <c r="BQ34" s="19">
        <v>3.5000000000000003E-2</v>
      </c>
      <c r="BR34" s="19">
        <v>2.5000000000000001E-2</v>
      </c>
      <c r="BS34" s="19">
        <v>2303582</v>
      </c>
      <c r="BT34" s="19">
        <v>488</v>
      </c>
      <c r="BU34" s="19">
        <v>0</v>
      </c>
      <c r="BV34" s="19">
        <v>0</v>
      </c>
      <c r="BW34" s="19">
        <v>22.954145375819227</v>
      </c>
      <c r="BX34" s="23">
        <f>DataTable[[#This Row],[Sens_6]]/AVERAGEIF(DataTable[Strålkälla],DataTable[[#This Row],[Strålkälla]],DataTable[Sens_6])</f>
        <v>1.0001158152475249</v>
      </c>
      <c r="BY34" s="19">
        <v>1852</v>
      </c>
      <c r="BZ34" s="19">
        <v>2270</v>
      </c>
      <c r="CA34" s="19">
        <v>0.10100000000000001</v>
      </c>
      <c r="CB34" s="19">
        <v>4.3999999999999997E-2</v>
      </c>
      <c r="CC34" s="19">
        <v>2.7E-2</v>
      </c>
      <c r="CD34" s="19">
        <v>2110897</v>
      </c>
      <c r="CE34" s="19">
        <v>488</v>
      </c>
      <c r="CF34" s="19">
        <v>0</v>
      </c>
      <c r="CG34" s="19">
        <v>0</v>
      </c>
      <c r="CH34" s="19">
        <v>21.034127116543139</v>
      </c>
      <c r="CI34" s="23">
        <f>DataTable[[#This Row],[Sens_7]]/AVERAGEIF(DataTable[Strålkälla],DataTable[[#This Row],[Strålkälla]],DataTable[Sens_7])</f>
        <v>1.0007751311781445</v>
      </c>
      <c r="CJ34" s="19">
        <v>2129</v>
      </c>
      <c r="CK34" s="19">
        <v>2609</v>
      </c>
      <c r="CL34" s="19">
        <v>0.10100000000000001</v>
      </c>
      <c r="CM34" s="19">
        <v>3.3000000000000002E-2</v>
      </c>
      <c r="CN34" s="19">
        <v>2.5000000000000001E-2</v>
      </c>
      <c r="CO34" s="19">
        <v>2446244</v>
      </c>
      <c r="CP34" s="19">
        <v>488</v>
      </c>
      <c r="CQ34" s="19">
        <v>1</v>
      </c>
      <c r="CR34" s="19">
        <v>0</v>
      </c>
      <c r="CS34" s="19">
        <v>24.375707224976374</v>
      </c>
      <c r="CT34" s="23">
        <f>DataTable[[#This Row],[Sens_8]]/AVERAGEIF(DataTable[Strålkälla],DataTable[[#This Row],[Strålkälla]],DataTable[Sens_8])</f>
        <v>0.99909080539915818</v>
      </c>
      <c r="CU34" s="19">
        <v>1740</v>
      </c>
      <c r="CV34" s="19">
        <v>2092</v>
      </c>
      <c r="CW34" s="19">
        <v>9.1999999999999998E-2</v>
      </c>
      <c r="CX34" s="19">
        <v>3.4000000000000002E-2</v>
      </c>
      <c r="CY34" s="19">
        <v>2.7E-2</v>
      </c>
      <c r="CZ34" s="19">
        <v>1973141</v>
      </c>
      <c r="DA34" s="19">
        <v>475</v>
      </c>
      <c r="DB34" s="19">
        <v>0</v>
      </c>
      <c r="DC34" s="19">
        <v>0</v>
      </c>
      <c r="DD34" s="19">
        <v>20.19955420106854</v>
      </c>
      <c r="DE34" s="23">
        <f>DataTable[[#This Row],[Sens_9]]/AVERAGEIF(DataTable[Strålkälla],DataTable[[#This Row],[Strålkälla]],DataTable[Sens_9])</f>
        <v>1.0008780876125971</v>
      </c>
      <c r="DF34" s="19">
        <v>1696</v>
      </c>
      <c r="DG34" s="19">
        <v>2044</v>
      </c>
      <c r="DH34" s="19">
        <v>9.2999999999999999E-2</v>
      </c>
      <c r="DI34" s="19">
        <v>5.7000000000000002E-2</v>
      </c>
      <c r="DJ34" s="19">
        <v>2.5999999999999999E-2</v>
      </c>
      <c r="DK34" s="19">
        <v>1908163</v>
      </c>
      <c r="DL34" s="19">
        <v>475</v>
      </c>
      <c r="DM34" s="19">
        <v>0</v>
      </c>
      <c r="DN34" s="19">
        <v>0</v>
      </c>
      <c r="DO34" s="19">
        <v>19.534357627241818</v>
      </c>
      <c r="DP34" s="23">
        <f>DataTable[[#This Row],[Sens_10]]/AVERAGEIF(DataTable[Strålkälla],DataTable[[#This Row],[Strålkälla]],DataTable[Sens_10])</f>
        <v>1.0012381824634522</v>
      </c>
      <c r="DQ34" s="19">
        <v>1489</v>
      </c>
      <c r="DR34" s="19">
        <v>1835</v>
      </c>
      <c r="DS34" s="19">
        <v>0.104</v>
      </c>
      <c r="DT34" s="19">
        <v>0.04</v>
      </c>
      <c r="DU34" s="19">
        <v>2.7E-2</v>
      </c>
      <c r="DV34" s="19">
        <v>1674843</v>
      </c>
      <c r="DW34" s="19">
        <v>475</v>
      </c>
      <c r="DX34" s="19">
        <v>0</v>
      </c>
      <c r="DY34" s="19">
        <v>1</v>
      </c>
      <c r="DZ34" s="19">
        <v>17.145800506289333</v>
      </c>
      <c r="EA34" s="23">
        <f>DataTable[[#This Row],[Sens_11]]/AVERAGEIF(DataTable[Strålkälla],DataTable[[#This Row],[Strålkälla]],DataTable[Sens_11])</f>
        <v>0.99859122561537239</v>
      </c>
      <c r="EB34" s="19">
        <v>1749</v>
      </c>
      <c r="EC34" s="19">
        <v>2143</v>
      </c>
      <c r="ED34" s="19">
        <v>0.10100000000000001</v>
      </c>
      <c r="EE34" s="19">
        <v>0.04</v>
      </c>
      <c r="EF34" s="19">
        <v>2.7E-2</v>
      </c>
      <c r="EG34" s="19">
        <v>1996314</v>
      </c>
      <c r="EH34" s="19">
        <v>475</v>
      </c>
      <c r="EI34" s="19">
        <v>0</v>
      </c>
      <c r="EJ34" s="19">
        <v>0</v>
      </c>
      <c r="EK34" s="19">
        <v>20.43678218908428</v>
      </c>
      <c r="EL34" s="23">
        <f>DataTable[[#This Row],[Sens_12]]/AVERAGEIF(DataTable[Strålkälla],DataTable[[#This Row],[Strålkälla]],DataTable[Sens_12])</f>
        <v>0.99850519399566606</v>
      </c>
      <c r="EM34" s="19">
        <v>1519</v>
      </c>
      <c r="EN34" s="19">
        <v>1874</v>
      </c>
      <c r="EO34" s="19">
        <v>0.105</v>
      </c>
      <c r="EP34" s="19">
        <v>4.5999999999999999E-2</v>
      </c>
      <c r="EQ34" s="19">
        <v>2.8000000000000001E-2</v>
      </c>
      <c r="ER34" s="19">
        <v>1704626</v>
      </c>
      <c r="ES34" s="19">
        <v>510</v>
      </c>
      <c r="ET34" s="19">
        <v>0</v>
      </c>
      <c r="EU34" s="19">
        <v>1</v>
      </c>
      <c r="EV34" s="19">
        <v>16.253099934776596</v>
      </c>
      <c r="EW34" s="19">
        <f>DataTable[[#This Row],[Sens_13]]/AVERAGEIF(DataTable[Strålkälla],DataTable[[#This Row],[Strålkälla]],DataTable[Sens_13])</f>
        <v>1.0012157613477128</v>
      </c>
      <c r="EX34" s="19">
        <v>1265</v>
      </c>
      <c r="EY34" s="19">
        <v>1595</v>
      </c>
      <c r="EZ34" s="19">
        <v>0.115</v>
      </c>
      <c r="FA34" s="19">
        <v>4.3999999999999997E-2</v>
      </c>
      <c r="FB34" s="19">
        <v>0.03</v>
      </c>
      <c r="FC34" s="19">
        <v>1453361</v>
      </c>
      <c r="FD34" s="19">
        <v>510</v>
      </c>
      <c r="FE34" s="19">
        <v>0</v>
      </c>
      <c r="FF34" s="19">
        <v>1</v>
      </c>
      <c r="FG34" s="19">
        <v>13.85736318365838</v>
      </c>
      <c r="FH34" s="19">
        <f>DataTable[[#This Row],[Sens_14]]/AVERAGEIF(DataTable[Strålkälla],DataTable[[#This Row],[Strålkälla]],DataTable[Sens_14])</f>
        <v>1.0003182345448935</v>
      </c>
      <c r="FI34" s="19">
        <v>1439</v>
      </c>
      <c r="FJ34" s="19">
        <v>1754</v>
      </c>
      <c r="FK34" s="19">
        <v>9.9000000000000005E-2</v>
      </c>
      <c r="FL34" s="19">
        <v>4.1000000000000002E-2</v>
      </c>
      <c r="FM34" s="19">
        <v>2.8000000000000001E-2</v>
      </c>
      <c r="FN34" s="19">
        <v>1621507</v>
      </c>
      <c r="FO34" s="19">
        <v>510</v>
      </c>
      <c r="FP34" s="19">
        <v>0</v>
      </c>
      <c r="FQ34" s="19">
        <v>0</v>
      </c>
      <c r="FR34" s="19">
        <v>15.46058508783733</v>
      </c>
      <c r="FS34" s="19">
        <f>DataTable[[#This Row],[Sens_15]]/AVERAGEIF(DataTable[Strålkälla],DataTable[[#This Row],[Strålkälla]],DataTable[Sens_15])</f>
        <v>0.99960982175208823</v>
      </c>
      <c r="FT34" s="19">
        <v>1272</v>
      </c>
      <c r="FU34" s="19">
        <v>1568</v>
      </c>
      <c r="FV34" s="19">
        <v>0.104</v>
      </c>
      <c r="FW34" s="19">
        <v>4.8000000000000001E-2</v>
      </c>
      <c r="FX34" s="19">
        <v>2.8000000000000001E-2</v>
      </c>
      <c r="FY34" s="19">
        <v>1462822</v>
      </c>
      <c r="FZ34" s="19">
        <v>510</v>
      </c>
      <c r="GA34" s="19">
        <v>0</v>
      </c>
      <c r="GB34" s="19">
        <v>0</v>
      </c>
      <c r="GC34" s="19">
        <v>13.947570993748641</v>
      </c>
      <c r="GD34" s="19">
        <f>DataTable[[#This Row],[Sens_16]]/AVERAGEIF(DataTable[Strålkälla],DataTable[[#This Row],[Strålkälla]],DataTable[Sens_16])</f>
        <v>0.99879146806652908</v>
      </c>
      <c r="GE34" s="19">
        <v>1256</v>
      </c>
      <c r="GF34" s="19">
        <v>1529</v>
      </c>
      <c r="GG34" s="19">
        <v>9.8000000000000004E-2</v>
      </c>
      <c r="GH34" s="19">
        <v>4.4999999999999998E-2</v>
      </c>
      <c r="GI34" s="19">
        <v>0.03</v>
      </c>
      <c r="GJ34" s="19">
        <v>1408789</v>
      </c>
      <c r="GK34" s="19">
        <v>510</v>
      </c>
      <c r="GL34" s="19">
        <v>0</v>
      </c>
      <c r="GM34" s="19">
        <v>0</v>
      </c>
      <c r="GN34" s="19">
        <v>13.432382472175121</v>
      </c>
      <c r="GO34" s="19">
        <f>DataTable[[#This Row],[Sens_17]]/AVERAGEIF(DataTable[Strålkälla],DataTable[[#This Row],[Strålkälla]],DataTable[Sens_17])</f>
        <v>0.99915012988727514</v>
      </c>
      <c r="GP34" s="19">
        <v>1449</v>
      </c>
      <c r="GQ34" s="19">
        <v>1740</v>
      </c>
      <c r="GR34" s="19">
        <v>9.0999999999999998E-2</v>
      </c>
      <c r="GS34" s="19">
        <v>4.3999999999999997E-2</v>
      </c>
      <c r="GT34" s="19">
        <v>2.7E-2</v>
      </c>
      <c r="GU34" s="19">
        <v>1636792</v>
      </c>
      <c r="GV34" s="19">
        <v>510</v>
      </c>
      <c r="GW34" s="19">
        <v>0</v>
      </c>
      <c r="GX34" s="19">
        <v>0</v>
      </c>
      <c r="GY34" s="19">
        <v>15.606322998970365</v>
      </c>
      <c r="GZ34" s="19">
        <f>DataTable[[#This Row],[Sens_18]]/AVERAGEIF(DataTable[Strålkälla],DataTable[[#This Row],[Strålkälla]],DataTable[Sens_18])</f>
        <v>1.0031156178588769</v>
      </c>
      <c r="HA34" s="19">
        <v>1304</v>
      </c>
      <c r="HB34" s="19">
        <v>1628</v>
      </c>
      <c r="HC34" s="19">
        <v>0.111</v>
      </c>
      <c r="HD34" s="19">
        <v>5.6000000000000001E-2</v>
      </c>
      <c r="HE34" s="19">
        <v>0.03</v>
      </c>
      <c r="HF34" s="19">
        <v>1483753</v>
      </c>
      <c r="HG34" s="19">
        <v>510</v>
      </c>
      <c r="HH34" s="19">
        <v>0</v>
      </c>
      <c r="HI34" s="19">
        <v>1</v>
      </c>
      <c r="HJ34" s="19">
        <v>14.147141829072524</v>
      </c>
      <c r="HK34" s="19">
        <f>DataTable[[#This Row],[Sens_19]]/AVERAGEIF(DataTable[Strålkälla],DataTable[[#This Row],[Strålkälla]],DataTable[Sens_19])</f>
        <v>0.99836082568480966</v>
      </c>
      <c r="HL34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0.127</v>
      </c>
      <c r="HM34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0.10121052631578946</v>
      </c>
      <c r="HN34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5.7000000000000002E-2</v>
      </c>
      <c r="HO34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4.3105263157894751E-2</v>
      </c>
      <c r="HP34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0.99836082568480966</v>
      </c>
      <c r="HQ34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1.0000860079785132</v>
      </c>
      <c r="HR34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1.0031156178588769</v>
      </c>
      <c r="HS34" s="49"/>
    </row>
    <row r="35" spans="2:227" x14ac:dyDescent="0.25">
      <c r="B35" s="19" t="s">
        <v>43</v>
      </c>
      <c r="C35" s="20">
        <v>42452</v>
      </c>
      <c r="D35" s="21">
        <v>0.36162037037037037</v>
      </c>
      <c r="E35" s="13" t="s">
        <v>217</v>
      </c>
      <c r="F35" s="13">
        <v>109.8</v>
      </c>
      <c r="G35" s="13">
        <v>134.19999999999999</v>
      </c>
      <c r="H35" s="24">
        <v>24.907299999999999</v>
      </c>
      <c r="I35" s="22">
        <f>MATCH(DataTable[[#This Row],[Datum]],Övrigt!$D$10:$M$10,1)</f>
        <v>1</v>
      </c>
      <c r="J35" s="13"/>
      <c r="K35" s="22">
        <v>1761</v>
      </c>
      <c r="L35" s="22">
        <v>2265</v>
      </c>
      <c r="M35" s="23">
        <v>0.125</v>
      </c>
      <c r="N35" s="23">
        <v>4.7E-2</v>
      </c>
      <c r="O35" s="23">
        <v>2.5999999999999999E-2</v>
      </c>
      <c r="P35" s="22">
        <v>2080648</v>
      </c>
      <c r="Q35" s="24">
        <v>495</v>
      </c>
      <c r="R35" s="22">
        <v>2</v>
      </c>
      <c r="S35" s="22">
        <v>1</v>
      </c>
      <c r="T35" s="19">
        <v>20.754745338495759</v>
      </c>
      <c r="U35" s="23">
        <f>DataTable[[#This Row],[Sens_1]]/AVERAGEIF(DataTable[Strålkälla],DataTable[[#This Row],[Strålkälla]],DataTable[Sens_1])</f>
        <v>1.0024516368177672</v>
      </c>
      <c r="V35" s="22">
        <v>2193</v>
      </c>
      <c r="W35" s="22">
        <v>2614</v>
      </c>
      <c r="X35" s="23">
        <v>8.7999999999999995E-2</v>
      </c>
      <c r="Y35" s="23">
        <v>4.2000000000000003E-2</v>
      </c>
      <c r="Z35" s="23">
        <v>2.4E-2</v>
      </c>
      <c r="AA35" s="22">
        <v>2454371</v>
      </c>
      <c r="AB35" s="24">
        <v>495</v>
      </c>
      <c r="AC35" s="22">
        <v>0</v>
      </c>
      <c r="AD35" s="22">
        <v>0</v>
      </c>
      <c r="AE35" s="19">
        <v>24.482682833035273</v>
      </c>
      <c r="AF35" s="23">
        <f>DataTable[[#This Row],[Sens_2]]/AVERAGEIF(DataTable[Strålkälla],DataTable[[#This Row],[Strålkälla]],DataTable[Sens_2])</f>
        <v>1.0019530522087308</v>
      </c>
      <c r="AG35" s="22">
        <v>1932</v>
      </c>
      <c r="AH35" s="22">
        <v>2344</v>
      </c>
      <c r="AI35" s="23">
        <v>9.6000000000000002E-2</v>
      </c>
      <c r="AJ35" s="23">
        <v>4.8000000000000001E-2</v>
      </c>
      <c r="AK35" s="23">
        <v>2.5999999999999999E-2</v>
      </c>
      <c r="AL35" s="22">
        <v>2171496</v>
      </c>
      <c r="AM35" s="24">
        <v>495</v>
      </c>
      <c r="AN35" s="22">
        <v>0</v>
      </c>
      <c r="AO35" s="22">
        <v>1</v>
      </c>
      <c r="AP35" s="19">
        <v>21.66096643140127</v>
      </c>
      <c r="AQ35" s="23">
        <f>DataTable[[#This Row],[Sens_3]]/AVERAGEIF(DataTable[Strålkälla],DataTable[[#This Row],[Strålkälla]],DataTable[Sens_3])</f>
        <v>1.0011517632002453</v>
      </c>
      <c r="AR35" s="22">
        <v>1840</v>
      </c>
      <c r="AS35" s="22">
        <v>2202</v>
      </c>
      <c r="AT35" s="23">
        <v>0.09</v>
      </c>
      <c r="AU35" s="23">
        <v>0.04</v>
      </c>
      <c r="AV35" s="23">
        <v>2.5999999999999999E-2</v>
      </c>
      <c r="AW35" s="22">
        <v>2066572</v>
      </c>
      <c r="AX35" s="24">
        <v>495</v>
      </c>
      <c r="AY35" s="22">
        <v>0</v>
      </c>
      <c r="AZ35" s="22">
        <v>0</v>
      </c>
      <c r="BA35" s="19">
        <v>20.614335333831509</v>
      </c>
      <c r="BB35" s="23">
        <f>DataTable[[#This Row],[Sens_4]]/AVERAGEIF(DataTable[Strålkälla],DataTable[[#This Row],[Strålkälla]],DataTable[Sens_4])</f>
        <v>1.0010865348969371</v>
      </c>
      <c r="BC35" s="22">
        <v>2069</v>
      </c>
      <c r="BD35" s="22">
        <v>2424</v>
      </c>
      <c r="BE35" s="19">
        <v>7.9000000000000001E-2</v>
      </c>
      <c r="BF35" s="19">
        <v>3.7999999999999999E-2</v>
      </c>
      <c r="BG35" s="19">
        <v>2.3E-2</v>
      </c>
      <c r="BH35" s="19">
        <v>2308977</v>
      </c>
      <c r="BI35" s="19">
        <v>495</v>
      </c>
      <c r="BJ35" s="19">
        <v>0</v>
      </c>
      <c r="BK35" s="19">
        <v>0</v>
      </c>
      <c r="BL35" s="19">
        <v>23.032358009352819</v>
      </c>
      <c r="BM35" s="23">
        <f>DataTable[[#This Row],[Sens_5]]/AVERAGEIF(DataTable[Strålkälla],DataTable[[#This Row],[Strålkälla]],DataTable[Sens_5])</f>
        <v>1.0002670600284018</v>
      </c>
      <c r="BN35" s="19">
        <v>2059</v>
      </c>
      <c r="BO35" s="19">
        <v>2480</v>
      </c>
      <c r="BP35" s="19">
        <v>9.2999999999999999E-2</v>
      </c>
      <c r="BQ35" s="19">
        <v>5.1999999999999998E-2</v>
      </c>
      <c r="BR35" s="19">
        <v>2.5000000000000001E-2</v>
      </c>
      <c r="BS35" s="19">
        <v>2303519</v>
      </c>
      <c r="BT35" s="19">
        <v>495</v>
      </c>
      <c r="BU35" s="19">
        <v>0</v>
      </c>
      <c r="BV35" s="19">
        <v>1</v>
      </c>
      <c r="BW35" s="19">
        <v>22.97791372081506</v>
      </c>
      <c r="BX35" s="23">
        <f>DataTable[[#This Row],[Sens_6]]/AVERAGEIF(DataTable[Strålkälla],DataTable[[#This Row],[Strålkälla]],DataTable[Sens_6])</f>
        <v>1.0011514058715014</v>
      </c>
      <c r="BY35" s="19">
        <v>1851</v>
      </c>
      <c r="BZ35" s="19">
        <v>2261</v>
      </c>
      <c r="CA35" s="19">
        <v>0.1</v>
      </c>
      <c r="CB35" s="19">
        <v>3.5999999999999997E-2</v>
      </c>
      <c r="CC35" s="19">
        <v>2.5999999999999999E-2</v>
      </c>
      <c r="CD35" s="19">
        <v>2112541</v>
      </c>
      <c r="CE35" s="19">
        <v>495</v>
      </c>
      <c r="CF35" s="19">
        <v>0</v>
      </c>
      <c r="CG35" s="19">
        <v>0</v>
      </c>
      <c r="CH35" s="19">
        <v>21.072882329029788</v>
      </c>
      <c r="CI35" s="23">
        <f>DataTable[[#This Row],[Sens_7]]/AVERAGEIF(DataTable[Strålkälla],DataTable[[#This Row],[Strålkälla]],DataTable[Sens_7])</f>
        <v>1.0026190514247642</v>
      </c>
      <c r="CJ35" s="19">
        <v>2107</v>
      </c>
      <c r="CK35" s="19">
        <v>2603</v>
      </c>
      <c r="CL35" s="19">
        <v>0.105</v>
      </c>
      <c r="CM35" s="19">
        <v>4.2999999999999997E-2</v>
      </c>
      <c r="CN35" s="19">
        <v>2.4E-2</v>
      </c>
      <c r="CO35" s="19">
        <v>2445212</v>
      </c>
      <c r="CP35" s="19">
        <v>495</v>
      </c>
      <c r="CQ35" s="19">
        <v>1</v>
      </c>
      <c r="CR35" s="19">
        <v>0</v>
      </c>
      <c r="CS35" s="19">
        <v>24.391320568704508</v>
      </c>
      <c r="CT35" s="23">
        <f>DataTable[[#This Row],[Sens_8]]/AVERAGEIF(DataTable[Strålkälla],DataTable[[#This Row],[Strålkälla]],DataTable[Sens_8])</f>
        <v>0.99973075188425264</v>
      </c>
      <c r="CU35" s="19">
        <v>1744</v>
      </c>
      <c r="CV35" s="19">
        <v>2092</v>
      </c>
      <c r="CW35" s="19">
        <v>9.0999999999999998E-2</v>
      </c>
      <c r="CX35" s="19">
        <v>4.4999999999999998E-2</v>
      </c>
      <c r="CY35" s="19">
        <v>2.5000000000000001E-2</v>
      </c>
      <c r="CZ35" s="19">
        <v>1972622</v>
      </c>
      <c r="DA35" s="19">
        <v>482</v>
      </c>
      <c r="DB35" s="19">
        <v>0</v>
      </c>
      <c r="DC35" s="19">
        <v>0</v>
      </c>
      <c r="DD35" s="19">
        <v>20.2078834621095</v>
      </c>
      <c r="DE35" s="23">
        <f>DataTable[[#This Row],[Sens_9]]/AVERAGEIF(DataTable[Strålkälla],DataTable[[#This Row],[Strålkälla]],DataTable[Sens_9])</f>
        <v>1.0012907984466541</v>
      </c>
      <c r="DF35" s="19">
        <v>1687</v>
      </c>
      <c r="DG35" s="19">
        <v>2005</v>
      </c>
      <c r="DH35" s="19">
        <v>8.5999999999999993E-2</v>
      </c>
      <c r="DI35" s="19">
        <v>3.5999999999999997E-2</v>
      </c>
      <c r="DJ35" s="19">
        <v>2.5000000000000001E-2</v>
      </c>
      <c r="DK35" s="19">
        <v>1906639</v>
      </c>
      <c r="DL35" s="19">
        <v>482</v>
      </c>
      <c r="DM35" s="19">
        <v>0</v>
      </c>
      <c r="DN35" s="19">
        <v>0</v>
      </c>
      <c r="DO35" s="19">
        <v>19.531942113751644</v>
      </c>
      <c r="DP35" s="23">
        <f>DataTable[[#This Row],[Sens_10]]/AVERAGEIF(DataTable[Strålkälla],DataTable[[#This Row],[Strålkälla]],DataTable[Sens_10])</f>
        <v>1.0011143747405278</v>
      </c>
      <c r="DQ35" s="19">
        <v>1506</v>
      </c>
      <c r="DR35" s="19">
        <v>1845</v>
      </c>
      <c r="DS35" s="19">
        <v>0.10100000000000001</v>
      </c>
      <c r="DT35" s="19">
        <v>5.2999999999999999E-2</v>
      </c>
      <c r="DU35" s="19">
        <v>2.7E-2</v>
      </c>
      <c r="DV35" s="19">
        <v>1674317</v>
      </c>
      <c r="DW35" s="19">
        <v>482</v>
      </c>
      <c r="DX35" s="19">
        <v>0</v>
      </c>
      <c r="DY35" s="19">
        <v>2</v>
      </c>
      <c r="DZ35" s="19">
        <v>17.151995067797476</v>
      </c>
      <c r="EA35" s="23">
        <f>DataTable[[#This Row],[Sens_11]]/AVERAGEIF(DataTable[Strålkälla],DataTable[[#This Row],[Strålkälla]],DataTable[Sens_11])</f>
        <v>0.99895200403258866</v>
      </c>
      <c r="EB35" s="19">
        <v>1774</v>
      </c>
      <c r="EC35" s="19">
        <v>2184</v>
      </c>
      <c r="ED35" s="19">
        <v>0.104</v>
      </c>
      <c r="EE35" s="19">
        <v>4.1000000000000002E-2</v>
      </c>
      <c r="EF35" s="19">
        <v>2.7E-2</v>
      </c>
      <c r="EG35" s="19">
        <v>1998867</v>
      </c>
      <c r="EH35" s="19">
        <v>482</v>
      </c>
      <c r="EI35" s="19">
        <v>0</v>
      </c>
      <c r="EJ35" s="19">
        <v>1</v>
      </c>
      <c r="EK35" s="19">
        <v>20.476741814831442</v>
      </c>
      <c r="EL35" s="23">
        <f>DataTable[[#This Row],[Sens_12]]/AVERAGEIF(DataTable[Strålkälla],DataTable[[#This Row],[Strålkälla]],DataTable[Sens_12])</f>
        <v>1.0004575509513505</v>
      </c>
      <c r="EM35" s="19">
        <v>1507</v>
      </c>
      <c r="EN35" s="19">
        <v>1898</v>
      </c>
      <c r="EO35" s="19">
        <v>0.115</v>
      </c>
      <c r="EP35" s="19">
        <v>4.2000000000000003E-2</v>
      </c>
      <c r="EQ35" s="19">
        <v>2.8000000000000001E-2</v>
      </c>
      <c r="ER35" s="19">
        <v>1704646</v>
      </c>
      <c r="ES35" s="19">
        <v>517</v>
      </c>
      <c r="ET35" s="19">
        <v>0</v>
      </c>
      <c r="EU35" s="19">
        <v>1</v>
      </c>
      <c r="EV35" s="19">
        <v>16.280496871830159</v>
      </c>
      <c r="EW35" s="19">
        <f>DataTable[[#This Row],[Sens_13]]/AVERAGEIF(DataTable[Strålkälla],DataTable[[#This Row],[Strålkälla]],DataTable[Sens_13])</f>
        <v>1.0029034544832227</v>
      </c>
      <c r="EX35" s="19">
        <v>1264</v>
      </c>
      <c r="EY35" s="19">
        <v>1555</v>
      </c>
      <c r="EZ35" s="19">
        <v>0.10299999999999999</v>
      </c>
      <c r="FA35" s="19">
        <v>4.2000000000000003E-2</v>
      </c>
      <c r="FB35" s="19">
        <v>2.9000000000000001E-2</v>
      </c>
      <c r="FC35" s="19">
        <v>1453304</v>
      </c>
      <c r="FD35" s="19">
        <v>517</v>
      </c>
      <c r="FE35" s="19">
        <v>0</v>
      </c>
      <c r="FF35" s="19">
        <v>0</v>
      </c>
      <c r="FG35" s="19">
        <v>13.880014516690421</v>
      </c>
      <c r="FH35" s="19">
        <f>DataTable[[#This Row],[Sens_14]]/AVERAGEIF(DataTable[Strålkälla],DataTable[[#This Row],[Strålkälla]],DataTable[Sens_14])</f>
        <v>1.0019533610237477</v>
      </c>
      <c r="FI35" s="19">
        <v>1420</v>
      </c>
      <c r="FJ35" s="19">
        <v>1745</v>
      </c>
      <c r="FK35" s="19">
        <v>0.10299999999999999</v>
      </c>
      <c r="FL35" s="19">
        <v>4.2999999999999997E-2</v>
      </c>
      <c r="FM35" s="19">
        <v>2.9000000000000001E-2</v>
      </c>
      <c r="FN35" s="19">
        <v>1619430</v>
      </c>
      <c r="FO35" s="19">
        <v>517</v>
      </c>
      <c r="FP35" s="19">
        <v>0</v>
      </c>
      <c r="FQ35" s="19">
        <v>0</v>
      </c>
      <c r="FR35" s="19">
        <v>15.46662770402061</v>
      </c>
      <c r="FS35" s="19">
        <f>DataTable[[#This Row],[Sens_15]]/AVERAGEIF(DataTable[Strålkälla],DataTable[[#This Row],[Strålkälla]],DataTable[Sens_15])</f>
        <v>1.0000005093264308</v>
      </c>
      <c r="FT35" s="19">
        <v>1253</v>
      </c>
      <c r="FU35" s="19">
        <v>1563</v>
      </c>
      <c r="FV35" s="19">
        <v>0.11</v>
      </c>
      <c r="FW35" s="19">
        <v>4.2999999999999997E-2</v>
      </c>
      <c r="FX35" s="19">
        <v>2.9000000000000001E-2</v>
      </c>
      <c r="FY35" s="19">
        <v>1464301</v>
      </c>
      <c r="FZ35" s="19">
        <v>517</v>
      </c>
      <c r="GA35" s="19">
        <v>1</v>
      </c>
      <c r="GB35" s="19">
        <v>0</v>
      </c>
      <c r="GC35" s="19">
        <v>13.985043140873692</v>
      </c>
      <c r="GD35" s="19">
        <f>DataTable[[#This Row],[Sens_16]]/AVERAGEIF(DataTable[Strålkälla],DataTable[[#This Row],[Strålkälla]],DataTable[Sens_16])</f>
        <v>1.0014748643980773</v>
      </c>
      <c r="GE35" s="19">
        <v>1241</v>
      </c>
      <c r="GF35" s="19">
        <v>1516</v>
      </c>
      <c r="GG35" s="19">
        <v>0.1</v>
      </c>
      <c r="GH35" s="19">
        <v>4.3999999999999997E-2</v>
      </c>
      <c r="GI35" s="19">
        <v>0.03</v>
      </c>
      <c r="GJ35" s="19">
        <v>1408449</v>
      </c>
      <c r="GK35" s="19">
        <v>517</v>
      </c>
      <c r="GL35" s="19">
        <v>0</v>
      </c>
      <c r="GM35" s="19">
        <v>0</v>
      </c>
      <c r="GN35" s="19">
        <v>13.451619596463031</v>
      </c>
      <c r="GO35" s="19">
        <f>DataTable[[#This Row],[Sens_17]]/AVERAGEIF(DataTable[Strålkälla],DataTable[[#This Row],[Strålkälla]],DataTable[Sens_17])</f>
        <v>1.0005810581139496</v>
      </c>
      <c r="GP35" s="19">
        <v>1440</v>
      </c>
      <c r="GQ35" s="19">
        <v>1764</v>
      </c>
      <c r="GR35" s="19">
        <v>0.10100000000000001</v>
      </c>
      <c r="GS35" s="19">
        <v>0.05</v>
      </c>
      <c r="GT35" s="19">
        <v>2.8000000000000001E-2</v>
      </c>
      <c r="GU35" s="19">
        <v>1634079</v>
      </c>
      <c r="GV35" s="19">
        <v>517</v>
      </c>
      <c r="GW35" s="19">
        <v>0</v>
      </c>
      <c r="GX35" s="19">
        <v>0</v>
      </c>
      <c r="GY35" s="19">
        <v>15.606535343891551</v>
      </c>
      <c r="GZ35" s="19">
        <f>DataTable[[#This Row],[Sens_18]]/AVERAGEIF(DataTable[Strålkälla],DataTable[[#This Row],[Strålkälla]],DataTable[Sens_18])</f>
        <v>1.0031292665900244</v>
      </c>
      <c r="HA35" s="19">
        <v>1302</v>
      </c>
      <c r="HB35" s="19">
        <v>1621</v>
      </c>
      <c r="HC35" s="19">
        <v>0.109</v>
      </c>
      <c r="HD35" s="19">
        <v>5.0999999999999997E-2</v>
      </c>
      <c r="HE35" s="19">
        <v>0.03</v>
      </c>
      <c r="HF35" s="19">
        <v>1487972</v>
      </c>
      <c r="HG35" s="19">
        <v>517</v>
      </c>
      <c r="HH35" s="19">
        <v>0</v>
      </c>
      <c r="HI35" s="19">
        <v>0</v>
      </c>
      <c r="HJ35" s="19">
        <v>14.211116848525071</v>
      </c>
      <c r="HK35" s="19">
        <f>DataTable[[#This Row],[Sens_19]]/AVERAGEIF(DataTable[Strålkälla],DataTable[[#This Row],[Strålkälla]],DataTable[Sens_19])</f>
        <v>1.0028755293624525</v>
      </c>
      <c r="HL35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0.125</v>
      </c>
      <c r="HM35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9.9947368421052646E-2</v>
      </c>
      <c r="HN35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5.2999999999999999E-2</v>
      </c>
      <c r="HO35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4.4000000000000011E-2</v>
      </c>
      <c r="HP35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0.99895200403258866</v>
      </c>
      <c r="HQ35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1.0013233698842963</v>
      </c>
      <c r="HR35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1.0031292665900244</v>
      </c>
      <c r="HS35" s="49"/>
    </row>
    <row r="36" spans="2:227" x14ac:dyDescent="0.25">
      <c r="B36" s="19" t="s">
        <v>43</v>
      </c>
      <c r="C36" s="20">
        <v>42453</v>
      </c>
      <c r="D36" s="21">
        <v>0.36964120370370374</v>
      </c>
      <c r="E36" s="13" t="s">
        <v>217</v>
      </c>
      <c r="F36" s="13">
        <v>109.8</v>
      </c>
      <c r="G36" s="13">
        <v>134.19999999999999</v>
      </c>
      <c r="H36" s="24">
        <v>24.995699999999999</v>
      </c>
      <c r="I36" s="22">
        <f>MATCH(DataTable[[#This Row],[Datum]],Övrigt!$D$10:$M$10,1)</f>
        <v>1</v>
      </c>
      <c r="J36" s="13"/>
      <c r="K36" s="22">
        <v>1821</v>
      </c>
      <c r="L36" s="22">
        <v>2203</v>
      </c>
      <c r="M36" s="23">
        <v>9.5000000000000001E-2</v>
      </c>
      <c r="N36" s="23">
        <v>3.9E-2</v>
      </c>
      <c r="O36" s="23">
        <v>2.5999999999999999E-2</v>
      </c>
      <c r="P36" s="22">
        <v>2084287</v>
      </c>
      <c r="Q36" s="24">
        <v>497</v>
      </c>
      <c r="R36" s="22">
        <v>1</v>
      </c>
      <c r="S36" s="22">
        <v>0</v>
      </c>
      <c r="T36" s="19">
        <v>20.760265934447254</v>
      </c>
      <c r="U36" s="23">
        <f>DataTable[[#This Row],[Sens_1]]/AVERAGEIF(DataTable[Strålkälla],DataTable[[#This Row],[Strålkälla]],DataTable[Sens_1])</f>
        <v>1.0027182809204784</v>
      </c>
      <c r="V36" s="22">
        <v>2194</v>
      </c>
      <c r="W36" s="22">
        <v>2613</v>
      </c>
      <c r="X36" s="23">
        <v>8.6999999999999994E-2</v>
      </c>
      <c r="Y36" s="23">
        <v>3.5999999999999997E-2</v>
      </c>
      <c r="Z36" s="23">
        <v>2.4E-2</v>
      </c>
      <c r="AA36" s="22">
        <v>2450045</v>
      </c>
      <c r="AB36" s="24">
        <v>497</v>
      </c>
      <c r="AC36" s="22">
        <v>0</v>
      </c>
      <c r="AD36" s="22">
        <v>0</v>
      </c>
      <c r="AE36" s="19">
        <v>24.403350283028598</v>
      </c>
      <c r="AF36" s="23">
        <f>DataTable[[#This Row],[Sens_2]]/AVERAGEIF(DataTable[Strålkälla],DataTable[[#This Row],[Strålkälla]],DataTable[Sens_2])</f>
        <v>0.99870637000642593</v>
      </c>
      <c r="AG36" s="22">
        <v>1921</v>
      </c>
      <c r="AH36" s="22">
        <v>2354</v>
      </c>
      <c r="AI36" s="23">
        <v>0.10100000000000001</v>
      </c>
      <c r="AJ36" s="23">
        <v>0.03</v>
      </c>
      <c r="AK36" s="23">
        <v>2.5000000000000001E-2</v>
      </c>
      <c r="AL36" s="22">
        <v>2173284</v>
      </c>
      <c r="AM36" s="24">
        <v>497</v>
      </c>
      <c r="AN36" s="22">
        <v>0</v>
      </c>
      <c r="AO36" s="22">
        <v>1</v>
      </c>
      <c r="AP36" s="19">
        <v>21.646708822287557</v>
      </c>
      <c r="AQ36" s="23">
        <f>DataTable[[#This Row],[Sens_3]]/AVERAGEIF(DataTable[Strålkälla],DataTable[[#This Row],[Strålkälla]],DataTable[Sens_3])</f>
        <v>1.0004927884241928</v>
      </c>
      <c r="AR36" s="22">
        <v>1839</v>
      </c>
      <c r="AS36" s="22">
        <v>2166</v>
      </c>
      <c r="AT36" s="23">
        <v>8.2000000000000003E-2</v>
      </c>
      <c r="AU36" s="23">
        <v>3.3000000000000002E-2</v>
      </c>
      <c r="AV36" s="23">
        <v>2.5000000000000001E-2</v>
      </c>
      <c r="AW36" s="22">
        <v>2064721</v>
      </c>
      <c r="AX36" s="24">
        <v>497</v>
      </c>
      <c r="AY36" s="22">
        <v>0</v>
      </c>
      <c r="AZ36" s="22">
        <v>0</v>
      </c>
      <c r="BA36" s="19">
        <v>20.565381370434046</v>
      </c>
      <c r="BB36" s="23">
        <f>DataTable[[#This Row],[Sens_4]]/AVERAGEIF(DataTable[Strålkälla],DataTable[[#This Row],[Strålkälla]],DataTable[Sens_4])</f>
        <v>0.99870920122144335</v>
      </c>
      <c r="BC36" s="22">
        <v>2075</v>
      </c>
      <c r="BD36" s="22">
        <v>2520</v>
      </c>
      <c r="BE36" s="19">
        <v>9.7000000000000003E-2</v>
      </c>
      <c r="BF36" s="19">
        <v>3.3000000000000002E-2</v>
      </c>
      <c r="BG36" s="19">
        <v>2.3E-2</v>
      </c>
      <c r="BH36" s="19">
        <v>2309069</v>
      </c>
      <c r="BI36" s="19">
        <v>497</v>
      </c>
      <c r="BJ36" s="19">
        <v>0</v>
      </c>
      <c r="BK36" s="19">
        <v>1</v>
      </c>
      <c r="BL36" s="19">
        <v>22.999177417019915</v>
      </c>
      <c r="BM36" s="23">
        <f>DataTable[[#This Row],[Sens_5]]/AVERAGEIF(DataTable[Strålkälla],DataTable[[#This Row],[Strålkälla]],DataTable[Sens_5])</f>
        <v>0.99882606759812786</v>
      </c>
      <c r="BN36" s="19">
        <v>2091</v>
      </c>
      <c r="BO36" s="19">
        <v>2478</v>
      </c>
      <c r="BP36" s="19">
        <v>8.5000000000000006E-2</v>
      </c>
      <c r="BQ36" s="19">
        <v>3.6999999999999998E-2</v>
      </c>
      <c r="BR36" s="19">
        <v>2.5000000000000001E-2</v>
      </c>
      <c r="BS36" s="19">
        <v>2306443</v>
      </c>
      <c r="BT36" s="19">
        <v>497</v>
      </c>
      <c r="BU36" s="19">
        <v>0</v>
      </c>
      <c r="BV36" s="19">
        <v>0</v>
      </c>
      <c r="BW36" s="19">
        <v>22.973021490151947</v>
      </c>
      <c r="BX36" s="23">
        <f>DataTable[[#This Row],[Sens_6]]/AVERAGEIF(DataTable[Strålkälla],DataTable[[#This Row],[Strålkälla]],DataTable[Sens_6])</f>
        <v>1.0009382505926656</v>
      </c>
      <c r="BY36" s="19">
        <v>1840</v>
      </c>
      <c r="BZ36" s="19">
        <v>2297</v>
      </c>
      <c r="CA36" s="19">
        <v>0.11</v>
      </c>
      <c r="CB36" s="19">
        <v>4.1000000000000002E-2</v>
      </c>
      <c r="CC36" s="19">
        <v>2.7E-2</v>
      </c>
      <c r="CD36" s="19">
        <v>2110375</v>
      </c>
      <c r="CE36" s="19">
        <v>497</v>
      </c>
      <c r="CF36" s="19">
        <v>0</v>
      </c>
      <c r="CG36" s="19">
        <v>2</v>
      </c>
      <c r="CH36" s="19">
        <v>21.020112019798198</v>
      </c>
      <c r="CI36" s="23">
        <f>DataTable[[#This Row],[Sens_7]]/AVERAGEIF(DataTable[Strålkälla],DataTable[[#This Row],[Strålkälla]],DataTable[Sens_7])</f>
        <v>1.0001083119559502</v>
      </c>
      <c r="CJ36" s="19">
        <v>2178</v>
      </c>
      <c r="CK36" s="19">
        <v>2559</v>
      </c>
      <c r="CL36" s="19">
        <v>0.08</v>
      </c>
      <c r="CM36" s="19">
        <v>3.7999999999999999E-2</v>
      </c>
      <c r="CN36" s="19">
        <v>2.3E-2</v>
      </c>
      <c r="CO36" s="19">
        <v>2445471</v>
      </c>
      <c r="CP36" s="19">
        <v>497</v>
      </c>
      <c r="CQ36" s="19">
        <v>0</v>
      </c>
      <c r="CR36" s="19">
        <v>0</v>
      </c>
      <c r="CS36" s="19">
        <v>24.357791558925744</v>
      </c>
      <c r="CT36" s="23">
        <f>DataTable[[#This Row],[Sens_8]]/AVERAGEIF(DataTable[Strålkälla],DataTable[[#This Row],[Strålkälla]],DataTable[Sens_8])</f>
        <v>0.99835649328018727</v>
      </c>
      <c r="CU36" s="19">
        <v>1745</v>
      </c>
      <c r="CV36" s="19">
        <v>2095</v>
      </c>
      <c r="CW36" s="19">
        <v>9.0999999999999998E-2</v>
      </c>
      <c r="CX36" s="19">
        <v>4.4999999999999998E-2</v>
      </c>
      <c r="CY36" s="19">
        <v>2.5999999999999999E-2</v>
      </c>
      <c r="CZ36" s="19">
        <v>1971885</v>
      </c>
      <c r="DA36" s="19">
        <v>484</v>
      </c>
      <c r="DB36" s="19">
        <v>0</v>
      </c>
      <c r="DC36" s="19">
        <v>0</v>
      </c>
      <c r="DD36" s="19">
        <v>20.168240108818352</v>
      </c>
      <c r="DE36" s="23">
        <f>DataTable[[#This Row],[Sens_9]]/AVERAGEIF(DataTable[Strålkälla],DataTable[[#This Row],[Strålkälla]],DataTable[Sens_9])</f>
        <v>0.99932648956965442</v>
      </c>
      <c r="DF36" s="19">
        <v>1684</v>
      </c>
      <c r="DG36" s="19">
        <v>1995</v>
      </c>
      <c r="DH36" s="19">
        <v>8.5000000000000006E-2</v>
      </c>
      <c r="DI36" s="19">
        <v>0.03</v>
      </c>
      <c r="DJ36" s="19">
        <v>2.5999999999999999E-2</v>
      </c>
      <c r="DK36" s="19">
        <v>1908030</v>
      </c>
      <c r="DL36" s="19">
        <v>484</v>
      </c>
      <c r="DM36" s="19">
        <v>0</v>
      </c>
      <c r="DN36" s="19">
        <v>0</v>
      </c>
      <c r="DO36" s="19">
        <v>19.515137634714335</v>
      </c>
      <c r="DP36" s="23">
        <f>DataTable[[#This Row],[Sens_10]]/AVERAGEIF(DataTable[Strålkälla],DataTable[[#This Row],[Strålkälla]],DataTable[Sens_10])</f>
        <v>1.0002530571395285</v>
      </c>
      <c r="DQ36" s="19">
        <v>1502</v>
      </c>
      <c r="DR36" s="19">
        <v>1818</v>
      </c>
      <c r="DS36" s="19">
        <v>9.5000000000000001E-2</v>
      </c>
      <c r="DT36" s="19">
        <v>4.2000000000000003E-2</v>
      </c>
      <c r="DU36" s="19">
        <v>2.7E-2</v>
      </c>
      <c r="DV36" s="19">
        <v>1675300</v>
      </c>
      <c r="DW36" s="19">
        <v>484</v>
      </c>
      <c r="DX36" s="19">
        <v>0</v>
      </c>
      <c r="DY36" s="19">
        <v>1</v>
      </c>
      <c r="DZ36" s="19">
        <v>17.134798760730664</v>
      </c>
      <c r="EA36" s="23">
        <f>DataTable[[#This Row],[Sens_11]]/AVERAGEIF(DataTable[Strålkälla],DataTable[[#This Row],[Strålkälla]],DataTable[Sens_11])</f>
        <v>0.99795047124655123</v>
      </c>
      <c r="EB36" s="19">
        <v>1753</v>
      </c>
      <c r="EC36" s="19">
        <v>2155</v>
      </c>
      <c r="ED36" s="19">
        <v>0.10299999999999999</v>
      </c>
      <c r="EE36" s="19">
        <v>3.7999999999999999E-2</v>
      </c>
      <c r="EF36" s="19">
        <v>2.7E-2</v>
      </c>
      <c r="EG36" s="19">
        <v>1997141</v>
      </c>
      <c r="EH36" s="19">
        <v>484</v>
      </c>
      <c r="EI36" s="19">
        <v>0</v>
      </c>
      <c r="EJ36" s="19">
        <v>0</v>
      </c>
      <c r="EK36" s="19">
        <v>20.426555919420043</v>
      </c>
      <c r="EL36" s="23">
        <f>DataTable[[#This Row],[Sens_12]]/AVERAGEIF(DataTable[Strålkälla],DataTable[[#This Row],[Strålkälla]],DataTable[Sens_12])</f>
        <v>0.99800555646562494</v>
      </c>
      <c r="EM36" s="19">
        <v>1504</v>
      </c>
      <c r="EN36" s="19">
        <v>1805</v>
      </c>
      <c r="EO36" s="19">
        <v>9.0999999999999998E-2</v>
      </c>
      <c r="EP36" s="19">
        <v>4.4999999999999998E-2</v>
      </c>
      <c r="EQ36" s="19">
        <v>2.8000000000000001E-2</v>
      </c>
      <c r="ER36" s="19">
        <v>1704438</v>
      </c>
      <c r="ES36" s="19">
        <v>519</v>
      </c>
      <c r="ET36" s="19">
        <v>0</v>
      </c>
      <c r="EU36" s="19">
        <v>0</v>
      </c>
      <c r="EV36" s="19">
        <v>16.257195623765828</v>
      </c>
      <c r="EW36" s="19">
        <f>DataTable[[#This Row],[Sens_13]]/AVERAGEIF(DataTable[Strålkälla],DataTable[[#This Row],[Strålkälla]],DataTable[Sens_13])</f>
        <v>1.001468062040261</v>
      </c>
      <c r="EX36" s="19">
        <v>1262</v>
      </c>
      <c r="EY36" s="19">
        <v>1593</v>
      </c>
      <c r="EZ36" s="19">
        <v>0.11600000000000001</v>
      </c>
      <c r="FA36" s="19">
        <v>3.6999999999999998E-2</v>
      </c>
      <c r="FB36" s="19">
        <v>2.9000000000000001E-2</v>
      </c>
      <c r="FC36" s="19">
        <v>1452308</v>
      </c>
      <c r="FD36" s="19">
        <v>519</v>
      </c>
      <c r="FE36" s="19">
        <v>0</v>
      </c>
      <c r="FF36" s="19">
        <v>2</v>
      </c>
      <c r="FG36" s="19">
        <v>13.852340338551535</v>
      </c>
      <c r="FH36" s="19">
        <f>DataTable[[#This Row],[Sens_14]]/AVERAGEIF(DataTable[Strålkälla],DataTable[[#This Row],[Strålkälla]],DataTable[Sens_14])</f>
        <v>0.99995565160013833</v>
      </c>
      <c r="FI36" s="19">
        <v>1444</v>
      </c>
      <c r="FJ36" s="19">
        <v>1758</v>
      </c>
      <c r="FK36" s="19">
        <v>9.8000000000000004E-2</v>
      </c>
      <c r="FL36" s="19">
        <v>3.5999999999999997E-2</v>
      </c>
      <c r="FM36" s="19">
        <v>2.8000000000000001E-2</v>
      </c>
      <c r="FN36" s="19">
        <v>1620843</v>
      </c>
      <c r="FO36" s="19">
        <v>519</v>
      </c>
      <c r="FP36" s="19">
        <v>0</v>
      </c>
      <c r="FQ36" s="19">
        <v>0</v>
      </c>
      <c r="FR36" s="19">
        <v>15.459853468657396</v>
      </c>
      <c r="FS36" s="19">
        <f>DataTable[[#This Row],[Sens_15]]/AVERAGEIF(DataTable[Strålkälla],DataTable[[#This Row],[Strålkälla]],DataTable[Sens_15])</f>
        <v>0.99956251864461276</v>
      </c>
      <c r="FT36" s="19">
        <v>1294</v>
      </c>
      <c r="FU36" s="19">
        <v>1568</v>
      </c>
      <c r="FV36" s="19">
        <v>9.6000000000000002E-2</v>
      </c>
      <c r="FW36" s="19">
        <v>0.04</v>
      </c>
      <c r="FX36" s="19">
        <v>3.1E-2</v>
      </c>
      <c r="FY36" s="19">
        <v>1463483</v>
      </c>
      <c r="FZ36" s="19">
        <v>519</v>
      </c>
      <c r="GA36" s="19">
        <v>0</v>
      </c>
      <c r="GB36" s="19">
        <v>0</v>
      </c>
      <c r="GC36" s="19">
        <v>13.958929232424813</v>
      </c>
      <c r="GD36" s="19">
        <f>DataTable[[#This Row],[Sens_16]]/AVERAGEIF(DataTable[Strålkälla],DataTable[[#This Row],[Strålkälla]],DataTable[Sens_16])</f>
        <v>0.99960483635030473</v>
      </c>
      <c r="GE36" s="19">
        <v>1223</v>
      </c>
      <c r="GF36" s="19">
        <v>1518</v>
      </c>
      <c r="GG36" s="19">
        <v>0.108</v>
      </c>
      <c r="GH36" s="19">
        <v>5.0999999999999997E-2</v>
      </c>
      <c r="GI36" s="19">
        <v>0.03</v>
      </c>
      <c r="GJ36" s="19">
        <v>1409211</v>
      </c>
      <c r="GK36" s="19">
        <v>519</v>
      </c>
      <c r="GL36" s="19">
        <v>0</v>
      </c>
      <c r="GM36" s="19">
        <v>0</v>
      </c>
      <c r="GN36" s="19">
        <v>13.441274427208656</v>
      </c>
      <c r="GO36" s="19">
        <f>DataTable[[#This Row],[Sens_17]]/AVERAGEIF(DataTable[Strålkälla],DataTable[[#This Row],[Strålkälla]],DataTable[Sens_17])</f>
        <v>0.99981154628493296</v>
      </c>
      <c r="GP36" s="19">
        <v>1433</v>
      </c>
      <c r="GQ36" s="19">
        <v>1782</v>
      </c>
      <c r="GR36" s="19">
        <v>0.109</v>
      </c>
      <c r="GS36" s="19">
        <v>0.04</v>
      </c>
      <c r="GT36" s="19">
        <v>2.8000000000000001E-2</v>
      </c>
      <c r="GU36" s="19">
        <v>1634421</v>
      </c>
      <c r="GV36" s="19">
        <v>519</v>
      </c>
      <c r="GW36" s="19">
        <v>0</v>
      </c>
      <c r="GX36" s="19">
        <v>1</v>
      </c>
      <c r="GY36" s="19">
        <v>15.589362551521949</v>
      </c>
      <c r="GZ36" s="19">
        <f>DataTable[[#This Row],[Sens_18]]/AVERAGEIF(DataTable[Strålkälla],DataTable[[#This Row],[Strålkälla]],DataTable[Sens_18])</f>
        <v>1.0020254642254744</v>
      </c>
      <c r="HA36" s="19">
        <v>1309</v>
      </c>
      <c r="HB36" s="19">
        <v>1571</v>
      </c>
      <c r="HC36" s="19">
        <v>9.0999999999999998E-2</v>
      </c>
      <c r="HD36" s="19">
        <v>3.9E-2</v>
      </c>
      <c r="HE36" s="19">
        <v>0.03</v>
      </c>
      <c r="HF36" s="19">
        <v>1486849</v>
      </c>
      <c r="HG36" s="19">
        <v>519</v>
      </c>
      <c r="HH36" s="19">
        <v>0</v>
      </c>
      <c r="HI36" s="19">
        <v>0</v>
      </c>
      <c r="HJ36" s="19">
        <v>14.181797786719493</v>
      </c>
      <c r="HK36" s="19">
        <f>DataTable[[#This Row],[Sens_19]]/AVERAGEIF(DataTable[Strålkälla],DataTable[[#This Row],[Strålkälla]],DataTable[Sens_19])</f>
        <v>1.0008064893325879</v>
      </c>
      <c r="HL36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0.11600000000000001</v>
      </c>
      <c r="HM36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9.5789473684210535E-2</v>
      </c>
      <c r="HN36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5.0999999999999997E-2</v>
      </c>
      <c r="HO36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3.8421052631578953E-2</v>
      </c>
      <c r="HP36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0.99795047124655123</v>
      </c>
      <c r="HQ36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0.99987504773153379</v>
      </c>
      <c r="HR36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1.0027182809204784</v>
      </c>
      <c r="HS36" s="49"/>
    </row>
    <row r="37" spans="2:227" x14ac:dyDescent="0.25">
      <c r="B37" s="19" t="s">
        <v>43</v>
      </c>
      <c r="C37" s="20">
        <v>42459</v>
      </c>
      <c r="D37" s="21">
        <v>0.31567129629629631</v>
      </c>
      <c r="E37" s="13" t="s">
        <v>217</v>
      </c>
      <c r="F37" s="13">
        <v>109.8</v>
      </c>
      <c r="G37" s="13">
        <v>134.19999999999999</v>
      </c>
      <c r="H37" s="24">
        <v>25.387699999999999</v>
      </c>
      <c r="I37" s="22">
        <f>MATCH(DataTable[[#This Row],[Datum]],Övrigt!$D$10:$M$10,1)</f>
        <v>1</v>
      </c>
      <c r="J37" s="13"/>
      <c r="K37" s="22">
        <v>1846</v>
      </c>
      <c r="L37" s="22">
        <v>2196</v>
      </c>
      <c r="M37" s="23">
        <v>8.6999999999999994E-2</v>
      </c>
      <c r="N37" s="23">
        <v>3.6999999999999998E-2</v>
      </c>
      <c r="O37" s="23">
        <v>2.5000000000000001E-2</v>
      </c>
      <c r="P37" s="22">
        <v>2078638</v>
      </c>
      <c r="Q37" s="24">
        <v>505</v>
      </c>
      <c r="R37" s="22">
        <v>0</v>
      </c>
      <c r="S37" s="22">
        <v>0</v>
      </c>
      <c r="T37" s="19">
        <v>20.690261837672761</v>
      </c>
      <c r="U37" s="23">
        <f>DataTable[[#This Row],[Sens_1]]/AVERAGEIF(DataTable[Strålkälla],DataTable[[#This Row],[Strålkälla]],DataTable[Sens_1])</f>
        <v>0.99933709169117113</v>
      </c>
      <c r="V37" s="22">
        <v>2190</v>
      </c>
      <c r="W37" s="22">
        <v>2601</v>
      </c>
      <c r="X37" s="23">
        <v>8.5999999999999993E-2</v>
      </c>
      <c r="Y37" s="23">
        <v>0.04</v>
      </c>
      <c r="Z37" s="23">
        <v>2.4E-2</v>
      </c>
      <c r="AA37" s="22">
        <v>2452143</v>
      </c>
      <c r="AB37" s="24">
        <v>505</v>
      </c>
      <c r="AC37" s="22">
        <v>0</v>
      </c>
      <c r="AD37" s="22">
        <v>0</v>
      </c>
      <c r="AE37" s="19">
        <v>24.408040617662333</v>
      </c>
      <c r="AF37" s="23">
        <f>DataTable[[#This Row],[Sens_2]]/AVERAGEIF(DataTable[Strålkälla],DataTable[[#This Row],[Strålkälla]],DataTable[Sens_2])</f>
        <v>0.9988983218090205</v>
      </c>
      <c r="AG37" s="22">
        <v>1907</v>
      </c>
      <c r="AH37" s="22">
        <v>2326</v>
      </c>
      <c r="AI37" s="23">
        <v>9.9000000000000005E-2</v>
      </c>
      <c r="AJ37" s="23">
        <v>4.5999999999999999E-2</v>
      </c>
      <c r="AK37" s="23">
        <v>2.5999999999999999E-2</v>
      </c>
      <c r="AL37" s="22">
        <v>2172126</v>
      </c>
      <c r="AM37" s="24">
        <v>505</v>
      </c>
      <c r="AN37" s="22">
        <v>0</v>
      </c>
      <c r="AO37" s="22">
        <v>0</v>
      </c>
      <c r="AP37" s="19">
        <v>21.620818865245795</v>
      </c>
      <c r="AQ37" s="23">
        <f>DataTable[[#This Row],[Sens_3]]/AVERAGEIF(DataTable[Strålkälla],DataTable[[#This Row],[Strålkälla]],DataTable[Sens_3])</f>
        <v>0.99929617624977185</v>
      </c>
      <c r="AR37" s="22">
        <v>1826</v>
      </c>
      <c r="AS37" s="22">
        <v>2232</v>
      </c>
      <c r="AT37" s="23">
        <v>0.1</v>
      </c>
      <c r="AU37" s="23">
        <v>3.6999999999999998E-2</v>
      </c>
      <c r="AV37" s="23">
        <v>2.5000000000000001E-2</v>
      </c>
      <c r="AW37" s="22">
        <v>2066230</v>
      </c>
      <c r="AX37" s="24">
        <v>505</v>
      </c>
      <c r="AY37" s="22">
        <v>0</v>
      </c>
      <c r="AZ37" s="22">
        <v>1</v>
      </c>
      <c r="BA37" s="19">
        <v>20.566755595180396</v>
      </c>
      <c r="BB37" s="23">
        <f>DataTable[[#This Row],[Sens_4]]/AVERAGEIF(DataTable[Strålkälla],DataTable[[#This Row],[Strålkälla]],DataTable[Sens_4])</f>
        <v>0.99877593720236224</v>
      </c>
      <c r="BC37" s="22">
        <v>2003</v>
      </c>
      <c r="BD37" s="22">
        <v>2448</v>
      </c>
      <c r="BE37" s="19">
        <v>0.1</v>
      </c>
      <c r="BF37" s="19">
        <v>3.2000000000000001E-2</v>
      </c>
      <c r="BG37" s="19">
        <v>2.3E-2</v>
      </c>
      <c r="BH37" s="19">
        <v>2310807</v>
      </c>
      <c r="BI37" s="19">
        <v>505</v>
      </c>
      <c r="BJ37" s="19">
        <v>2</v>
      </c>
      <c r="BK37" s="19">
        <v>0</v>
      </c>
      <c r="BL37" s="19">
        <v>23.001216126293794</v>
      </c>
      <c r="BM37" s="23">
        <f>DataTable[[#This Row],[Sens_5]]/AVERAGEIF(DataTable[Strålkälla],DataTable[[#This Row],[Strålkälla]],DataTable[Sens_5])</f>
        <v>0.99891460624149253</v>
      </c>
      <c r="BN37" s="19">
        <v>2070</v>
      </c>
      <c r="BO37" s="19">
        <v>2409</v>
      </c>
      <c r="BP37" s="19">
        <v>7.5999999999999998E-2</v>
      </c>
      <c r="BQ37" s="19">
        <v>3.4000000000000002E-2</v>
      </c>
      <c r="BR37" s="19">
        <v>2.4E-2</v>
      </c>
      <c r="BS37" s="19">
        <v>2302913</v>
      </c>
      <c r="BT37" s="19">
        <v>505</v>
      </c>
      <c r="BU37" s="19">
        <v>0</v>
      </c>
      <c r="BV37" s="19">
        <v>0</v>
      </c>
      <c r="BW37" s="19">
        <v>22.922641152225879</v>
      </c>
      <c r="BX37" s="23">
        <f>DataTable[[#This Row],[Sens_6]]/AVERAGEIF(DataTable[Strålkälla],DataTable[[#This Row],[Strålkälla]],DataTable[Sens_6])</f>
        <v>0.998743171145689</v>
      </c>
      <c r="BY37" s="19">
        <v>1905</v>
      </c>
      <c r="BZ37" s="19">
        <v>2245</v>
      </c>
      <c r="CA37" s="19">
        <v>8.2000000000000003E-2</v>
      </c>
      <c r="CB37" s="19">
        <v>3.7999999999999999E-2</v>
      </c>
      <c r="CC37" s="19">
        <v>2.5000000000000001E-2</v>
      </c>
      <c r="CD37" s="19">
        <v>2110277</v>
      </c>
      <c r="CE37" s="19">
        <v>505</v>
      </c>
      <c r="CF37" s="19">
        <v>0</v>
      </c>
      <c r="CG37" s="19">
        <v>0</v>
      </c>
      <c r="CH37" s="19">
        <v>21.0051888207656</v>
      </c>
      <c r="CI37" s="23">
        <f>DataTable[[#This Row],[Sens_7]]/AVERAGEIF(DataTable[Strålkälla],DataTable[[#This Row],[Strålkälla]],DataTable[Sens_7])</f>
        <v>0.99939828646324969</v>
      </c>
      <c r="CJ37" s="19">
        <v>2174</v>
      </c>
      <c r="CK37" s="19">
        <v>2633</v>
      </c>
      <c r="CL37" s="19">
        <v>9.5000000000000001E-2</v>
      </c>
      <c r="CM37" s="19">
        <v>3.5999999999999997E-2</v>
      </c>
      <c r="CN37" s="19">
        <v>2.4E-2</v>
      </c>
      <c r="CO37" s="19">
        <v>2449601</v>
      </c>
      <c r="CP37" s="19">
        <v>505</v>
      </c>
      <c r="CQ37" s="19">
        <v>0</v>
      </c>
      <c r="CR37" s="19">
        <v>1</v>
      </c>
      <c r="CS37" s="19">
        <v>24.382738162116269</v>
      </c>
      <c r="CT37" s="23">
        <f>DataTable[[#This Row],[Sens_8]]/AVERAGEIF(DataTable[Strålkälla],DataTable[[#This Row],[Strålkälla]],DataTable[Sens_8])</f>
        <v>0.99937898348502763</v>
      </c>
      <c r="CU37" s="19">
        <v>1741</v>
      </c>
      <c r="CV37" s="19">
        <v>2085</v>
      </c>
      <c r="CW37" s="19">
        <v>0.09</v>
      </c>
      <c r="CX37" s="19">
        <v>0.05</v>
      </c>
      <c r="CY37" s="19">
        <v>2.7E-2</v>
      </c>
      <c r="CZ37" s="19">
        <v>1970865</v>
      </c>
      <c r="DA37" s="19">
        <v>491</v>
      </c>
      <c r="DB37" s="19">
        <v>0</v>
      </c>
      <c r="DC37" s="19">
        <v>0</v>
      </c>
      <c r="DD37" s="19">
        <v>20.176874251994573</v>
      </c>
      <c r="DE37" s="23">
        <f>DataTable[[#This Row],[Sens_9]]/AVERAGEIF(DataTable[Strålkälla],DataTable[[#This Row],[Strålkälla]],DataTable[Sens_9])</f>
        <v>0.99975430716524927</v>
      </c>
      <c r="DF37" s="19">
        <v>1652</v>
      </c>
      <c r="DG37" s="19">
        <v>2024</v>
      </c>
      <c r="DH37" s="19">
        <v>0.10100000000000001</v>
      </c>
      <c r="DI37" s="19">
        <v>4.1000000000000002E-2</v>
      </c>
      <c r="DJ37" s="19">
        <v>2.5999999999999999E-2</v>
      </c>
      <c r="DK37" s="19">
        <v>1905189</v>
      </c>
      <c r="DL37" s="19">
        <v>491</v>
      </c>
      <c r="DM37" s="19">
        <v>1</v>
      </c>
      <c r="DN37" s="19">
        <v>0</v>
      </c>
      <c r="DO37" s="19">
        <v>19.504511409601005</v>
      </c>
      <c r="DP37" s="23">
        <f>DataTable[[#This Row],[Sens_10]]/AVERAGEIF(DataTable[Strålkälla],DataTable[[#This Row],[Strålkälla]],DataTable[Sens_10])</f>
        <v>0.99970840742429634</v>
      </c>
      <c r="DQ37" s="19">
        <v>1484</v>
      </c>
      <c r="DR37" s="19">
        <v>1793</v>
      </c>
      <c r="DS37" s="19">
        <v>9.4E-2</v>
      </c>
      <c r="DT37" s="19">
        <v>3.3000000000000002E-2</v>
      </c>
      <c r="DU37" s="19">
        <v>2.5999999999999999E-2</v>
      </c>
      <c r="DV37" s="19">
        <v>1676782</v>
      </c>
      <c r="DW37" s="19">
        <v>491</v>
      </c>
      <c r="DX37" s="19">
        <v>0</v>
      </c>
      <c r="DY37" s="19">
        <v>0</v>
      </c>
      <c r="DZ37" s="19">
        <v>17.166178080187105</v>
      </c>
      <c r="EA37" s="23">
        <f>DataTable[[#This Row],[Sens_11]]/AVERAGEIF(DataTable[Strålkälla],DataTable[[#This Row],[Strålkälla]],DataTable[Sens_11])</f>
        <v>0.99977803905614337</v>
      </c>
      <c r="EB37" s="19">
        <v>1768</v>
      </c>
      <c r="EC37" s="19">
        <v>2172</v>
      </c>
      <c r="ED37" s="19">
        <v>0.10299999999999999</v>
      </c>
      <c r="EE37" s="19">
        <v>4.2999999999999997E-2</v>
      </c>
      <c r="EF37" s="19">
        <v>2.5000000000000001E-2</v>
      </c>
      <c r="EG37" s="19">
        <v>1999512</v>
      </c>
      <c r="EH37" s="19">
        <v>491</v>
      </c>
      <c r="EI37" s="19">
        <v>0</v>
      </c>
      <c r="EJ37" s="19">
        <v>1</v>
      </c>
      <c r="EK37" s="19">
        <v>20.470150004873073</v>
      </c>
      <c r="EL37" s="23">
        <f>DataTable[[#This Row],[Sens_12]]/AVERAGEIF(DataTable[Strålkälla],DataTable[[#This Row],[Strålkälla]],DataTable[Sens_12])</f>
        <v>1.0001354867232166</v>
      </c>
      <c r="EM37" s="19">
        <v>1535</v>
      </c>
      <c r="EN37" s="19">
        <v>1813</v>
      </c>
      <c r="EO37" s="19">
        <v>8.3000000000000004E-2</v>
      </c>
      <c r="EP37" s="19">
        <v>4.1000000000000002E-2</v>
      </c>
      <c r="EQ37" s="19">
        <v>2.8000000000000001E-2</v>
      </c>
      <c r="ER37" s="19">
        <v>1704389</v>
      </c>
      <c r="ES37" s="19">
        <v>527</v>
      </c>
      <c r="ET37" s="19">
        <v>0</v>
      </c>
      <c r="EU37" s="19">
        <v>0</v>
      </c>
      <c r="EV37" s="19">
        <v>16.256857908488975</v>
      </c>
      <c r="EW37" s="19">
        <f>DataTable[[#This Row],[Sens_13]]/AVERAGEIF(DataTable[Strålkälla],DataTable[[#This Row],[Strålkälla]],DataTable[Sens_13])</f>
        <v>1.0014472582637881</v>
      </c>
      <c r="EX37" s="19">
        <v>1254</v>
      </c>
      <c r="EY37" s="19">
        <v>1557</v>
      </c>
      <c r="EZ37" s="19">
        <v>0.108</v>
      </c>
      <c r="FA37" s="19">
        <v>5.0999999999999997E-2</v>
      </c>
      <c r="FB37" s="19">
        <v>0.03</v>
      </c>
      <c r="FC37" s="19">
        <v>1451594</v>
      </c>
      <c r="FD37" s="19">
        <v>527</v>
      </c>
      <c r="FE37" s="19">
        <v>0</v>
      </c>
      <c r="FF37" s="19">
        <v>0</v>
      </c>
      <c r="FG37" s="19">
        <v>13.84564051916267</v>
      </c>
      <c r="FH37" s="19">
        <f>DataTable[[#This Row],[Sens_14]]/AVERAGEIF(DataTable[Strålkälla],DataTable[[#This Row],[Strålkälla]],DataTable[Sens_14])</f>
        <v>0.99947201330517454</v>
      </c>
      <c r="FI37" s="19">
        <v>1442</v>
      </c>
      <c r="FJ37" s="19">
        <v>1763</v>
      </c>
      <c r="FK37" s="19">
        <v>0.1</v>
      </c>
      <c r="FL37" s="19">
        <v>4.1000000000000002E-2</v>
      </c>
      <c r="FM37" s="19">
        <v>2.8000000000000001E-2</v>
      </c>
      <c r="FN37" s="19">
        <v>1622249</v>
      </c>
      <c r="FO37" s="19">
        <v>527</v>
      </c>
      <c r="FP37" s="19">
        <v>0</v>
      </c>
      <c r="FQ37" s="19">
        <v>0</v>
      </c>
      <c r="FR37" s="19">
        <v>15.473387521973171</v>
      </c>
      <c r="FS37" s="19">
        <f>DataTable[[#This Row],[Sens_15]]/AVERAGEIF(DataTable[Strålkälla],DataTable[[#This Row],[Strålkälla]],DataTable[Sens_15])</f>
        <v>1.0004375678452544</v>
      </c>
      <c r="FT37" s="19">
        <v>1286</v>
      </c>
      <c r="FU37" s="19">
        <v>1599</v>
      </c>
      <c r="FV37" s="19">
        <v>0.108</v>
      </c>
      <c r="FW37" s="19">
        <v>4.2000000000000003E-2</v>
      </c>
      <c r="FX37" s="19">
        <v>2.9000000000000001E-2</v>
      </c>
      <c r="FY37" s="19">
        <v>1464530</v>
      </c>
      <c r="FZ37" s="19">
        <v>527</v>
      </c>
      <c r="GA37" s="19">
        <v>0</v>
      </c>
      <c r="GB37" s="19">
        <v>1</v>
      </c>
      <c r="GC37" s="19">
        <v>13.969027089895182</v>
      </c>
      <c r="GD37" s="19">
        <f>DataTable[[#This Row],[Sens_16]]/AVERAGEIF(DataTable[Strålkälla],DataTable[[#This Row],[Strålkälla]],DataTable[Sens_16])</f>
        <v>1.0003279482019436</v>
      </c>
      <c r="GE37" s="19">
        <v>1240</v>
      </c>
      <c r="GF37" s="19">
        <v>1519</v>
      </c>
      <c r="GG37" s="19">
        <v>0.10100000000000001</v>
      </c>
      <c r="GH37" s="19">
        <v>4.7E-2</v>
      </c>
      <c r="GI37" s="19">
        <v>3.1E-2</v>
      </c>
      <c r="GJ37" s="19">
        <v>1409618</v>
      </c>
      <c r="GK37" s="19">
        <v>527</v>
      </c>
      <c r="GL37" s="19">
        <v>0</v>
      </c>
      <c r="GM37" s="19">
        <v>0</v>
      </c>
      <c r="GN37" s="19">
        <v>13.445263687602074</v>
      </c>
      <c r="GO37" s="19">
        <f>DataTable[[#This Row],[Sens_17]]/AVERAGEIF(DataTable[Strålkälla],DataTable[[#This Row],[Strålkälla]],DataTable[Sens_17])</f>
        <v>1.0001082821803331</v>
      </c>
      <c r="GP37" s="19">
        <v>1458</v>
      </c>
      <c r="GQ37" s="19">
        <v>1763</v>
      </c>
      <c r="GR37" s="19">
        <v>9.5000000000000001E-2</v>
      </c>
      <c r="GS37" s="19">
        <v>3.4000000000000002E-2</v>
      </c>
      <c r="GT37" s="19">
        <v>2.8000000000000001E-2</v>
      </c>
      <c r="GU37" s="19">
        <v>1633506</v>
      </c>
      <c r="GV37" s="19">
        <v>527</v>
      </c>
      <c r="GW37" s="19">
        <v>0</v>
      </c>
      <c r="GX37" s="19">
        <v>0</v>
      </c>
      <c r="GY37" s="19">
        <v>15.580759400972543</v>
      </c>
      <c r="GZ37" s="19">
        <f>DataTable[[#This Row],[Sens_18]]/AVERAGEIF(DataTable[Strålkälla],DataTable[[#This Row],[Strålkälla]],DataTable[Sens_18])</f>
        <v>1.0014724861357944</v>
      </c>
      <c r="HA37" s="19">
        <v>1295</v>
      </c>
      <c r="HB37" s="19">
        <v>1612</v>
      </c>
      <c r="HC37" s="19">
        <v>0.109</v>
      </c>
      <c r="HD37" s="19">
        <v>5.0999999999999997E-2</v>
      </c>
      <c r="HE37" s="19">
        <v>0.03</v>
      </c>
      <c r="HF37" s="19">
        <v>1485293</v>
      </c>
      <c r="HG37" s="19">
        <v>527</v>
      </c>
      <c r="HH37" s="19">
        <v>0</v>
      </c>
      <c r="HI37" s="19">
        <v>0</v>
      </c>
      <c r="HJ37" s="19">
        <v>14.167069403447989</v>
      </c>
      <c r="HK37" s="19">
        <f>DataTable[[#This Row],[Sens_19]]/AVERAGEIF(DataTable[Strålkälla],DataTable[[#This Row],[Strålkälla]],DataTable[Sens_19])</f>
        <v>0.99976711042046573</v>
      </c>
      <c r="HL37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0.109</v>
      </c>
      <c r="HM37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9.5631578947368415E-2</v>
      </c>
      <c r="HN37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5.0999999999999997E-2</v>
      </c>
      <c r="HO37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4.0736842105263162E-2</v>
      </c>
      <c r="HP37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0.998743171145689</v>
      </c>
      <c r="HQ37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0.99974481478997068</v>
      </c>
      <c r="HR37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1.0014724861357944</v>
      </c>
      <c r="HS37" s="49"/>
    </row>
    <row r="38" spans="2:227" x14ac:dyDescent="0.25">
      <c r="B38" s="19" t="s">
        <v>43</v>
      </c>
      <c r="C38" s="20">
        <v>42460</v>
      </c>
      <c r="D38" s="21">
        <v>0.31668981481481479</v>
      </c>
      <c r="E38" s="13" t="s">
        <v>217</v>
      </c>
      <c r="F38" s="13">
        <v>109.8</v>
      </c>
      <c r="G38" s="13">
        <v>134.19999999999999</v>
      </c>
      <c r="H38" s="24">
        <v>25.4514</v>
      </c>
      <c r="I38" s="22">
        <f>MATCH(DataTable[[#This Row],[Datum]],Övrigt!$D$10:$M$10,1)</f>
        <v>1</v>
      </c>
      <c r="J38" s="13"/>
      <c r="K38" s="22">
        <v>1824</v>
      </c>
      <c r="L38" s="22">
        <v>2208</v>
      </c>
      <c r="M38" s="23">
        <v>9.5000000000000001E-2</v>
      </c>
      <c r="N38" s="23">
        <v>3.3000000000000002E-2</v>
      </c>
      <c r="O38" s="23">
        <v>2.5000000000000001E-2</v>
      </c>
      <c r="P38" s="22">
        <v>2080789</v>
      </c>
      <c r="Q38" s="24">
        <v>506</v>
      </c>
      <c r="R38" s="22">
        <v>1</v>
      </c>
      <c r="S38" s="22">
        <v>0</v>
      </c>
      <c r="T38" s="19">
        <v>20.723533893895318</v>
      </c>
      <c r="U38" s="23">
        <f>DataTable[[#This Row],[Sens_1]]/AVERAGEIF(DataTable[Strålkälla],DataTable[[#This Row],[Strålkälla]],DataTable[Sens_1])</f>
        <v>1.0009441278979094</v>
      </c>
      <c r="V38" s="22">
        <v>2153</v>
      </c>
      <c r="W38" s="22">
        <v>2623</v>
      </c>
      <c r="X38" s="23">
        <v>9.8000000000000004E-2</v>
      </c>
      <c r="Y38" s="23">
        <v>4.5999999999999999E-2</v>
      </c>
      <c r="Z38" s="23">
        <v>2.5000000000000001E-2</v>
      </c>
      <c r="AA38" s="22">
        <v>2452220</v>
      </c>
      <c r="AB38" s="24">
        <v>506</v>
      </c>
      <c r="AC38" s="22">
        <v>1</v>
      </c>
      <c r="AD38" s="22">
        <v>0</v>
      </c>
      <c r="AE38" s="19">
        <v>24.422785916922848</v>
      </c>
      <c r="AF38" s="23">
        <f>DataTable[[#This Row],[Sens_2]]/AVERAGEIF(DataTable[Strålkälla],DataTable[[#This Row],[Strålkälla]],DataTable[Sens_2])</f>
        <v>0.9995017727339276</v>
      </c>
      <c r="AG38" s="22">
        <v>1927</v>
      </c>
      <c r="AH38" s="22">
        <v>2323</v>
      </c>
      <c r="AI38" s="23">
        <v>9.2999999999999999E-2</v>
      </c>
      <c r="AJ38" s="23">
        <v>4.2000000000000003E-2</v>
      </c>
      <c r="AK38" s="23">
        <v>2.5000000000000001E-2</v>
      </c>
      <c r="AL38" s="22">
        <v>2173265</v>
      </c>
      <c r="AM38" s="24">
        <v>506</v>
      </c>
      <c r="AN38" s="22">
        <v>0</v>
      </c>
      <c r="AO38" s="22">
        <v>0</v>
      </c>
      <c r="AP38" s="19">
        <v>21.644544875965995</v>
      </c>
      <c r="AQ38" s="23">
        <f>DataTable[[#This Row],[Sens_3]]/AVERAGEIF(DataTable[Strålkälla],DataTable[[#This Row],[Strålkälla]],DataTable[Sens_3])</f>
        <v>1.0003927726339388</v>
      </c>
      <c r="AR38" s="22">
        <v>1856</v>
      </c>
      <c r="AS38" s="22">
        <v>2185</v>
      </c>
      <c r="AT38" s="23">
        <v>8.1000000000000003E-2</v>
      </c>
      <c r="AU38" s="23">
        <v>4.2000000000000003E-2</v>
      </c>
      <c r="AV38" s="23">
        <v>2.4E-2</v>
      </c>
      <c r="AW38" s="22">
        <v>2065317</v>
      </c>
      <c r="AX38" s="24">
        <v>506</v>
      </c>
      <c r="AY38" s="22">
        <v>0</v>
      </c>
      <c r="AZ38" s="22">
        <v>0</v>
      </c>
      <c r="BA38" s="19">
        <v>20.56944113561644</v>
      </c>
      <c r="BB38" s="23">
        <f>DataTable[[#This Row],[Sens_4]]/AVERAGEIF(DataTable[Strålkälla],DataTable[[#This Row],[Strålkälla]],DataTable[Sens_4])</f>
        <v>0.99890635413436157</v>
      </c>
      <c r="BC38" s="22">
        <v>2044</v>
      </c>
      <c r="BD38" s="22">
        <v>2461</v>
      </c>
      <c r="BE38" s="19">
        <v>9.2999999999999999E-2</v>
      </c>
      <c r="BF38" s="19">
        <v>3.3000000000000002E-2</v>
      </c>
      <c r="BG38" s="19">
        <v>2.4E-2</v>
      </c>
      <c r="BH38" s="19">
        <v>2311957</v>
      </c>
      <c r="BI38" s="19">
        <v>506</v>
      </c>
      <c r="BJ38" s="19">
        <v>0</v>
      </c>
      <c r="BK38" s="19">
        <v>0</v>
      </c>
      <c r="BL38" s="19">
        <v>23.02584224096174</v>
      </c>
      <c r="BM38" s="23">
        <f>DataTable[[#This Row],[Sens_5]]/AVERAGEIF(DataTable[Strålkälla],DataTable[[#This Row],[Strålkälla]],DataTable[Sens_5])</f>
        <v>0.99998408819852125</v>
      </c>
      <c r="BN38" s="19">
        <v>2081</v>
      </c>
      <c r="BO38" s="19">
        <v>2441</v>
      </c>
      <c r="BP38" s="19">
        <v>0.08</v>
      </c>
      <c r="BQ38" s="19">
        <v>3.4000000000000002E-2</v>
      </c>
      <c r="BR38" s="19">
        <v>2.4E-2</v>
      </c>
      <c r="BS38" s="19">
        <v>2300382</v>
      </c>
      <c r="BT38" s="19">
        <v>506</v>
      </c>
      <c r="BU38" s="19">
        <v>0</v>
      </c>
      <c r="BV38" s="19">
        <v>0</v>
      </c>
      <c r="BW38" s="19">
        <v>22.910561496579756</v>
      </c>
      <c r="BX38" s="23">
        <f>DataTable[[#This Row],[Sens_6]]/AVERAGEIF(DataTable[Strålkälla],DataTable[[#This Row],[Strålkälla]],DataTable[Sens_6])</f>
        <v>0.99821685860141285</v>
      </c>
      <c r="BY38" s="19">
        <v>1869</v>
      </c>
      <c r="BZ38" s="19">
        <v>2256</v>
      </c>
      <c r="CA38" s="19">
        <v>9.4E-2</v>
      </c>
      <c r="CB38" s="19">
        <v>4.7E-2</v>
      </c>
      <c r="CC38" s="19">
        <v>2.5000000000000001E-2</v>
      </c>
      <c r="CD38" s="19">
        <v>2110702</v>
      </c>
      <c r="CE38" s="19">
        <v>506</v>
      </c>
      <c r="CF38" s="19">
        <v>0</v>
      </c>
      <c r="CG38" s="19">
        <v>0</v>
      </c>
      <c r="CH38" s="19">
        <v>21.021451207648941</v>
      </c>
      <c r="CI38" s="23">
        <f>DataTable[[#This Row],[Sens_7]]/AVERAGEIF(DataTable[Strålkälla],DataTable[[#This Row],[Strålkälla]],DataTable[Sens_7])</f>
        <v>1.0001720286906439</v>
      </c>
      <c r="CJ38" s="19">
        <v>2192</v>
      </c>
      <c r="CK38" s="19">
        <v>2629</v>
      </c>
      <c r="CL38" s="19">
        <v>9.0999999999999998E-2</v>
      </c>
      <c r="CM38" s="19">
        <v>4.3999999999999997E-2</v>
      </c>
      <c r="CN38" s="19">
        <v>2.5000000000000001E-2</v>
      </c>
      <c r="CO38" s="19">
        <v>2448621</v>
      </c>
      <c r="CP38" s="19">
        <v>506</v>
      </c>
      <c r="CQ38" s="19">
        <v>0</v>
      </c>
      <c r="CR38" s="19">
        <v>0</v>
      </c>
      <c r="CS38" s="19">
        <v>24.386941821974187</v>
      </c>
      <c r="CT38" s="23">
        <f>DataTable[[#This Row],[Sens_8]]/AVERAGEIF(DataTable[Strålkälla],DataTable[[#This Row],[Strålkälla]],DataTable[Sens_8])</f>
        <v>0.99955127952855616</v>
      </c>
      <c r="CU38" s="19">
        <v>1742</v>
      </c>
      <c r="CV38" s="19">
        <v>2121</v>
      </c>
      <c r="CW38" s="19">
        <v>9.8000000000000004E-2</v>
      </c>
      <c r="CX38" s="19">
        <v>3.9E-2</v>
      </c>
      <c r="CY38" s="19">
        <v>2.7E-2</v>
      </c>
      <c r="CZ38" s="19">
        <v>1969781</v>
      </c>
      <c r="DA38" s="19">
        <v>492</v>
      </c>
      <c r="DB38" s="19">
        <v>0</v>
      </c>
      <c r="DC38" s="19">
        <v>0</v>
      </c>
      <c r="DD38" s="19">
        <v>20.176188676612156</v>
      </c>
      <c r="DE38" s="23">
        <f>DataTable[[#This Row],[Sens_9]]/AVERAGEIF(DataTable[Strålkälla],DataTable[[#This Row],[Strålkälla]],DataTable[Sens_9])</f>
        <v>0.99972033723844611</v>
      </c>
      <c r="DF38" s="19">
        <v>1709</v>
      </c>
      <c r="DG38" s="19">
        <v>2027</v>
      </c>
      <c r="DH38" s="19">
        <v>8.5000000000000006E-2</v>
      </c>
      <c r="DI38" s="19">
        <v>3.7999999999999999E-2</v>
      </c>
      <c r="DJ38" s="19">
        <v>2.5000000000000001E-2</v>
      </c>
      <c r="DK38" s="19">
        <v>1906739</v>
      </c>
      <c r="DL38" s="19">
        <v>492</v>
      </c>
      <c r="DM38" s="19">
        <v>0</v>
      </c>
      <c r="DN38" s="19">
        <v>0</v>
      </c>
      <c r="DO38" s="19">
        <v>19.530458371288375</v>
      </c>
      <c r="DP38" s="23">
        <f>DataTable[[#This Row],[Sens_10]]/AVERAGEIF(DataTable[Strålkälla],DataTable[[#This Row],[Strålkälla]],DataTable[Sens_10])</f>
        <v>1.001038325164928</v>
      </c>
      <c r="DQ38" s="19">
        <v>1464</v>
      </c>
      <c r="DR38" s="19">
        <v>1826</v>
      </c>
      <c r="DS38" s="19">
        <v>0.11</v>
      </c>
      <c r="DT38" s="19">
        <v>0.04</v>
      </c>
      <c r="DU38" s="19">
        <v>2.7E-2</v>
      </c>
      <c r="DV38" s="19">
        <v>1676153</v>
      </c>
      <c r="DW38" s="19">
        <v>492</v>
      </c>
      <c r="DX38" s="19">
        <v>0</v>
      </c>
      <c r="DY38" s="19">
        <v>1</v>
      </c>
      <c r="DZ38" s="19">
        <v>17.168598528907271</v>
      </c>
      <c r="EA38" s="23">
        <f>DataTable[[#This Row],[Sens_11]]/AVERAGEIF(DataTable[Strålkälla],DataTable[[#This Row],[Strålkälla]],DataTable[Sens_11])</f>
        <v>0.99991900878532713</v>
      </c>
      <c r="EB38" s="19">
        <v>1782</v>
      </c>
      <c r="EC38" s="19">
        <v>2191</v>
      </c>
      <c r="ED38" s="19">
        <v>0.10299999999999999</v>
      </c>
      <c r="EE38" s="19">
        <v>5.0999999999999997E-2</v>
      </c>
      <c r="EF38" s="19">
        <v>2.5999999999999999E-2</v>
      </c>
      <c r="EG38" s="19">
        <v>1999951</v>
      </c>
      <c r="EH38" s="19">
        <v>492</v>
      </c>
      <c r="EI38" s="19">
        <v>0</v>
      </c>
      <c r="EJ38" s="19">
        <v>1</v>
      </c>
      <c r="EK38" s="19">
        <v>20.485215727016943</v>
      </c>
      <c r="EL38" s="23">
        <f>DataTable[[#This Row],[Sens_12]]/AVERAGEIF(DataTable[Strålkälla],DataTable[[#This Row],[Strålkälla]],DataTable[Sens_12])</f>
        <v>1.0008715713804179</v>
      </c>
      <c r="EM38" s="19">
        <v>1511</v>
      </c>
      <c r="EN38" s="19">
        <v>1815</v>
      </c>
      <c r="EO38" s="19">
        <v>9.0999999999999998E-2</v>
      </c>
      <c r="EP38" s="19">
        <v>0.04</v>
      </c>
      <c r="EQ38" s="19">
        <v>2.5999999999999999E-2</v>
      </c>
      <c r="ER38" s="19">
        <v>1703176</v>
      </c>
      <c r="ES38" s="19">
        <v>529</v>
      </c>
      <c r="ET38" s="19">
        <v>0</v>
      </c>
      <c r="EU38" s="19">
        <v>0</v>
      </c>
      <c r="EV38" s="19">
        <v>16.225203253103786</v>
      </c>
      <c r="EW38" s="19">
        <f>DataTable[[#This Row],[Sens_13]]/AVERAGEIF(DataTable[Strålkälla],DataTable[[#This Row],[Strålkälla]],DataTable[Sens_13])</f>
        <v>0.99949728318095066</v>
      </c>
      <c r="EX38" s="19">
        <v>1298</v>
      </c>
      <c r="EY38" s="19">
        <v>1576</v>
      </c>
      <c r="EZ38" s="19">
        <v>9.7000000000000003E-2</v>
      </c>
      <c r="FA38" s="19">
        <v>5.0999999999999997E-2</v>
      </c>
      <c r="FB38" s="19">
        <v>0.03</v>
      </c>
      <c r="FC38" s="19">
        <v>1453514</v>
      </c>
      <c r="FD38" s="19">
        <v>529</v>
      </c>
      <c r="FE38" s="19">
        <v>0</v>
      </c>
      <c r="FF38" s="19">
        <v>0</v>
      </c>
      <c r="FG38" s="19">
        <v>13.846813295415092</v>
      </c>
      <c r="FH38" s="19">
        <f>DataTable[[#This Row],[Sens_14]]/AVERAGEIF(DataTable[Strålkälla],DataTable[[#This Row],[Strålkälla]],DataTable[Sens_14])</f>
        <v>0.99955667223016564</v>
      </c>
      <c r="FI38" s="19">
        <v>1427</v>
      </c>
      <c r="FJ38" s="19">
        <v>1777</v>
      </c>
      <c r="FK38" s="19">
        <v>0.109</v>
      </c>
      <c r="FL38" s="19">
        <v>4.1000000000000002E-2</v>
      </c>
      <c r="FM38" s="19">
        <v>2.8000000000000001E-2</v>
      </c>
      <c r="FN38" s="19">
        <v>1621136</v>
      </c>
      <c r="FO38" s="19">
        <v>529</v>
      </c>
      <c r="FP38" s="19">
        <v>0</v>
      </c>
      <c r="FQ38" s="19">
        <v>1</v>
      </c>
      <c r="FR38" s="19">
        <v>15.443654150201539</v>
      </c>
      <c r="FS38" s="19">
        <f>DataTable[[#This Row],[Sens_15]]/AVERAGEIF(DataTable[Strålkälla],DataTable[[#This Row],[Strålkälla]],DataTable[Sens_15])</f>
        <v>0.99851514574493483</v>
      </c>
      <c r="FT38" s="19">
        <v>1280</v>
      </c>
      <c r="FU38" s="19">
        <v>1580</v>
      </c>
      <c r="FV38" s="19">
        <v>0.105</v>
      </c>
      <c r="FW38" s="19">
        <v>4.2999999999999997E-2</v>
      </c>
      <c r="FX38" s="19">
        <v>2.9000000000000001E-2</v>
      </c>
      <c r="FY38" s="19">
        <v>1464105</v>
      </c>
      <c r="FZ38" s="19">
        <v>529</v>
      </c>
      <c r="GA38" s="19">
        <v>0</v>
      </c>
      <c r="GB38" s="19">
        <v>0</v>
      </c>
      <c r="GC38" s="19">
        <v>13.947707816975766</v>
      </c>
      <c r="GD38" s="19">
        <f>DataTable[[#This Row],[Sens_16]]/AVERAGEIF(DataTable[Strålkälla],DataTable[[#This Row],[Strålkälla]],DataTable[Sens_16])</f>
        <v>0.99880126603579178</v>
      </c>
      <c r="GE38" s="19">
        <v>1215</v>
      </c>
      <c r="GF38" s="19">
        <v>1507</v>
      </c>
      <c r="GG38" s="19">
        <v>0.107</v>
      </c>
      <c r="GH38" s="19">
        <v>3.9E-2</v>
      </c>
      <c r="GI38" s="19">
        <v>2.9000000000000001E-2</v>
      </c>
      <c r="GJ38" s="19">
        <v>1410032</v>
      </c>
      <c r="GK38" s="19">
        <v>529</v>
      </c>
      <c r="GL38" s="19">
        <v>1</v>
      </c>
      <c r="GM38" s="19">
        <v>0</v>
      </c>
      <c r="GN38" s="19">
        <v>13.432584649725241</v>
      </c>
      <c r="GO38" s="19">
        <f>DataTable[[#This Row],[Sens_17]]/AVERAGEIF(DataTable[Strålkälla],DataTable[[#This Row],[Strålkälla]],DataTable[Sens_17])</f>
        <v>0.99916516859882776</v>
      </c>
      <c r="GP38" s="19">
        <v>1417</v>
      </c>
      <c r="GQ38" s="19">
        <v>1766</v>
      </c>
      <c r="GR38" s="19">
        <v>0.11</v>
      </c>
      <c r="GS38" s="19">
        <v>4.8000000000000001E-2</v>
      </c>
      <c r="GT38" s="19">
        <v>2.8000000000000001E-2</v>
      </c>
      <c r="GU38" s="19">
        <v>1634731</v>
      </c>
      <c r="GV38" s="19">
        <v>529</v>
      </c>
      <c r="GW38" s="19">
        <v>1</v>
      </c>
      <c r="GX38" s="19">
        <v>0</v>
      </c>
      <c r="GY38" s="19">
        <v>15.573166096251711</v>
      </c>
      <c r="GZ38" s="19">
        <f>DataTable[[#This Row],[Sens_18]]/AVERAGEIF(DataTable[Strålkälla],DataTable[[#This Row],[Strålkälla]],DataTable[Sens_18])</f>
        <v>1.000984417129589</v>
      </c>
      <c r="HA38" s="19">
        <v>1275</v>
      </c>
      <c r="HB38" s="19">
        <v>1592</v>
      </c>
      <c r="HC38" s="19">
        <v>0.111</v>
      </c>
      <c r="HD38" s="19">
        <v>4.8000000000000001E-2</v>
      </c>
      <c r="HE38" s="19">
        <v>2.9000000000000001E-2</v>
      </c>
      <c r="HF38" s="19">
        <v>1484176</v>
      </c>
      <c r="HG38" s="19">
        <v>529</v>
      </c>
      <c r="HH38" s="19">
        <v>1</v>
      </c>
      <c r="HI38" s="19">
        <v>0</v>
      </c>
      <c r="HJ38" s="19">
        <v>14.138912985726996</v>
      </c>
      <c r="HK38" s="19">
        <f>DataTable[[#This Row],[Sens_19]]/AVERAGEIF(DataTable[Strålkälla],DataTable[[#This Row],[Strålkälla]],DataTable[Sens_19])</f>
        <v>0.99778011793930677</v>
      </c>
      <c r="HL38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0.111</v>
      </c>
      <c r="HM38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9.742105263157895E-2</v>
      </c>
      <c r="HN38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5.0999999999999997E-2</v>
      </c>
      <c r="HO38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4.2052631578947376E-2</v>
      </c>
      <c r="HP38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0.99778011793930677</v>
      </c>
      <c r="HQ38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0.99965887346568183</v>
      </c>
      <c r="HR38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1.001038325164928</v>
      </c>
      <c r="HS38" s="49"/>
    </row>
    <row r="39" spans="2:227" x14ac:dyDescent="0.25">
      <c r="B39" s="19" t="s">
        <v>43</v>
      </c>
      <c r="C39" s="20">
        <v>42464</v>
      </c>
      <c r="D39" s="21">
        <v>0.31465277777777778</v>
      </c>
      <c r="E39" s="13" t="s">
        <v>217</v>
      </c>
      <c r="F39" s="13">
        <v>109.8</v>
      </c>
      <c r="G39" s="13">
        <v>134.19999999999999</v>
      </c>
      <c r="H39" s="24">
        <v>25.688700000000001</v>
      </c>
      <c r="I39" s="22">
        <f>MATCH(DataTable[[#This Row],[Datum]],Övrigt!$D$10:$M$10,1)</f>
        <v>1</v>
      </c>
      <c r="J39" s="13"/>
      <c r="K39" s="22">
        <v>1863</v>
      </c>
      <c r="L39" s="22">
        <v>2227</v>
      </c>
      <c r="M39" s="23">
        <v>8.8999999999999996E-2</v>
      </c>
      <c r="N39" s="23">
        <v>4.3999999999999997E-2</v>
      </c>
      <c r="O39" s="23">
        <v>2.5999999999999999E-2</v>
      </c>
      <c r="P39" s="22">
        <v>2079867</v>
      </c>
      <c r="Q39" s="24">
        <v>511</v>
      </c>
      <c r="R39" s="22">
        <v>0</v>
      </c>
      <c r="S39" s="22">
        <v>0</v>
      </c>
      <c r="T39" s="19">
        <v>20.722020583719939</v>
      </c>
      <c r="U39" s="23">
        <f>DataTable[[#This Row],[Sens_1]]/AVERAGEIF(DataTable[Strålkälla],DataTable[[#This Row],[Strålkälla]],DataTable[Sens_1])</f>
        <v>1.0008710352033192</v>
      </c>
      <c r="V39" s="22">
        <v>2191</v>
      </c>
      <c r="W39" s="22">
        <v>2608</v>
      </c>
      <c r="X39" s="23">
        <v>8.6999999999999994E-2</v>
      </c>
      <c r="Y39" s="23">
        <v>3.9E-2</v>
      </c>
      <c r="Z39" s="23">
        <v>2.5999999999999999E-2</v>
      </c>
      <c r="AA39" s="22">
        <v>2446196</v>
      </c>
      <c r="AB39" s="24">
        <v>511</v>
      </c>
      <c r="AC39" s="22">
        <v>0</v>
      </c>
      <c r="AD39" s="22">
        <v>0</v>
      </c>
      <c r="AE39" s="19">
        <v>24.371810247392443</v>
      </c>
      <c r="AF39" s="23">
        <f>DataTable[[#This Row],[Sens_2]]/AVERAGEIF(DataTable[Strålkälla],DataTable[[#This Row],[Strålkälla]],DataTable[Sens_2])</f>
        <v>0.997415595004849</v>
      </c>
      <c r="AG39" s="22">
        <v>1875</v>
      </c>
      <c r="AH39" s="22">
        <v>2361</v>
      </c>
      <c r="AI39" s="23">
        <v>0.115</v>
      </c>
      <c r="AJ39" s="23">
        <v>4.3999999999999997E-2</v>
      </c>
      <c r="AK39" s="23">
        <v>2.5999999999999999E-2</v>
      </c>
      <c r="AL39" s="22">
        <v>2167902</v>
      </c>
      <c r="AM39" s="24">
        <v>511</v>
      </c>
      <c r="AN39" s="22">
        <v>1</v>
      </c>
      <c r="AO39" s="22">
        <v>1</v>
      </c>
      <c r="AP39" s="19">
        <v>21.599126226574882</v>
      </c>
      <c r="AQ39" s="23">
        <f>DataTable[[#This Row],[Sens_3]]/AVERAGEIF(DataTable[Strålkälla],DataTable[[#This Row],[Strålkälla]],DataTable[Sens_3])</f>
        <v>0.99829356062213448</v>
      </c>
      <c r="AR39" s="22">
        <v>1828</v>
      </c>
      <c r="AS39" s="22">
        <v>2195</v>
      </c>
      <c r="AT39" s="23">
        <v>9.0999999999999998E-2</v>
      </c>
      <c r="AU39" s="23">
        <v>3.5000000000000003E-2</v>
      </c>
      <c r="AV39" s="23">
        <v>2.5999999999999999E-2</v>
      </c>
      <c r="AW39" s="22">
        <v>2065916</v>
      </c>
      <c r="AX39" s="24">
        <v>511</v>
      </c>
      <c r="AY39" s="22">
        <v>0</v>
      </c>
      <c r="AZ39" s="22">
        <v>0</v>
      </c>
      <c r="BA39" s="19">
        <v>20.583024720444318</v>
      </c>
      <c r="BB39" s="23">
        <f>DataTable[[#This Row],[Sens_4]]/AVERAGEIF(DataTable[Strålkälla],DataTable[[#This Row],[Strålkälla]],DataTable[Sens_4])</f>
        <v>0.99956600886717761</v>
      </c>
      <c r="BC39" s="22">
        <v>2086</v>
      </c>
      <c r="BD39" s="22">
        <v>2448</v>
      </c>
      <c r="BE39" s="19">
        <v>0.08</v>
      </c>
      <c r="BF39" s="19">
        <v>4.4999999999999998E-2</v>
      </c>
      <c r="BG39" s="19">
        <v>2.4E-2</v>
      </c>
      <c r="BH39" s="19">
        <v>2313485</v>
      </c>
      <c r="BI39" s="19">
        <v>511</v>
      </c>
      <c r="BJ39" s="19">
        <v>0</v>
      </c>
      <c r="BK39" s="19">
        <v>0</v>
      </c>
      <c r="BL39" s="19">
        <v>23.049591050835136</v>
      </c>
      <c r="BM39" s="23">
        <f>DataTable[[#This Row],[Sens_5]]/AVERAGEIF(DataTable[Strålkälla],DataTable[[#This Row],[Strålkälla]],DataTable[Sens_5])</f>
        <v>1.0010154698843039</v>
      </c>
      <c r="BN39" s="19">
        <v>2058</v>
      </c>
      <c r="BO39" s="19">
        <v>2448</v>
      </c>
      <c r="BP39" s="19">
        <v>8.6999999999999994E-2</v>
      </c>
      <c r="BQ39" s="19">
        <v>3.3000000000000002E-2</v>
      </c>
      <c r="BR39" s="19">
        <v>2.4E-2</v>
      </c>
      <c r="BS39" s="19">
        <v>2309462</v>
      </c>
      <c r="BT39" s="19">
        <v>511</v>
      </c>
      <c r="BU39" s="19">
        <v>0</v>
      </c>
      <c r="BV39" s="19">
        <v>0</v>
      </c>
      <c r="BW39" s="19">
        <v>23.009509310604482</v>
      </c>
      <c r="BX39" s="23">
        <f>DataTable[[#This Row],[Sens_6]]/AVERAGEIF(DataTable[Strålkälla],DataTable[[#This Row],[Strålkälla]],DataTable[Sens_6])</f>
        <v>1.0025280308132325</v>
      </c>
      <c r="BY39" s="19">
        <v>1892</v>
      </c>
      <c r="BZ39" s="19">
        <v>2237</v>
      </c>
      <c r="CA39" s="19">
        <v>8.4000000000000005E-2</v>
      </c>
      <c r="CB39" s="19">
        <v>3.6999999999999998E-2</v>
      </c>
      <c r="CC39" s="19">
        <v>2.5000000000000001E-2</v>
      </c>
      <c r="CD39" s="19">
        <v>2109550</v>
      </c>
      <c r="CE39" s="19">
        <v>511</v>
      </c>
      <c r="CF39" s="19">
        <v>0</v>
      </c>
      <c r="CG39" s="19">
        <v>0</v>
      </c>
      <c r="CH39" s="19">
        <v>21.017756675011622</v>
      </c>
      <c r="CI39" s="23">
        <f>DataTable[[#This Row],[Sens_7]]/AVERAGEIF(DataTable[Strålkälla],DataTable[[#This Row],[Strålkälla]],DataTable[Sens_7])</f>
        <v>0.9999962478577018</v>
      </c>
      <c r="CJ39" s="19">
        <v>2228</v>
      </c>
      <c r="CK39" s="19">
        <v>2570</v>
      </c>
      <c r="CL39" s="19">
        <v>7.0999999999999994E-2</v>
      </c>
      <c r="CM39" s="19">
        <v>3.7999999999999999E-2</v>
      </c>
      <c r="CN39" s="19">
        <v>2.4E-2</v>
      </c>
      <c r="CO39" s="19">
        <v>2449847</v>
      </c>
      <c r="CP39" s="19">
        <v>511</v>
      </c>
      <c r="CQ39" s="19">
        <v>0</v>
      </c>
      <c r="CR39" s="19">
        <v>0</v>
      </c>
      <c r="CS39" s="19">
        <v>24.408185696952998</v>
      </c>
      <c r="CT39" s="23">
        <f>DataTable[[#This Row],[Sens_8]]/AVERAGEIF(DataTable[Strålkälla],DataTable[[#This Row],[Strålkälla]],DataTable[Sens_8])</f>
        <v>1.0004220054511515</v>
      </c>
      <c r="CU39" s="19">
        <v>1738</v>
      </c>
      <c r="CV39" s="19">
        <v>2123</v>
      </c>
      <c r="CW39" s="19">
        <v>0.1</v>
      </c>
      <c r="CX39" s="19">
        <v>3.9E-2</v>
      </c>
      <c r="CY39" s="19">
        <v>2.7E-2</v>
      </c>
      <c r="CZ39" s="19">
        <v>1973557</v>
      </c>
      <c r="DA39" s="19">
        <v>497</v>
      </c>
      <c r="DB39" s="19">
        <v>0</v>
      </c>
      <c r="DC39" s="19">
        <v>0</v>
      </c>
      <c r="DD39" s="19">
        <v>20.216721202802489</v>
      </c>
      <c r="DE39" s="23">
        <f>DataTable[[#This Row],[Sens_9]]/AVERAGEIF(DataTable[Strålkälla],DataTable[[#This Row],[Strålkälla]],DataTable[Sens_9])</f>
        <v>1.0017287042001952</v>
      </c>
      <c r="DF39" s="19">
        <v>1654</v>
      </c>
      <c r="DG39" s="19">
        <v>2075</v>
      </c>
      <c r="DH39" s="19">
        <v>0.113</v>
      </c>
      <c r="DI39" s="19">
        <v>4.8000000000000001E-2</v>
      </c>
      <c r="DJ39" s="19">
        <v>2.5999999999999999E-2</v>
      </c>
      <c r="DK39" s="19">
        <v>1905130</v>
      </c>
      <c r="DL39" s="19">
        <v>497</v>
      </c>
      <c r="DM39" s="19">
        <v>1</v>
      </c>
      <c r="DN39" s="19">
        <v>1</v>
      </c>
      <c r="DO39" s="19">
        <v>19.515768769331267</v>
      </c>
      <c r="DP39" s="23">
        <f>DataTable[[#This Row],[Sens_10]]/AVERAGEIF(DataTable[Strålkälla],DataTable[[#This Row],[Strålkälla]],DataTable[Sens_10])</f>
        <v>1.0002854060955988</v>
      </c>
      <c r="DQ39" s="19">
        <v>1489</v>
      </c>
      <c r="DR39" s="19">
        <v>1795</v>
      </c>
      <c r="DS39" s="19">
        <v>9.2999999999999999E-2</v>
      </c>
      <c r="DT39" s="19">
        <v>3.3000000000000002E-2</v>
      </c>
      <c r="DU39" s="19">
        <v>2.7E-2</v>
      </c>
      <c r="DV39" s="19">
        <v>1674661</v>
      </c>
      <c r="DW39" s="19">
        <v>497</v>
      </c>
      <c r="DX39" s="19">
        <v>0</v>
      </c>
      <c r="DY39" s="19">
        <v>0</v>
      </c>
      <c r="DZ39" s="19">
        <v>17.154890659963925</v>
      </c>
      <c r="EA39" s="23">
        <f>DataTable[[#This Row],[Sens_11]]/AVERAGEIF(DataTable[Strålkälla],DataTable[[#This Row],[Strålkälla]],DataTable[Sens_11])</f>
        <v>0.99912064666489486</v>
      </c>
      <c r="EB39" s="19">
        <v>1799</v>
      </c>
      <c r="EC39" s="19">
        <v>2138</v>
      </c>
      <c r="ED39" s="19">
        <v>8.5999999999999993E-2</v>
      </c>
      <c r="EE39" s="19">
        <v>0.04</v>
      </c>
      <c r="EF39" s="19">
        <v>2.5999999999999999E-2</v>
      </c>
      <c r="EG39" s="19">
        <v>1999066</v>
      </c>
      <c r="EH39" s="19">
        <v>497</v>
      </c>
      <c r="EI39" s="19">
        <v>0</v>
      </c>
      <c r="EJ39" s="19">
        <v>0</v>
      </c>
      <c r="EK39" s="19">
        <v>20.478030271231873</v>
      </c>
      <c r="EL39" s="23">
        <f>DataTable[[#This Row],[Sens_12]]/AVERAGEIF(DataTable[Strålkälla],DataTable[[#This Row],[Strålkälla]],DataTable[Sens_12])</f>
        <v>1.0005205026624449</v>
      </c>
      <c r="EM39" s="19">
        <v>1513</v>
      </c>
      <c r="EN39" s="19">
        <v>1896</v>
      </c>
      <c r="EO39" s="19">
        <v>0.112</v>
      </c>
      <c r="EP39" s="19">
        <v>4.5999999999999999E-2</v>
      </c>
      <c r="EQ39" s="19">
        <v>2.9000000000000001E-2</v>
      </c>
      <c r="ER39" s="19">
        <v>1704732</v>
      </c>
      <c r="ES39" s="19">
        <v>534</v>
      </c>
      <c r="ET39" s="19">
        <v>0</v>
      </c>
      <c r="EU39" s="19">
        <v>1</v>
      </c>
      <c r="EV39" s="19">
        <v>16.25295350912754</v>
      </c>
      <c r="EW39" s="19">
        <f>DataTable[[#This Row],[Sens_13]]/AVERAGEIF(DataTable[Strålkälla],DataTable[[#This Row],[Strålkälla]],DataTable[Sens_13])</f>
        <v>1.0012067413042574</v>
      </c>
      <c r="EX39" s="19">
        <v>1259</v>
      </c>
      <c r="EY39" s="19">
        <v>1574</v>
      </c>
      <c r="EZ39" s="19">
        <v>0.111</v>
      </c>
      <c r="FA39" s="19">
        <v>0.04</v>
      </c>
      <c r="FB39" s="19">
        <v>0.03</v>
      </c>
      <c r="FC39" s="19">
        <v>1453953</v>
      </c>
      <c r="FD39" s="19">
        <v>534</v>
      </c>
      <c r="FE39" s="19">
        <v>0</v>
      </c>
      <c r="FF39" s="19">
        <v>0</v>
      </c>
      <c r="FG39" s="19">
        <v>13.86202084166691</v>
      </c>
      <c r="FH39" s="19">
        <f>DataTable[[#This Row],[Sens_14]]/AVERAGEIF(DataTable[Strålkälla],DataTable[[#This Row],[Strålkälla]],DataTable[Sens_14])</f>
        <v>1.0006544558140091</v>
      </c>
      <c r="FI39" s="19">
        <v>1429</v>
      </c>
      <c r="FJ39" s="19">
        <v>1744</v>
      </c>
      <c r="FK39" s="19">
        <v>9.9000000000000005E-2</v>
      </c>
      <c r="FL39" s="19">
        <v>3.6999999999999998E-2</v>
      </c>
      <c r="FM39" s="19">
        <v>2.8000000000000001E-2</v>
      </c>
      <c r="FN39" s="19">
        <v>1620573</v>
      </c>
      <c r="FO39" s="19">
        <v>534</v>
      </c>
      <c r="FP39" s="19">
        <v>0</v>
      </c>
      <c r="FQ39" s="19">
        <v>0</v>
      </c>
      <c r="FR39" s="19">
        <v>15.450579696484459</v>
      </c>
      <c r="FS39" s="19">
        <f>DataTable[[#This Row],[Sens_15]]/AVERAGEIF(DataTable[Strålkälla],DataTable[[#This Row],[Strålkälla]],DataTable[Sens_15])</f>
        <v>0.99896291948998228</v>
      </c>
      <c r="FT39" s="19">
        <v>1280</v>
      </c>
      <c r="FU39" s="19">
        <v>1579</v>
      </c>
      <c r="FV39" s="19">
        <v>0.105</v>
      </c>
      <c r="FW39" s="19">
        <v>4.2999999999999997E-2</v>
      </c>
      <c r="FX39" s="19">
        <v>2.8000000000000001E-2</v>
      </c>
      <c r="FY39" s="19">
        <v>1465333</v>
      </c>
      <c r="FZ39" s="19">
        <v>534</v>
      </c>
      <c r="GA39" s="19">
        <v>0</v>
      </c>
      <c r="GB39" s="19">
        <v>0</v>
      </c>
      <c r="GC39" s="19">
        <v>13.97051801948364</v>
      </c>
      <c r="GD39" s="19">
        <f>DataTable[[#This Row],[Sens_16]]/AVERAGEIF(DataTable[Strålkälla],DataTable[[#This Row],[Strålkälla]],DataTable[Sens_16])</f>
        <v>1.0004347143014392</v>
      </c>
      <c r="GE39" s="19">
        <v>1208</v>
      </c>
      <c r="GF39" s="19">
        <v>1514</v>
      </c>
      <c r="GG39" s="19">
        <v>0.112</v>
      </c>
      <c r="GH39" s="19">
        <v>4.8000000000000001E-2</v>
      </c>
      <c r="GI39" s="19">
        <v>3.2000000000000001E-2</v>
      </c>
      <c r="GJ39" s="19">
        <v>1407887</v>
      </c>
      <c r="GK39" s="19">
        <v>534</v>
      </c>
      <c r="GL39" s="19">
        <v>0</v>
      </c>
      <c r="GM39" s="19">
        <v>0</v>
      </c>
      <c r="GN39" s="19">
        <v>13.42282655403022</v>
      </c>
      <c r="GO39" s="19">
        <f>DataTable[[#This Row],[Sens_17]]/AVERAGEIF(DataTable[Strålkälla],DataTable[[#This Row],[Strålkälla]],DataTable[Sens_17])</f>
        <v>0.99843932546553926</v>
      </c>
      <c r="GP39" s="19">
        <v>1469</v>
      </c>
      <c r="GQ39" s="19">
        <v>1730</v>
      </c>
      <c r="GR39" s="19">
        <v>8.2000000000000003E-2</v>
      </c>
      <c r="GS39" s="19">
        <v>4.9000000000000002E-2</v>
      </c>
      <c r="GT39" s="19">
        <v>2.8000000000000001E-2</v>
      </c>
      <c r="GU39" s="19">
        <v>1632003</v>
      </c>
      <c r="GV39" s="19">
        <v>534</v>
      </c>
      <c r="GW39" s="19">
        <v>0</v>
      </c>
      <c r="GX39" s="19">
        <v>0</v>
      </c>
      <c r="GY39" s="19">
        <v>15.559553575433952</v>
      </c>
      <c r="GZ39" s="19">
        <f>DataTable[[#This Row],[Sens_18]]/AVERAGEIF(DataTable[Strålkälla],DataTable[[#This Row],[Strålkälla]],DataTable[Sens_18])</f>
        <v>1.0001094556007506</v>
      </c>
      <c r="HA39" s="19">
        <v>1303</v>
      </c>
      <c r="HB39" s="19">
        <v>1611</v>
      </c>
      <c r="HC39" s="19">
        <v>0.106</v>
      </c>
      <c r="HD39" s="19">
        <v>4.2000000000000003E-2</v>
      </c>
      <c r="HE39" s="19">
        <v>3.1E-2</v>
      </c>
      <c r="HF39" s="19">
        <v>1486912</v>
      </c>
      <c r="HG39" s="19">
        <v>534</v>
      </c>
      <c r="HH39" s="19">
        <v>0</v>
      </c>
      <c r="HI39" s="19">
        <v>0</v>
      </c>
      <c r="HJ39" s="19">
        <v>14.176252694361253</v>
      </c>
      <c r="HK39" s="19">
        <f>DataTable[[#This Row],[Sens_19]]/AVERAGEIF(DataTable[Strålkälla],DataTable[[#This Row],[Strålkälla]],DataTable[Sens_19])</f>
        <v>1.0004151733302351</v>
      </c>
      <c r="HL39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0.115</v>
      </c>
      <c r="HM39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9.5947368421052656E-2</v>
      </c>
      <c r="HN39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4.9000000000000002E-2</v>
      </c>
      <c r="HO39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4.1052631578947375E-2</v>
      </c>
      <c r="HP39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0.997415595004849</v>
      </c>
      <c r="HQ39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1.0001045262438535</v>
      </c>
      <c r="HR39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1.0025280308132325</v>
      </c>
      <c r="HS39" s="49"/>
    </row>
    <row r="40" spans="2:227" x14ac:dyDescent="0.25">
      <c r="B40" s="19" t="s">
        <v>43</v>
      </c>
      <c r="C40" s="20">
        <v>42473</v>
      </c>
      <c r="D40" s="21">
        <v>0.31722222222222224</v>
      </c>
      <c r="E40" s="13" t="s">
        <v>217</v>
      </c>
      <c r="F40" s="13">
        <v>109.8</v>
      </c>
      <c r="G40" s="13">
        <v>134.19999999999999</v>
      </c>
      <c r="H40" s="24">
        <v>26.320699999999999</v>
      </c>
      <c r="I40" s="22">
        <f>MATCH(DataTable[[#This Row],[Datum]],Övrigt!$D$10:$M$10,1)</f>
        <v>1</v>
      </c>
      <c r="J40" s="13"/>
      <c r="K40" s="22">
        <v>1766</v>
      </c>
      <c r="L40" s="22">
        <v>2297</v>
      </c>
      <c r="M40" s="23">
        <v>0.13100000000000001</v>
      </c>
      <c r="N40" s="23">
        <v>5.3999999999999999E-2</v>
      </c>
      <c r="O40" s="23">
        <v>2.8000000000000001E-2</v>
      </c>
      <c r="P40" s="22">
        <v>2073504</v>
      </c>
      <c r="Q40" s="24">
        <v>524</v>
      </c>
      <c r="R40" s="22">
        <v>1</v>
      </c>
      <c r="S40" s="22">
        <v>1</v>
      </c>
      <c r="T40" s="19">
        <v>20.613944796370884</v>
      </c>
      <c r="U40" s="23">
        <f>DataTable[[#This Row],[Sens_1]]/AVERAGEIF(DataTable[Strålkälla],DataTable[[#This Row],[Strålkälla]],DataTable[Sens_1])</f>
        <v>0.99565098802078511</v>
      </c>
      <c r="V40" s="22">
        <v>2216</v>
      </c>
      <c r="W40" s="22">
        <v>2584</v>
      </c>
      <c r="X40" s="23">
        <v>7.6999999999999999E-2</v>
      </c>
      <c r="Y40" s="23">
        <v>3.4000000000000002E-2</v>
      </c>
      <c r="Z40" s="23">
        <v>2.4E-2</v>
      </c>
      <c r="AA40" s="22">
        <v>2453282</v>
      </c>
      <c r="AB40" s="24">
        <v>524</v>
      </c>
      <c r="AC40" s="22">
        <v>0</v>
      </c>
      <c r="AD40" s="22">
        <v>0</v>
      </c>
      <c r="AE40" s="19">
        <v>24.389545290450542</v>
      </c>
      <c r="AF40" s="23">
        <f>DataTable[[#This Row],[Sens_2]]/AVERAGEIF(DataTable[Strålkälla],DataTable[[#This Row],[Strålkälla]],DataTable[Sens_2])</f>
        <v>0.9981414011039722</v>
      </c>
      <c r="AG40" s="22">
        <v>1937</v>
      </c>
      <c r="AH40" s="22">
        <v>2367</v>
      </c>
      <c r="AI40" s="23">
        <v>0.1</v>
      </c>
      <c r="AJ40" s="23">
        <v>3.4000000000000002E-2</v>
      </c>
      <c r="AK40" s="23">
        <v>2.5000000000000001E-2</v>
      </c>
      <c r="AL40" s="22">
        <v>2170424</v>
      </c>
      <c r="AM40" s="24">
        <v>524</v>
      </c>
      <c r="AN40" s="22">
        <v>0</v>
      </c>
      <c r="AO40" s="22">
        <v>1</v>
      </c>
      <c r="AP40" s="19">
        <v>21.577484548242243</v>
      </c>
      <c r="AQ40" s="23">
        <f>DataTable[[#This Row],[Sens_3]]/AVERAGEIF(DataTable[Strålkälla],DataTable[[#This Row],[Strålkälla]],DataTable[Sens_3])</f>
        <v>0.9972933003387372</v>
      </c>
      <c r="AR40" s="22">
        <v>1857</v>
      </c>
      <c r="AS40" s="22">
        <v>2267</v>
      </c>
      <c r="AT40" s="23">
        <v>9.9000000000000005E-2</v>
      </c>
      <c r="AU40" s="23">
        <v>4.1000000000000002E-2</v>
      </c>
      <c r="AV40" s="23">
        <v>2.5999999999999999E-2</v>
      </c>
      <c r="AW40" s="22">
        <v>2064007</v>
      </c>
      <c r="AX40" s="24">
        <v>524</v>
      </c>
      <c r="AY40" s="22">
        <v>0</v>
      </c>
      <c r="AZ40" s="22">
        <v>1</v>
      </c>
      <c r="BA40" s="19">
        <v>20.519529432942054</v>
      </c>
      <c r="BB40" s="23">
        <f>DataTable[[#This Row],[Sens_4]]/AVERAGEIF(DataTable[Strålkälla],DataTable[[#This Row],[Strålkälla]],DataTable[Sens_4])</f>
        <v>0.99648251011164868</v>
      </c>
      <c r="BC40" s="22">
        <v>2050</v>
      </c>
      <c r="BD40" s="22">
        <v>2442</v>
      </c>
      <c r="BE40" s="19">
        <v>8.6999999999999994E-2</v>
      </c>
      <c r="BF40" s="19">
        <v>3.3000000000000002E-2</v>
      </c>
      <c r="BG40" s="19">
        <v>2.1999999999999999E-2</v>
      </c>
      <c r="BH40" s="19">
        <v>2312965</v>
      </c>
      <c r="BI40" s="19">
        <v>524</v>
      </c>
      <c r="BJ40" s="19">
        <v>1</v>
      </c>
      <c r="BK40" s="19">
        <v>0</v>
      </c>
      <c r="BL40" s="19">
        <v>22.994569977168108</v>
      </c>
      <c r="BM40" s="23">
        <f>DataTable[[#This Row],[Sens_5]]/AVERAGEIF(DataTable[Strålkälla],DataTable[[#This Row],[Strålkälla]],DataTable[Sens_5])</f>
        <v>0.99862597213621507</v>
      </c>
      <c r="BN40" s="19">
        <v>2064</v>
      </c>
      <c r="BO40" s="19">
        <v>2456</v>
      </c>
      <c r="BP40" s="19">
        <v>8.6999999999999994E-2</v>
      </c>
      <c r="BQ40" s="19">
        <v>3.5999999999999997E-2</v>
      </c>
      <c r="BR40" s="19">
        <v>2.4E-2</v>
      </c>
      <c r="BS40" s="19">
        <v>2307055</v>
      </c>
      <c r="BT40" s="19">
        <v>524</v>
      </c>
      <c r="BU40" s="19">
        <v>0</v>
      </c>
      <c r="BV40" s="19">
        <v>0</v>
      </c>
      <c r="BW40" s="19">
        <v>22.935815128493328</v>
      </c>
      <c r="BX40" s="23">
        <f>DataTable[[#This Row],[Sens_6]]/AVERAGEIF(DataTable[Strålkälla],DataTable[[#This Row],[Strålkälla]],DataTable[Sens_6])</f>
        <v>0.99931716341588916</v>
      </c>
      <c r="BY40" s="19">
        <v>1888</v>
      </c>
      <c r="BZ40" s="19">
        <v>2253</v>
      </c>
      <c r="CA40" s="19">
        <v>8.7999999999999995E-2</v>
      </c>
      <c r="CB40" s="19">
        <v>4.7E-2</v>
      </c>
      <c r="CC40" s="19">
        <v>2.5999999999999999E-2</v>
      </c>
      <c r="CD40" s="19">
        <v>2112053</v>
      </c>
      <c r="CE40" s="19">
        <v>524</v>
      </c>
      <c r="CF40" s="19">
        <v>0</v>
      </c>
      <c r="CG40" s="19">
        <v>0</v>
      </c>
      <c r="CH40" s="19">
        <v>20.99718348699087</v>
      </c>
      <c r="CI40" s="23">
        <f>DataTable[[#This Row],[Sens_7]]/AVERAGEIF(DataTable[Strålkälla],DataTable[[#This Row],[Strålkälla]],DataTable[Sens_7])</f>
        <v>0.99901740358115332</v>
      </c>
      <c r="CJ40" s="19">
        <v>2201</v>
      </c>
      <c r="CK40" s="19">
        <v>2587</v>
      </c>
      <c r="CL40" s="19">
        <v>8.1000000000000003E-2</v>
      </c>
      <c r="CM40" s="19">
        <v>0.04</v>
      </c>
      <c r="CN40" s="19">
        <v>2.5000000000000001E-2</v>
      </c>
      <c r="CO40" s="19">
        <v>2450042</v>
      </c>
      <c r="CP40" s="19">
        <v>524</v>
      </c>
      <c r="CQ40" s="19">
        <v>0</v>
      </c>
      <c r="CR40" s="19">
        <v>0</v>
      </c>
      <c r="CS40" s="19">
        <v>24.357334510466398</v>
      </c>
      <c r="CT40" s="23">
        <f>DataTable[[#This Row],[Sens_8]]/AVERAGEIF(DataTable[Strålkälla],DataTable[[#This Row],[Strålkälla]],DataTable[Sens_8])</f>
        <v>0.99833776016573283</v>
      </c>
      <c r="CU40" s="19">
        <v>1791</v>
      </c>
      <c r="CV40" s="19">
        <v>2134</v>
      </c>
      <c r="CW40" s="19">
        <v>8.6999999999999994E-2</v>
      </c>
      <c r="CX40" s="19">
        <v>4.2999999999999997E-2</v>
      </c>
      <c r="CY40" s="19">
        <v>2.5999999999999999E-2</v>
      </c>
      <c r="CZ40" s="19">
        <v>1971410</v>
      </c>
      <c r="DA40" s="19">
        <v>509</v>
      </c>
      <c r="DB40" s="19">
        <v>0</v>
      </c>
      <c r="DC40" s="19">
        <v>1</v>
      </c>
      <c r="DD40" s="19">
        <v>20.176539920150397</v>
      </c>
      <c r="DE40" s="23">
        <f>DataTable[[#This Row],[Sens_9]]/AVERAGEIF(DataTable[Strålkälla],DataTable[[#This Row],[Strålkälla]],DataTable[Sens_9])</f>
        <v>0.99973774118495606</v>
      </c>
      <c r="DF40" s="19">
        <v>1643</v>
      </c>
      <c r="DG40" s="19">
        <v>2041</v>
      </c>
      <c r="DH40" s="19">
        <v>0.108</v>
      </c>
      <c r="DI40" s="19">
        <v>4.8000000000000001E-2</v>
      </c>
      <c r="DJ40" s="19">
        <v>2.5999999999999999E-2</v>
      </c>
      <c r="DK40" s="19">
        <v>1903707</v>
      </c>
      <c r="DL40" s="19">
        <v>509</v>
      </c>
      <c r="DM40" s="19">
        <v>1</v>
      </c>
      <c r="DN40" s="19">
        <v>0</v>
      </c>
      <c r="DO40" s="19">
        <v>19.48362861189187</v>
      </c>
      <c r="DP40" s="23">
        <f>DataTable[[#This Row],[Sens_10]]/AVERAGEIF(DataTable[Strålkälla],DataTable[[#This Row],[Strålkälla]],DataTable[Sens_10])</f>
        <v>0.99863805462222177</v>
      </c>
      <c r="DQ40" s="19">
        <v>1481</v>
      </c>
      <c r="DR40" s="19">
        <v>1826</v>
      </c>
      <c r="DS40" s="19">
        <v>0.104</v>
      </c>
      <c r="DT40" s="19">
        <v>4.9000000000000002E-2</v>
      </c>
      <c r="DU40" s="19">
        <v>2.8000000000000001E-2</v>
      </c>
      <c r="DV40" s="19">
        <v>1676668</v>
      </c>
      <c r="DW40" s="19">
        <v>509</v>
      </c>
      <c r="DX40" s="19">
        <v>0</v>
      </c>
      <c r="DY40" s="19">
        <v>1</v>
      </c>
      <c r="DZ40" s="19">
        <v>17.159981350829472</v>
      </c>
      <c r="EA40" s="23">
        <f>DataTable[[#This Row],[Sens_11]]/AVERAGEIF(DataTable[Strålkälla],DataTable[[#This Row],[Strålkälla]],DataTable[Sens_11])</f>
        <v>0.99941713438086888</v>
      </c>
      <c r="EB40" s="19">
        <v>1775</v>
      </c>
      <c r="EC40" s="19">
        <v>2158</v>
      </c>
      <c r="ED40" s="19">
        <v>9.7000000000000003E-2</v>
      </c>
      <c r="EE40" s="19">
        <v>0.04</v>
      </c>
      <c r="EF40" s="19">
        <v>2.5999999999999999E-2</v>
      </c>
      <c r="EG40" s="19">
        <v>2000368</v>
      </c>
      <c r="EH40" s="19">
        <v>509</v>
      </c>
      <c r="EI40" s="19">
        <v>0</v>
      </c>
      <c r="EJ40" s="19">
        <v>1</v>
      </c>
      <c r="EK40" s="19">
        <v>20.472912690405046</v>
      </c>
      <c r="EL40" s="23">
        <f>DataTable[[#This Row],[Sens_12]]/AVERAGEIF(DataTable[Strålkälla],DataTable[[#This Row],[Strålkälla]],DataTable[Sens_12])</f>
        <v>1.000270466673951</v>
      </c>
      <c r="EM40" s="19">
        <v>1465</v>
      </c>
      <c r="EN40" s="19">
        <v>1905</v>
      </c>
      <c r="EO40" s="19">
        <v>0.13100000000000001</v>
      </c>
      <c r="EP40" s="19">
        <v>0.05</v>
      </c>
      <c r="EQ40" s="19">
        <v>2.7E-2</v>
      </c>
      <c r="ER40" s="19">
        <v>1704950</v>
      </c>
      <c r="ES40" s="19">
        <v>546</v>
      </c>
      <c r="ET40" s="19">
        <v>1</v>
      </c>
      <c r="EU40" s="19">
        <v>1</v>
      </c>
      <c r="EV40" s="19">
        <v>16.266964642403778</v>
      </c>
      <c r="EW40" s="19">
        <f>DataTable[[#This Row],[Sens_13]]/AVERAGEIF(DataTable[Strålkälla],DataTable[[#This Row],[Strålkälla]],DataTable[Sens_13])</f>
        <v>1.0020698484977655</v>
      </c>
      <c r="EX40" s="19">
        <v>1296</v>
      </c>
      <c r="EY40" s="19">
        <v>1562</v>
      </c>
      <c r="EZ40" s="19">
        <v>9.2999999999999999E-2</v>
      </c>
      <c r="FA40" s="19">
        <v>4.1000000000000002E-2</v>
      </c>
      <c r="FB40" s="19">
        <v>2.9000000000000001E-2</v>
      </c>
      <c r="FC40" s="19">
        <v>1452220</v>
      </c>
      <c r="FD40" s="19">
        <v>546</v>
      </c>
      <c r="FE40" s="19">
        <v>0</v>
      </c>
      <c r="FF40" s="19">
        <v>0</v>
      </c>
      <c r="FG40" s="19">
        <v>13.855662273375533</v>
      </c>
      <c r="FH40" s="19">
        <f>DataTable[[#This Row],[Sens_14]]/AVERAGEIF(DataTable[Strålkälla],DataTable[[#This Row],[Strålkälla]],DataTable[Sens_14])</f>
        <v>1.0001954513321922</v>
      </c>
      <c r="FI40" s="19">
        <v>1461</v>
      </c>
      <c r="FJ40" s="19">
        <v>1729</v>
      </c>
      <c r="FK40" s="19">
        <v>8.4000000000000005E-2</v>
      </c>
      <c r="FL40" s="19">
        <v>3.5000000000000003E-2</v>
      </c>
      <c r="FM40" s="19">
        <v>2.9000000000000001E-2</v>
      </c>
      <c r="FN40" s="19">
        <v>1621371</v>
      </c>
      <c r="FO40" s="19">
        <v>546</v>
      </c>
      <c r="FP40" s="19">
        <v>0</v>
      </c>
      <c r="FQ40" s="19">
        <v>0</v>
      </c>
      <c r="FR40" s="19">
        <v>15.469535604691549</v>
      </c>
      <c r="FS40" s="19">
        <f>DataTable[[#This Row],[Sens_15]]/AVERAGEIF(DataTable[Strålkälla],DataTable[[#This Row],[Strålkälla]],DataTable[Sens_15])</f>
        <v>1.0001885207150578</v>
      </c>
      <c r="FT40" s="19">
        <v>1312</v>
      </c>
      <c r="FU40" s="19">
        <v>1574</v>
      </c>
      <c r="FV40" s="19">
        <v>9.0999999999999998E-2</v>
      </c>
      <c r="FW40" s="19">
        <v>3.7999999999999999E-2</v>
      </c>
      <c r="FX40" s="19">
        <v>2.9000000000000001E-2</v>
      </c>
      <c r="FY40" s="19">
        <v>1467420</v>
      </c>
      <c r="FZ40" s="19">
        <v>546</v>
      </c>
      <c r="GA40" s="19">
        <v>0</v>
      </c>
      <c r="GB40" s="19">
        <v>0</v>
      </c>
      <c r="GC40" s="19">
        <v>14.000685800496292</v>
      </c>
      <c r="GD40" s="19">
        <f>DataTable[[#This Row],[Sens_16]]/AVERAGEIF(DataTable[Strålkälla],DataTable[[#This Row],[Strålkälla]],DataTable[Sens_16])</f>
        <v>1.0025950418810186</v>
      </c>
      <c r="GE40" s="19">
        <v>1239</v>
      </c>
      <c r="GF40" s="19">
        <v>1516</v>
      </c>
      <c r="GG40" s="19">
        <v>0.10100000000000001</v>
      </c>
      <c r="GH40" s="19">
        <v>4.2999999999999997E-2</v>
      </c>
      <c r="GI40" s="19">
        <v>2.9000000000000001E-2</v>
      </c>
      <c r="GJ40" s="19">
        <v>1409408</v>
      </c>
      <c r="GK40" s="19">
        <v>546</v>
      </c>
      <c r="GL40" s="19">
        <v>0</v>
      </c>
      <c r="GM40" s="19">
        <v>0</v>
      </c>
      <c r="GN40" s="19">
        <v>13.447192060014091</v>
      </c>
      <c r="GO40" s="19">
        <f>DataTable[[#This Row],[Sens_17]]/AVERAGEIF(DataTable[Strålkälla],DataTable[[#This Row],[Strålkälla]],DataTable[Sens_17])</f>
        <v>1.0002517216297331</v>
      </c>
      <c r="GP40" s="19">
        <v>1466</v>
      </c>
      <c r="GQ40" s="19">
        <v>1737</v>
      </c>
      <c r="GR40" s="19">
        <v>8.5000000000000006E-2</v>
      </c>
      <c r="GS40" s="19">
        <v>4.2000000000000003E-2</v>
      </c>
      <c r="GT40" s="19">
        <v>2.7E-2</v>
      </c>
      <c r="GU40" s="19">
        <v>1632818</v>
      </c>
      <c r="GV40" s="19">
        <v>546</v>
      </c>
      <c r="GW40" s="19">
        <v>0</v>
      </c>
      <c r="GX40" s="19">
        <v>0</v>
      </c>
      <c r="GY40" s="19">
        <v>15.578751678043609</v>
      </c>
      <c r="GZ40" s="19">
        <f>DataTable[[#This Row],[Sens_18]]/AVERAGEIF(DataTable[Strålkälla],DataTable[[#This Row],[Strålkälla]],DataTable[Sens_18])</f>
        <v>1.0013434372735812</v>
      </c>
      <c r="HA40" s="19">
        <v>1306</v>
      </c>
      <c r="HB40" s="19">
        <v>1598</v>
      </c>
      <c r="HC40" s="19">
        <v>0.10100000000000001</v>
      </c>
      <c r="HD40" s="19">
        <v>0.05</v>
      </c>
      <c r="HE40" s="19">
        <v>0.03</v>
      </c>
      <c r="HF40" s="19">
        <v>1482688</v>
      </c>
      <c r="HG40" s="19">
        <v>546</v>
      </c>
      <c r="HH40" s="19">
        <v>0</v>
      </c>
      <c r="HI40" s="19">
        <v>0</v>
      </c>
      <c r="HJ40" s="19">
        <v>14.146358117080485</v>
      </c>
      <c r="HK40" s="19">
        <f>DataTable[[#This Row],[Sens_19]]/AVERAGEIF(DataTable[Strålkälla],DataTable[[#This Row],[Strålkälla]],DataTable[Sens_19])</f>
        <v>0.99830551929423805</v>
      </c>
      <c r="HL40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0.13100000000000001</v>
      </c>
      <c r="HM40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9.6421052631578935E-2</v>
      </c>
      <c r="HN40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5.3999999999999999E-2</v>
      </c>
      <c r="HO40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4.200000000000001E-2</v>
      </c>
      <c r="HP40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0.99565098802078511</v>
      </c>
      <c r="HQ40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0.99925681243998532</v>
      </c>
      <c r="HR40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1.0025950418810186</v>
      </c>
      <c r="HS40" s="49"/>
    </row>
    <row r="41" spans="2:227" x14ac:dyDescent="0.25">
      <c r="B41" s="19" t="s">
        <v>43</v>
      </c>
      <c r="C41" s="20">
        <v>42480</v>
      </c>
      <c r="D41" s="21">
        <v>0.31516203703703705</v>
      </c>
      <c r="E41" s="13" t="s">
        <v>217</v>
      </c>
      <c r="F41" s="13">
        <v>109.8</v>
      </c>
      <c r="G41" s="13">
        <v>134.19999999999999</v>
      </c>
      <c r="H41" s="24">
        <v>26.788</v>
      </c>
      <c r="I41" s="22">
        <f>MATCH(DataTable[[#This Row],[Datum]],Övrigt!$D$10:$M$10,1)</f>
        <v>1</v>
      </c>
      <c r="J41" s="13"/>
      <c r="K41" s="22">
        <v>1838</v>
      </c>
      <c r="L41" s="22">
        <v>2226</v>
      </c>
      <c r="M41" s="23">
        <v>9.5000000000000001E-2</v>
      </c>
      <c r="N41" s="23">
        <v>0.05</v>
      </c>
      <c r="O41" s="23">
        <v>2.5999999999999999E-2</v>
      </c>
      <c r="P41" s="22">
        <v>2078325</v>
      </c>
      <c r="Q41" s="24">
        <v>533</v>
      </c>
      <c r="R41" s="22">
        <v>0</v>
      </c>
      <c r="S41" s="22">
        <v>0</v>
      </c>
      <c r="T41" s="19">
        <v>20.678940268496675</v>
      </c>
      <c r="U41" s="23">
        <f>DataTable[[#This Row],[Sens_1]]/AVERAGEIF(DataTable[Strålkälla],DataTable[[#This Row],[Strålkälla]],DataTable[Sens_1])</f>
        <v>0.99879026129808202</v>
      </c>
      <c r="V41" s="22">
        <v>2191</v>
      </c>
      <c r="W41" s="22">
        <v>2631</v>
      </c>
      <c r="X41" s="23">
        <v>9.0999999999999998E-2</v>
      </c>
      <c r="Y41" s="23">
        <v>3.6999999999999998E-2</v>
      </c>
      <c r="Z41" s="23">
        <v>2.4E-2</v>
      </c>
      <c r="AA41" s="22">
        <v>2452277</v>
      </c>
      <c r="AB41" s="24">
        <v>533</v>
      </c>
      <c r="AC41" s="22">
        <v>0</v>
      </c>
      <c r="AD41" s="22">
        <v>1</v>
      </c>
      <c r="AE41" s="19">
        <v>24.399691869562371</v>
      </c>
      <c r="AF41" s="23">
        <f>DataTable[[#This Row],[Sens_2]]/AVERAGEIF(DataTable[Strålkälla],DataTable[[#This Row],[Strålkälla]],DataTable[Sens_2])</f>
        <v>0.99855664954630619</v>
      </c>
      <c r="AG41" s="22">
        <v>1914</v>
      </c>
      <c r="AH41" s="22">
        <v>2328</v>
      </c>
      <c r="AI41" s="23">
        <v>9.8000000000000004E-2</v>
      </c>
      <c r="AJ41" s="23">
        <v>4.2999999999999997E-2</v>
      </c>
      <c r="AK41" s="23">
        <v>2.5000000000000001E-2</v>
      </c>
      <c r="AL41" s="22">
        <v>2171535</v>
      </c>
      <c r="AM41" s="24">
        <v>533</v>
      </c>
      <c r="AN41" s="22">
        <v>0</v>
      </c>
      <c r="AO41" s="22">
        <v>0</v>
      </c>
      <c r="AP41" s="19">
        <v>21.606362121395801</v>
      </c>
      <c r="AQ41" s="23">
        <f>DataTable[[#This Row],[Sens_3]]/AVERAGEIF(DataTable[Strålkälla],DataTable[[#This Row],[Strålkälla]],DataTable[Sens_3])</f>
        <v>0.99862799763265464</v>
      </c>
      <c r="AR41" s="22">
        <v>1842</v>
      </c>
      <c r="AS41" s="22">
        <v>2175</v>
      </c>
      <c r="AT41" s="23">
        <v>8.3000000000000004E-2</v>
      </c>
      <c r="AU41" s="23">
        <v>4.1000000000000002E-2</v>
      </c>
      <c r="AV41" s="23">
        <v>2.5000000000000001E-2</v>
      </c>
      <c r="AW41" s="22">
        <v>2064221</v>
      </c>
      <c r="AX41" s="24">
        <v>533</v>
      </c>
      <c r="AY41" s="22">
        <v>0</v>
      </c>
      <c r="AZ41" s="22">
        <v>0</v>
      </c>
      <c r="BA41" s="19">
        <v>20.538608138754274</v>
      </c>
      <c r="BB41" s="23">
        <f>DataTable[[#This Row],[Sens_4]]/AVERAGEIF(DataTable[Strålkälla],DataTable[[#This Row],[Strålkälla]],DataTable[Sens_4])</f>
        <v>0.99740902242371565</v>
      </c>
      <c r="BC41" s="22">
        <v>2079</v>
      </c>
      <c r="BD41" s="22">
        <v>2441</v>
      </c>
      <c r="BE41" s="19">
        <v>0.08</v>
      </c>
      <c r="BF41" s="19">
        <v>4.1000000000000002E-2</v>
      </c>
      <c r="BG41" s="19">
        <v>2.3E-2</v>
      </c>
      <c r="BH41" s="19">
        <v>2311965</v>
      </c>
      <c r="BI41" s="19">
        <v>533</v>
      </c>
      <c r="BJ41" s="19">
        <v>0</v>
      </c>
      <c r="BK41" s="19">
        <v>0</v>
      </c>
      <c r="BL41" s="19">
        <v>23.003614034308836</v>
      </c>
      <c r="BM41" s="23">
        <f>DataTable[[#This Row],[Sens_5]]/AVERAGEIF(DataTable[Strålkälla],DataTable[[#This Row],[Strålkälla]],DataTable[Sens_5])</f>
        <v>0.99901874444564209</v>
      </c>
      <c r="BN41" s="19">
        <v>2081</v>
      </c>
      <c r="BO41" s="19">
        <v>2435</v>
      </c>
      <c r="BP41" s="19">
        <v>7.8E-2</v>
      </c>
      <c r="BQ41" s="19">
        <v>3.3000000000000002E-2</v>
      </c>
      <c r="BR41" s="19">
        <v>2.4E-2</v>
      </c>
      <c r="BS41" s="19">
        <v>2305156</v>
      </c>
      <c r="BT41" s="19">
        <v>533</v>
      </c>
      <c r="BU41" s="19">
        <v>0</v>
      </c>
      <c r="BV41" s="19">
        <v>0</v>
      </c>
      <c r="BW41" s="19">
        <v>22.935865773431352</v>
      </c>
      <c r="BX41" s="23">
        <f>DataTable[[#This Row],[Sens_6]]/AVERAGEIF(DataTable[Strålkälla],DataTable[[#This Row],[Strålkälla]],DataTable[Sens_6])</f>
        <v>0.99931937002400506</v>
      </c>
      <c r="BY41" s="19">
        <v>1851</v>
      </c>
      <c r="BZ41" s="19">
        <v>2301</v>
      </c>
      <c r="CA41" s="19">
        <v>0.108</v>
      </c>
      <c r="CB41" s="19">
        <v>2.9000000000000001E-2</v>
      </c>
      <c r="CC41" s="19">
        <v>2.5999999999999999E-2</v>
      </c>
      <c r="CD41" s="19">
        <v>2108393</v>
      </c>
      <c r="CE41" s="19">
        <v>533</v>
      </c>
      <c r="CF41" s="19">
        <v>0</v>
      </c>
      <c r="CG41" s="19">
        <v>2</v>
      </c>
      <c r="CH41" s="19">
        <v>20.978111175834631</v>
      </c>
      <c r="CI41" s="23">
        <f>DataTable[[#This Row],[Sens_7]]/AVERAGEIF(DataTable[Strålkälla],DataTable[[#This Row],[Strålkälla]],DataTable[Sens_7])</f>
        <v>0.99810996898244142</v>
      </c>
      <c r="CJ41" s="19">
        <v>2172</v>
      </c>
      <c r="CK41" s="19">
        <v>2613</v>
      </c>
      <c r="CL41" s="19">
        <v>9.1999999999999998E-2</v>
      </c>
      <c r="CM41" s="19">
        <v>4.1000000000000002E-2</v>
      </c>
      <c r="CN41" s="19">
        <v>2.5000000000000001E-2</v>
      </c>
      <c r="CO41" s="19">
        <v>2452652</v>
      </c>
      <c r="CP41" s="19">
        <v>533</v>
      </c>
      <c r="CQ41" s="19">
        <v>0</v>
      </c>
      <c r="CR41" s="19">
        <v>0</v>
      </c>
      <c r="CS41" s="19">
        <v>24.403423048565024</v>
      </c>
      <c r="CT41" s="23">
        <f>DataTable[[#This Row],[Sens_8]]/AVERAGEIF(DataTable[Strålkälla],DataTable[[#This Row],[Strålkälla]],DataTable[Sens_8])</f>
        <v>1.0002267980600446</v>
      </c>
      <c r="CU41" s="19">
        <v>1750</v>
      </c>
      <c r="CV41" s="19">
        <v>2096</v>
      </c>
      <c r="CW41" s="19">
        <v>0.09</v>
      </c>
      <c r="CX41" s="19">
        <v>4.2999999999999997E-2</v>
      </c>
      <c r="CY41" s="19">
        <v>2.5000000000000001E-2</v>
      </c>
      <c r="CZ41" s="19">
        <v>1972051</v>
      </c>
      <c r="DA41" s="19">
        <v>518</v>
      </c>
      <c r="DB41" s="19">
        <v>0</v>
      </c>
      <c r="DC41" s="19">
        <v>0</v>
      </c>
      <c r="DD41" s="19">
        <v>20.189725230527912</v>
      </c>
      <c r="DE41" s="23">
        <f>DataTable[[#This Row],[Sens_9]]/AVERAGEIF(DataTable[Strålkälla],DataTable[[#This Row],[Strålkälla]],DataTable[Sens_9])</f>
        <v>1.000391066902141</v>
      </c>
      <c r="DF41" s="19">
        <v>1676</v>
      </c>
      <c r="DG41" s="19">
        <v>2041</v>
      </c>
      <c r="DH41" s="19">
        <v>9.8000000000000004E-2</v>
      </c>
      <c r="DI41" s="19">
        <v>4.5999999999999999E-2</v>
      </c>
      <c r="DJ41" s="19">
        <v>2.5999999999999999E-2</v>
      </c>
      <c r="DK41" s="19">
        <v>1903517</v>
      </c>
      <c r="DL41" s="19">
        <v>518</v>
      </c>
      <c r="DM41" s="19">
        <v>0</v>
      </c>
      <c r="DN41" s="19">
        <v>0</v>
      </c>
      <c r="DO41" s="19">
        <v>19.488078757414897</v>
      </c>
      <c r="DP41" s="23">
        <f>DataTable[[#This Row],[Sens_10]]/AVERAGEIF(DataTable[Strålkälla],DataTable[[#This Row],[Strålkälla]],DataTable[Sens_10])</f>
        <v>0.99886614789768013</v>
      </c>
      <c r="DQ41" s="19">
        <v>1497</v>
      </c>
      <c r="DR41" s="19">
        <v>1792</v>
      </c>
      <c r="DS41" s="19">
        <v>0.09</v>
      </c>
      <c r="DT41" s="19">
        <v>4.2999999999999997E-2</v>
      </c>
      <c r="DU41" s="19">
        <v>2.7E-2</v>
      </c>
      <c r="DV41" s="19">
        <v>1676773</v>
      </c>
      <c r="DW41" s="19">
        <v>518</v>
      </c>
      <c r="DX41" s="19">
        <v>0</v>
      </c>
      <c r="DY41" s="19">
        <v>0</v>
      </c>
      <c r="DZ41" s="19">
        <v>17.16668896695267</v>
      </c>
      <c r="EA41" s="23">
        <f>DataTable[[#This Row],[Sens_11]]/AVERAGEIF(DataTable[Strålkälla],DataTable[[#This Row],[Strålkälla]],DataTable[Sens_11])</f>
        <v>0.99980779369146588</v>
      </c>
      <c r="EB41" s="19">
        <v>1787</v>
      </c>
      <c r="EC41" s="19">
        <v>2139</v>
      </c>
      <c r="ED41" s="19">
        <v>0.09</v>
      </c>
      <c r="EE41" s="19">
        <v>4.2999999999999997E-2</v>
      </c>
      <c r="EF41" s="19">
        <v>2.7E-2</v>
      </c>
      <c r="EG41" s="19">
        <v>1999112</v>
      </c>
      <c r="EH41" s="19">
        <v>518</v>
      </c>
      <c r="EI41" s="19">
        <v>0</v>
      </c>
      <c r="EJ41" s="19">
        <v>0</v>
      </c>
      <c r="EK41" s="19">
        <v>20.466773924736792</v>
      </c>
      <c r="EL41" s="23">
        <f>DataTable[[#This Row],[Sens_12]]/AVERAGEIF(DataTable[Strålkälla],DataTable[[#This Row],[Strålkälla]],DataTable[Sens_12])</f>
        <v>0.99997053739214137</v>
      </c>
      <c r="EM41" s="19">
        <v>1527</v>
      </c>
      <c r="EN41" s="19">
        <v>1858</v>
      </c>
      <c r="EO41" s="19">
        <v>9.8000000000000004E-2</v>
      </c>
      <c r="EP41" s="19">
        <v>4.3999999999999997E-2</v>
      </c>
      <c r="EQ41" s="19">
        <v>2.7E-2</v>
      </c>
      <c r="ER41" s="19">
        <v>1706107</v>
      </c>
      <c r="ES41" s="19">
        <v>557</v>
      </c>
      <c r="ET41" s="19">
        <v>0</v>
      </c>
      <c r="EU41" s="19">
        <v>1</v>
      </c>
      <c r="EV41" s="19">
        <v>16.2440042974169</v>
      </c>
      <c r="EW41" s="19">
        <f>DataTable[[#This Row],[Sens_13]]/AVERAGEIF(DataTable[Strålkälla],DataTable[[#This Row],[Strålkälla]],DataTable[Sens_13])</f>
        <v>1.0006554562046586</v>
      </c>
      <c r="EX41" s="19">
        <v>1270</v>
      </c>
      <c r="EY41" s="19">
        <v>1577</v>
      </c>
      <c r="EZ41" s="19">
        <v>0.108</v>
      </c>
      <c r="FA41" s="19">
        <v>5.7000000000000002E-2</v>
      </c>
      <c r="FB41" s="19">
        <v>3.1E-2</v>
      </c>
      <c r="FC41" s="19">
        <v>1450881</v>
      </c>
      <c r="FD41" s="19">
        <v>557</v>
      </c>
      <c r="FE41" s="19">
        <v>0</v>
      </c>
      <c r="FF41" s="19">
        <v>0</v>
      </c>
      <c r="FG41" s="19">
        <v>13.813973683385937</v>
      </c>
      <c r="FH41" s="19">
        <f>DataTable[[#This Row],[Sens_14]]/AVERAGEIF(DataTable[Strålkälla],DataTable[[#This Row],[Strålkälla]],DataTable[Sens_14])</f>
        <v>0.99718608683864729</v>
      </c>
      <c r="FI41" s="19">
        <v>1392</v>
      </c>
      <c r="FJ41" s="19">
        <v>1723</v>
      </c>
      <c r="FK41" s="19">
        <v>0.106</v>
      </c>
      <c r="FL41" s="19">
        <v>4.3999999999999997E-2</v>
      </c>
      <c r="FM41" s="19">
        <v>2.7E-2</v>
      </c>
      <c r="FN41" s="19">
        <v>1623197</v>
      </c>
      <c r="FO41" s="19">
        <v>557</v>
      </c>
      <c r="FP41" s="19">
        <v>1</v>
      </c>
      <c r="FQ41" s="19">
        <v>0</v>
      </c>
      <c r="FR41" s="19">
        <v>15.454610433902575</v>
      </c>
      <c r="FS41" s="19">
        <f>DataTable[[#This Row],[Sens_15]]/AVERAGEIF(DataTable[Strålkälla],DataTable[[#This Row],[Strålkälla]],DataTable[Sens_15])</f>
        <v>0.99922352830194905</v>
      </c>
      <c r="FT41" s="19">
        <v>1273</v>
      </c>
      <c r="FU41" s="19">
        <v>1596</v>
      </c>
      <c r="FV41" s="19">
        <v>0.113</v>
      </c>
      <c r="FW41" s="19">
        <v>4.1000000000000002E-2</v>
      </c>
      <c r="FX41" s="19">
        <v>0.03</v>
      </c>
      <c r="FY41" s="19">
        <v>1465168</v>
      </c>
      <c r="FZ41" s="19">
        <v>557</v>
      </c>
      <c r="GA41" s="19">
        <v>0</v>
      </c>
      <c r="GB41" s="19">
        <v>0</v>
      </c>
      <c r="GC41" s="19">
        <v>13.950001546466737</v>
      </c>
      <c r="GD41" s="19">
        <f>DataTable[[#This Row],[Sens_16]]/AVERAGEIF(DataTable[Strålkälla],DataTable[[#This Row],[Strålkälla]],DataTable[Sens_16])</f>
        <v>0.99896552097643065</v>
      </c>
      <c r="GE41" s="19">
        <v>1242</v>
      </c>
      <c r="GF41" s="19">
        <v>1510</v>
      </c>
      <c r="GG41" s="19">
        <v>9.7000000000000003E-2</v>
      </c>
      <c r="GH41" s="19">
        <v>4.2999999999999997E-2</v>
      </c>
      <c r="GI41" s="19">
        <v>3.1E-2</v>
      </c>
      <c r="GJ41" s="19">
        <v>1409841</v>
      </c>
      <c r="GK41" s="19">
        <v>557</v>
      </c>
      <c r="GL41" s="19">
        <v>0</v>
      </c>
      <c r="GM41" s="19">
        <v>0</v>
      </c>
      <c r="GN41" s="19">
        <v>13.423228005438428</v>
      </c>
      <c r="GO41" s="19">
        <f>DataTable[[#This Row],[Sens_17]]/AVERAGEIF(DataTable[Strålkälla],DataTable[[#This Row],[Strålkälla]],DataTable[Sens_17])</f>
        <v>0.99846918690132591</v>
      </c>
      <c r="GP41" s="19">
        <v>1461</v>
      </c>
      <c r="GQ41" s="19">
        <v>1788</v>
      </c>
      <c r="GR41" s="19">
        <v>0.10100000000000001</v>
      </c>
      <c r="GS41" s="19">
        <v>4.2000000000000003E-2</v>
      </c>
      <c r="GT41" s="19">
        <v>2.8000000000000001E-2</v>
      </c>
      <c r="GU41" s="19">
        <v>1632440</v>
      </c>
      <c r="GV41" s="19">
        <v>557</v>
      </c>
      <c r="GW41" s="19">
        <v>0</v>
      </c>
      <c r="GX41" s="19">
        <v>1</v>
      </c>
      <c r="GY41" s="19">
        <v>15.542613901282419</v>
      </c>
      <c r="GZ41" s="19">
        <f>DataTable[[#This Row],[Sens_18]]/AVERAGEIF(DataTable[Strålkälla],DataTable[[#This Row],[Strålkälla]],DataTable[Sens_18])</f>
        <v>0.99902063719657153</v>
      </c>
      <c r="HA41" s="19">
        <v>1324</v>
      </c>
      <c r="HB41" s="19">
        <v>1642</v>
      </c>
      <c r="HC41" s="19">
        <v>0.107</v>
      </c>
      <c r="HD41" s="19">
        <v>5.1999999999999998E-2</v>
      </c>
      <c r="HE41" s="19">
        <v>3.1E-2</v>
      </c>
      <c r="HF41" s="19">
        <v>1485115</v>
      </c>
      <c r="HG41" s="19">
        <v>557</v>
      </c>
      <c r="HH41" s="19">
        <v>0</v>
      </c>
      <c r="HI41" s="19">
        <v>1</v>
      </c>
      <c r="HJ41" s="19">
        <v>14.139918798855113</v>
      </c>
      <c r="HK41" s="19">
        <f>DataTable[[#This Row],[Sens_19]]/AVERAGEIF(DataTable[Strålkälla],DataTable[[#This Row],[Strålkälla]],DataTable[Sens_19])</f>
        <v>0.99785109796037419</v>
      </c>
      <c r="HL41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0.113</v>
      </c>
      <c r="HM41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9.5947368421052642E-2</v>
      </c>
      <c r="HN41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5.7000000000000002E-2</v>
      </c>
      <c r="HO41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4.2789473684210537E-2</v>
      </c>
      <c r="HP41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0.99718608683864729</v>
      </c>
      <c r="HQ41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0.99897188803559334</v>
      </c>
      <c r="HR41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1.0006554562046586</v>
      </c>
      <c r="HS41" s="49"/>
    </row>
    <row r="42" spans="2:227" x14ac:dyDescent="0.25">
      <c r="B42" s="19" t="s">
        <v>43</v>
      </c>
      <c r="C42" s="20">
        <v>42485</v>
      </c>
      <c r="D42" s="21">
        <v>0.31930555555555556</v>
      </c>
      <c r="E42" s="13" t="s">
        <v>217</v>
      </c>
      <c r="F42" s="13">
        <v>109.8</v>
      </c>
      <c r="G42" s="13">
        <v>134.19999999999999</v>
      </c>
      <c r="H42" s="24">
        <v>27.125800000000002</v>
      </c>
      <c r="I42" s="22">
        <f>MATCH(DataTable[[#This Row],[Datum]],Övrigt!$D$10:$M$10,1)</f>
        <v>1</v>
      </c>
      <c r="J42" s="13"/>
      <c r="K42" s="22">
        <v>1845</v>
      </c>
      <c r="L42" s="22">
        <v>2229</v>
      </c>
      <c r="M42" s="23">
        <v>9.4E-2</v>
      </c>
      <c r="N42" s="23">
        <v>3.3000000000000002E-2</v>
      </c>
      <c r="O42" s="23">
        <v>2.5999999999999999E-2</v>
      </c>
      <c r="P42" s="22">
        <v>2072567</v>
      </c>
      <c r="Q42" s="24">
        <v>540</v>
      </c>
      <c r="R42" s="22">
        <v>0</v>
      </c>
      <c r="S42" s="22">
        <v>0</v>
      </c>
      <c r="T42" s="19">
        <v>20.615590516762101</v>
      </c>
      <c r="U42" s="23">
        <f>DataTable[[#This Row],[Sens_1]]/AVERAGEIF(DataTable[Strålkälla],DataTable[[#This Row],[Strålkälla]],DataTable[Sens_1])</f>
        <v>0.99573047611244858</v>
      </c>
      <c r="V42" s="22">
        <v>2193</v>
      </c>
      <c r="W42" s="22">
        <v>2628</v>
      </c>
      <c r="X42" s="23">
        <v>0.09</v>
      </c>
      <c r="Y42" s="23">
        <v>4.1000000000000002E-2</v>
      </c>
      <c r="Z42" s="23">
        <v>2.5000000000000001E-2</v>
      </c>
      <c r="AA42" s="22">
        <v>2453374</v>
      </c>
      <c r="AB42" s="24">
        <v>540</v>
      </c>
      <c r="AC42" s="22">
        <v>0</v>
      </c>
      <c r="AD42" s="22">
        <v>0</v>
      </c>
      <c r="AE42" s="19">
        <v>24.40343485565036</v>
      </c>
      <c r="AF42" s="23">
        <f>DataTable[[#This Row],[Sens_2]]/AVERAGEIF(DataTable[Strålkälla],DataTable[[#This Row],[Strålkälla]],DataTable[Sens_2])</f>
        <v>0.99870983113840583</v>
      </c>
      <c r="AG42" s="22">
        <v>1925</v>
      </c>
      <c r="AH42" s="22">
        <v>2321</v>
      </c>
      <c r="AI42" s="23">
        <v>9.2999999999999999E-2</v>
      </c>
      <c r="AJ42" s="23">
        <v>3.7999999999999999E-2</v>
      </c>
      <c r="AK42" s="23">
        <v>2.5000000000000001E-2</v>
      </c>
      <c r="AL42" s="22">
        <v>2174534</v>
      </c>
      <c r="AM42" s="24">
        <v>540</v>
      </c>
      <c r="AN42" s="22">
        <v>0</v>
      </c>
      <c r="AO42" s="22">
        <v>0</v>
      </c>
      <c r="AP42" s="19">
        <v>21.629844781267266</v>
      </c>
      <c r="AQ42" s="23">
        <f>DataTable[[#This Row],[Sens_3]]/AVERAGEIF(DataTable[Strålkälla],DataTable[[#This Row],[Strålkälla]],DataTable[Sens_3])</f>
        <v>0.99971334654399724</v>
      </c>
      <c r="AR42" s="22">
        <v>1879</v>
      </c>
      <c r="AS42" s="22">
        <v>2214</v>
      </c>
      <c r="AT42" s="23">
        <v>8.2000000000000003E-2</v>
      </c>
      <c r="AU42" s="23">
        <v>4.8000000000000001E-2</v>
      </c>
      <c r="AV42" s="23">
        <v>2.4E-2</v>
      </c>
      <c r="AW42" s="22">
        <v>2066718</v>
      </c>
      <c r="AX42" s="24">
        <v>540</v>
      </c>
      <c r="AY42" s="22">
        <v>0</v>
      </c>
      <c r="AZ42" s="22">
        <v>1</v>
      </c>
      <c r="BA42" s="19">
        <v>20.557411172532195</v>
      </c>
      <c r="BB42" s="23">
        <f>DataTable[[#This Row],[Sens_4]]/AVERAGEIF(DataTable[Strålkälla],DataTable[[#This Row],[Strålkälla]],DataTable[Sens_4])</f>
        <v>0.99832214737416691</v>
      </c>
      <c r="BC42" s="22">
        <v>2031</v>
      </c>
      <c r="BD42" s="22">
        <v>2478</v>
      </c>
      <c r="BE42" s="19">
        <v>9.9000000000000005E-2</v>
      </c>
      <c r="BF42" s="19">
        <v>3.1E-2</v>
      </c>
      <c r="BG42" s="19">
        <v>2.3E-2</v>
      </c>
      <c r="BH42" s="19">
        <v>2311830</v>
      </c>
      <c r="BI42" s="19">
        <v>540</v>
      </c>
      <c r="BJ42" s="19">
        <v>1</v>
      </c>
      <c r="BK42" s="19">
        <v>1</v>
      </c>
      <c r="BL42" s="19">
        <v>22.995512629683926</v>
      </c>
      <c r="BM42" s="23">
        <f>DataTable[[#This Row],[Sens_5]]/AVERAGEIF(DataTable[Strålkälla],DataTable[[#This Row],[Strålkälla]],DataTable[Sens_5])</f>
        <v>0.99866691037884925</v>
      </c>
      <c r="BN42" s="19">
        <v>2080</v>
      </c>
      <c r="BO42" s="19">
        <v>2511</v>
      </c>
      <c r="BP42" s="19">
        <v>9.4E-2</v>
      </c>
      <c r="BQ42" s="19">
        <v>3.9E-2</v>
      </c>
      <c r="BR42" s="19">
        <v>2.4E-2</v>
      </c>
      <c r="BS42" s="19">
        <v>2303535</v>
      </c>
      <c r="BT42" s="19">
        <v>540</v>
      </c>
      <c r="BU42" s="19">
        <v>0</v>
      </c>
      <c r="BV42" s="19">
        <v>1</v>
      </c>
      <c r="BW42" s="19">
        <v>22.913003198945841</v>
      </c>
      <c r="BX42" s="23">
        <f>DataTable[[#This Row],[Sens_6]]/AVERAGEIF(DataTable[Strålkälla],DataTable[[#This Row],[Strålkälla]],DataTable[Sens_6])</f>
        <v>0.99832324396721361</v>
      </c>
      <c r="BY42" s="19">
        <v>1840</v>
      </c>
      <c r="BZ42" s="19">
        <v>2239</v>
      </c>
      <c r="CA42" s="19">
        <v>9.8000000000000004E-2</v>
      </c>
      <c r="CB42" s="19">
        <v>4.3999999999999997E-2</v>
      </c>
      <c r="CC42" s="19">
        <v>2.7E-2</v>
      </c>
      <c r="CD42" s="19">
        <v>2110974</v>
      </c>
      <c r="CE42" s="19">
        <v>540</v>
      </c>
      <c r="CF42" s="19">
        <v>1</v>
      </c>
      <c r="CG42" s="19">
        <v>0</v>
      </c>
      <c r="CH42" s="19">
        <v>20.99762061999991</v>
      </c>
      <c r="CI42" s="23">
        <f>DataTable[[#This Row],[Sens_7]]/AVERAGEIF(DataTable[Strålkälla],DataTable[[#This Row],[Strålkälla]],DataTable[Sens_7])</f>
        <v>0.99903820177458635</v>
      </c>
      <c r="CJ42" s="19">
        <v>2159</v>
      </c>
      <c r="CK42" s="19">
        <v>2610</v>
      </c>
      <c r="CL42" s="19">
        <v>9.5000000000000001E-2</v>
      </c>
      <c r="CM42" s="19">
        <v>3.9E-2</v>
      </c>
      <c r="CN42" s="19">
        <v>2.4E-2</v>
      </c>
      <c r="CO42" s="19">
        <v>2450847</v>
      </c>
      <c r="CP42" s="19">
        <v>540</v>
      </c>
      <c r="CQ42" s="19">
        <v>1</v>
      </c>
      <c r="CR42" s="19">
        <v>0</v>
      </c>
      <c r="CS42" s="19">
        <v>24.378299071265172</v>
      </c>
      <c r="CT42" s="23">
        <f>DataTable[[#This Row],[Sens_8]]/AVERAGEIF(DataTable[Strålkälla],DataTable[[#This Row],[Strålkälla]],DataTable[Sens_8])</f>
        <v>0.99919703779570967</v>
      </c>
      <c r="CU42" s="19">
        <v>1757</v>
      </c>
      <c r="CV42" s="19">
        <v>2089</v>
      </c>
      <c r="CW42" s="19">
        <v>8.5999999999999993E-2</v>
      </c>
      <c r="CX42" s="19">
        <v>3.9E-2</v>
      </c>
      <c r="CY42" s="19">
        <v>2.7E-2</v>
      </c>
      <c r="CZ42" s="19">
        <v>1972985</v>
      </c>
      <c r="DA42" s="19">
        <v>524</v>
      </c>
      <c r="DB42" s="19">
        <v>0</v>
      </c>
      <c r="DC42" s="19">
        <v>0</v>
      </c>
      <c r="DD42" s="19">
        <v>20.224298039051867</v>
      </c>
      <c r="DE42" s="23">
        <f>DataTable[[#This Row],[Sens_9]]/AVERAGEIF(DataTable[Strålkälla],DataTable[[#This Row],[Strålkälla]],DataTable[Sens_9])</f>
        <v>1.0021041327517337</v>
      </c>
      <c r="DF42" s="19">
        <v>1683</v>
      </c>
      <c r="DG42" s="19">
        <v>2005</v>
      </c>
      <c r="DH42" s="19">
        <v>8.6999999999999994E-2</v>
      </c>
      <c r="DI42" s="19">
        <v>4.2999999999999997E-2</v>
      </c>
      <c r="DJ42" s="19">
        <v>2.5000000000000001E-2</v>
      </c>
      <c r="DK42" s="19">
        <v>1903791</v>
      </c>
      <c r="DL42" s="19">
        <v>524</v>
      </c>
      <c r="DM42" s="19">
        <v>0</v>
      </c>
      <c r="DN42" s="19">
        <v>0</v>
      </c>
      <c r="DO42" s="19">
        <v>19.51501739144727</v>
      </c>
      <c r="DP42" s="23">
        <f>DataTable[[#This Row],[Sens_10]]/AVERAGEIF(DataTable[Strålkälla],DataTable[[#This Row],[Strålkälla]],DataTable[Sens_10])</f>
        <v>1.0002468940420532</v>
      </c>
      <c r="DQ42" s="19">
        <v>1511</v>
      </c>
      <c r="DR42" s="19">
        <v>1780</v>
      </c>
      <c r="DS42" s="19">
        <v>8.2000000000000003E-2</v>
      </c>
      <c r="DT42" s="19">
        <v>3.9E-2</v>
      </c>
      <c r="DU42" s="19">
        <v>2.7E-2</v>
      </c>
      <c r="DV42" s="19">
        <v>1675706</v>
      </c>
      <c r="DW42" s="19">
        <v>524</v>
      </c>
      <c r="DX42" s="19">
        <v>0</v>
      </c>
      <c r="DY42" s="19">
        <v>0</v>
      </c>
      <c r="DZ42" s="19">
        <v>17.177007209800099</v>
      </c>
      <c r="EA42" s="23">
        <f>DataTable[[#This Row],[Sens_11]]/AVERAGEIF(DataTable[Strålkälla],DataTable[[#This Row],[Strålkälla]],DataTable[Sens_11])</f>
        <v>1.0004087400729096</v>
      </c>
      <c r="EB42" s="19">
        <v>1723</v>
      </c>
      <c r="EC42" s="19">
        <v>2152</v>
      </c>
      <c r="ED42" s="19">
        <v>0.111</v>
      </c>
      <c r="EE42" s="19">
        <v>5.2999999999999999E-2</v>
      </c>
      <c r="EF42" s="19">
        <v>2.8000000000000001E-2</v>
      </c>
      <c r="EG42" s="19">
        <v>1998590</v>
      </c>
      <c r="EH42" s="19">
        <v>524</v>
      </c>
      <c r="EI42" s="19">
        <v>2</v>
      </c>
      <c r="EJ42" s="19">
        <v>0</v>
      </c>
      <c r="EK42" s="19">
        <v>20.48676488562694</v>
      </c>
      <c r="EL42" s="23">
        <f>DataTable[[#This Row],[Sens_12]]/AVERAGEIF(DataTable[Strålkälla],DataTable[[#This Row],[Strålkälla]],DataTable[Sens_12])</f>
        <v>1.0009472605424443</v>
      </c>
      <c r="EM42" s="19">
        <v>1528</v>
      </c>
      <c r="EN42" s="19">
        <v>1829</v>
      </c>
      <c r="EO42" s="19">
        <v>0.09</v>
      </c>
      <c r="EP42" s="19">
        <v>3.9E-2</v>
      </c>
      <c r="EQ42" s="19">
        <v>2.7E-2</v>
      </c>
      <c r="ER42" s="19">
        <v>1705509</v>
      </c>
      <c r="ES42" s="19">
        <v>564</v>
      </c>
      <c r="ET42" s="19">
        <v>0</v>
      </c>
      <c r="EU42" s="19">
        <v>0</v>
      </c>
      <c r="EV42" s="19">
        <v>16.242612062869622</v>
      </c>
      <c r="EW42" s="19">
        <f>DataTable[[#This Row],[Sens_13]]/AVERAGEIF(DataTable[Strålkälla],DataTable[[#This Row],[Strålkälla]],DataTable[Sens_13])</f>
        <v>1.0005696924317278</v>
      </c>
      <c r="EX42" s="19">
        <v>1290</v>
      </c>
      <c r="EY42" s="19">
        <v>1546</v>
      </c>
      <c r="EZ42" s="19">
        <v>0.09</v>
      </c>
      <c r="FA42" s="19">
        <v>4.2999999999999997E-2</v>
      </c>
      <c r="FB42" s="19">
        <v>2.9000000000000001E-2</v>
      </c>
      <c r="FC42" s="19">
        <v>1451840</v>
      </c>
      <c r="FD42" s="19">
        <v>564</v>
      </c>
      <c r="FE42" s="19">
        <v>0</v>
      </c>
      <c r="FF42" s="19">
        <v>0</v>
      </c>
      <c r="FG42" s="19">
        <v>13.826766025483671</v>
      </c>
      <c r="FH42" s="19">
        <f>DataTable[[#This Row],[Sens_14]]/AVERAGEIF(DataTable[Strålkälla],DataTable[[#This Row],[Strålkälla]],DataTable[Sens_14])</f>
        <v>0.99810952464519842</v>
      </c>
      <c r="FI42" s="19">
        <v>1439</v>
      </c>
      <c r="FJ42" s="19">
        <v>1715</v>
      </c>
      <c r="FK42" s="19">
        <v>8.7999999999999995E-2</v>
      </c>
      <c r="FL42" s="19">
        <v>4.5999999999999999E-2</v>
      </c>
      <c r="FM42" s="19">
        <v>2.8000000000000001E-2</v>
      </c>
      <c r="FN42" s="19">
        <v>1624394</v>
      </c>
      <c r="FO42" s="19">
        <v>564</v>
      </c>
      <c r="FP42" s="19">
        <v>0</v>
      </c>
      <c r="FQ42" s="19">
        <v>0</v>
      </c>
      <c r="FR42" s="19">
        <v>15.470103986113845</v>
      </c>
      <c r="FS42" s="19">
        <f>DataTable[[#This Row],[Sens_15]]/AVERAGEIF(DataTable[Strålkälla],DataTable[[#This Row],[Strålkälla]],DataTable[Sens_15])</f>
        <v>1.0002252696252059</v>
      </c>
      <c r="FT42" s="19">
        <v>1288</v>
      </c>
      <c r="FU42" s="19">
        <v>1566</v>
      </c>
      <c r="FV42" s="19">
        <v>9.7000000000000003E-2</v>
      </c>
      <c r="FW42" s="19">
        <v>4.7E-2</v>
      </c>
      <c r="FX42" s="19">
        <v>2.9000000000000001E-2</v>
      </c>
      <c r="FY42" s="19">
        <v>1465383</v>
      </c>
      <c r="FZ42" s="19">
        <v>564</v>
      </c>
      <c r="GA42" s="19">
        <v>0</v>
      </c>
      <c r="GB42" s="19">
        <v>0</v>
      </c>
      <c r="GC42" s="19">
        <v>13.955744351113994</v>
      </c>
      <c r="GD42" s="19">
        <f>DataTable[[#This Row],[Sens_16]]/AVERAGEIF(DataTable[Strålkälla],DataTable[[#This Row],[Strålkälla]],DataTable[Sens_16])</f>
        <v>0.99937676565028988</v>
      </c>
      <c r="GE42" s="19">
        <v>1245</v>
      </c>
      <c r="GF42" s="19">
        <v>1551</v>
      </c>
      <c r="GG42" s="19">
        <v>0.109</v>
      </c>
      <c r="GH42" s="19">
        <v>3.7999999999999999E-2</v>
      </c>
      <c r="GI42" s="19">
        <v>0.03</v>
      </c>
      <c r="GJ42" s="19">
        <v>1408716</v>
      </c>
      <c r="GK42" s="19">
        <v>564</v>
      </c>
      <c r="GL42" s="19">
        <v>0</v>
      </c>
      <c r="GM42" s="19">
        <v>1</v>
      </c>
      <c r="GN42" s="19">
        <v>13.416069627751858</v>
      </c>
      <c r="GO42" s="19">
        <f>DataTable[[#This Row],[Sens_17]]/AVERAGEIF(DataTable[Strålkälla],DataTable[[#This Row],[Strålkälla]],DataTable[Sens_17])</f>
        <v>0.99793672037797199</v>
      </c>
      <c r="GP42" s="19">
        <v>1449</v>
      </c>
      <c r="GQ42" s="19">
        <v>1718</v>
      </c>
      <c r="GR42" s="19">
        <v>8.5000000000000006E-2</v>
      </c>
      <c r="GS42" s="19">
        <v>4.1000000000000002E-2</v>
      </c>
      <c r="GT42" s="19">
        <v>2.8000000000000001E-2</v>
      </c>
      <c r="GU42" s="19">
        <v>1629880</v>
      </c>
      <c r="GV42" s="19">
        <v>564</v>
      </c>
      <c r="GW42" s="19">
        <v>0</v>
      </c>
      <c r="GX42" s="19">
        <v>0</v>
      </c>
      <c r="GY42" s="19">
        <v>15.522350541117016</v>
      </c>
      <c r="GZ42" s="19">
        <f>DataTable[[#This Row],[Sens_18]]/AVERAGEIF(DataTable[Strålkälla],DataTable[[#This Row],[Strålkälla]],DataTable[Sens_18])</f>
        <v>0.99771818478330565</v>
      </c>
      <c r="HA42" s="19">
        <v>1294</v>
      </c>
      <c r="HB42" s="19">
        <v>1639</v>
      </c>
      <c r="HC42" s="19">
        <v>0.11799999999999999</v>
      </c>
      <c r="HD42" s="19">
        <v>6.5000000000000002E-2</v>
      </c>
      <c r="HE42" s="19">
        <v>2.9000000000000001E-2</v>
      </c>
      <c r="HF42" s="19">
        <v>1486771</v>
      </c>
      <c r="HG42" s="19">
        <v>564</v>
      </c>
      <c r="HH42" s="19">
        <v>0</v>
      </c>
      <c r="HI42" s="19">
        <v>1</v>
      </c>
      <c r="HJ42" s="19">
        <v>14.15943544087116</v>
      </c>
      <c r="HK42" s="19">
        <f>DataTable[[#This Row],[Sens_19]]/AVERAGEIF(DataTable[Strålkälla],DataTable[[#This Row],[Strålkälla]],DataTable[Sens_19])</f>
        <v>0.99922838328578834</v>
      </c>
      <c r="HL42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0.11799999999999999</v>
      </c>
      <c r="HM42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9.4105263157894747E-2</v>
      </c>
      <c r="HN42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6.5000000000000002E-2</v>
      </c>
      <c r="HO42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4.242105263157895E-2</v>
      </c>
      <c r="HP42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0.99573047611244858</v>
      </c>
      <c r="HQ42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0.99918804017336882</v>
      </c>
      <c r="HR42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1.0021041327517337</v>
      </c>
      <c r="HS42" s="49"/>
    </row>
    <row r="43" spans="2:227" x14ac:dyDescent="0.25">
      <c r="B43" s="19" t="s">
        <v>43</v>
      </c>
      <c r="C43" s="20">
        <v>42487</v>
      </c>
      <c r="D43" s="21">
        <v>0.30680555555555555</v>
      </c>
      <c r="E43" s="13" t="s">
        <v>217</v>
      </c>
      <c r="F43" s="13">
        <v>109.8</v>
      </c>
      <c r="G43" s="13">
        <v>134.19999999999999</v>
      </c>
      <c r="H43" s="24">
        <v>27.234300000000001</v>
      </c>
      <c r="I43" s="22">
        <f>MATCH(DataTable[[#This Row],[Datum]],Övrigt!$D$10:$M$10,1)</f>
        <v>1</v>
      </c>
      <c r="J43" s="13"/>
      <c r="K43" s="22">
        <v>1859</v>
      </c>
      <c r="L43" s="22">
        <v>2233</v>
      </c>
      <c r="M43" s="23">
        <v>9.0999999999999998E-2</v>
      </c>
      <c r="N43" s="23">
        <v>4.1000000000000002E-2</v>
      </c>
      <c r="O43" s="23">
        <v>2.7E-2</v>
      </c>
      <c r="P43" s="22">
        <v>2074696</v>
      </c>
      <c r="Q43" s="24">
        <v>541</v>
      </c>
      <c r="R43" s="22">
        <v>0</v>
      </c>
      <c r="S43" s="22">
        <v>0</v>
      </c>
      <c r="T43" s="19">
        <v>20.703975183884406</v>
      </c>
      <c r="U43" s="23">
        <f>DataTable[[#This Row],[Sens_1]]/AVERAGEIF(DataTable[Strålkälla],DataTable[[#This Row],[Strålkälla]],DataTable[Sens_1])</f>
        <v>0.99999944461971391</v>
      </c>
      <c r="V43" s="22">
        <v>2184</v>
      </c>
      <c r="W43" s="22">
        <v>2594</v>
      </c>
      <c r="X43" s="23">
        <v>8.5999999999999993E-2</v>
      </c>
      <c r="Y43" s="23">
        <v>4.3999999999999997E-2</v>
      </c>
      <c r="Z43" s="23">
        <v>2.5000000000000001E-2</v>
      </c>
      <c r="AA43" s="22">
        <v>2453064</v>
      </c>
      <c r="AB43" s="24">
        <v>541</v>
      </c>
      <c r="AC43" s="22">
        <v>0</v>
      </c>
      <c r="AD43" s="22">
        <v>0</v>
      </c>
      <c r="AE43" s="19">
        <v>24.479815925070572</v>
      </c>
      <c r="AF43" s="23">
        <f>DataTable[[#This Row],[Sens_2]]/AVERAGEIF(DataTable[Strålkälla],DataTable[[#This Row],[Strålkälla]],DataTable[Sens_2])</f>
        <v>1.0018357240872489</v>
      </c>
      <c r="AG43" s="22">
        <v>1901</v>
      </c>
      <c r="AH43" s="22">
        <v>2315</v>
      </c>
      <c r="AI43" s="23">
        <v>9.8000000000000004E-2</v>
      </c>
      <c r="AJ43" s="23">
        <v>0.04</v>
      </c>
      <c r="AK43" s="23">
        <v>2.5000000000000001E-2</v>
      </c>
      <c r="AL43" s="22">
        <v>2171077</v>
      </c>
      <c r="AM43" s="24">
        <v>541</v>
      </c>
      <c r="AN43" s="22">
        <v>1</v>
      </c>
      <c r="AO43" s="22">
        <v>0</v>
      </c>
      <c r="AP43" s="19">
        <v>21.665788303588673</v>
      </c>
      <c r="AQ43" s="23">
        <f>DataTable[[#This Row],[Sens_3]]/AVERAGEIF(DataTable[Strålkälla],DataTable[[#This Row],[Strålkälla]],DataTable[Sens_3])</f>
        <v>1.0013746261023986</v>
      </c>
      <c r="AR43" s="22">
        <v>1835</v>
      </c>
      <c r="AS43" s="22">
        <v>2196</v>
      </c>
      <c r="AT43" s="23">
        <v>0.09</v>
      </c>
      <c r="AU43" s="23">
        <v>3.3000000000000002E-2</v>
      </c>
      <c r="AV43" s="23">
        <v>2.5000000000000001E-2</v>
      </c>
      <c r="AW43" s="22">
        <v>2062390</v>
      </c>
      <c r="AX43" s="24">
        <v>541</v>
      </c>
      <c r="AY43" s="22">
        <v>0</v>
      </c>
      <c r="AZ43" s="22">
        <v>0</v>
      </c>
      <c r="BA43" s="19">
        <v>20.581170147092084</v>
      </c>
      <c r="BB43" s="23">
        <f>DataTable[[#This Row],[Sens_4]]/AVERAGEIF(DataTable[Strålkälla],DataTable[[#This Row],[Strålkälla]],DataTable[Sens_4])</f>
        <v>0.99947594589008748</v>
      </c>
      <c r="BC43" s="22">
        <v>2048</v>
      </c>
      <c r="BD43" s="22">
        <v>2524</v>
      </c>
      <c r="BE43" s="19">
        <v>0.104</v>
      </c>
      <c r="BF43" s="19">
        <v>4.4999999999999998E-2</v>
      </c>
      <c r="BG43" s="19">
        <v>2.5000000000000001E-2</v>
      </c>
      <c r="BH43" s="19">
        <v>2314856</v>
      </c>
      <c r="BI43" s="19">
        <v>541</v>
      </c>
      <c r="BJ43" s="19">
        <v>0</v>
      </c>
      <c r="BK43" s="19">
        <v>1</v>
      </c>
      <c r="BL43" s="19">
        <v>23.100599402643049</v>
      </c>
      <c r="BM43" s="23">
        <f>DataTable[[#This Row],[Sens_5]]/AVERAGEIF(DataTable[Strålkälla],DataTable[[#This Row],[Strålkälla]],DataTable[Sens_5])</f>
        <v>1.0032307000435032</v>
      </c>
      <c r="BN43" s="19">
        <v>2079</v>
      </c>
      <c r="BO43" s="19">
        <v>2513</v>
      </c>
      <c r="BP43" s="19">
        <v>9.5000000000000001E-2</v>
      </c>
      <c r="BQ43" s="19">
        <v>3.2000000000000001E-2</v>
      </c>
      <c r="BR43" s="19">
        <v>2.4E-2</v>
      </c>
      <c r="BS43" s="19">
        <v>2305948</v>
      </c>
      <c r="BT43" s="19">
        <v>541</v>
      </c>
      <c r="BU43" s="19">
        <v>0</v>
      </c>
      <c r="BV43" s="19">
        <v>1</v>
      </c>
      <c r="BW43" s="19">
        <v>23.011703964015872</v>
      </c>
      <c r="BX43" s="23">
        <f>DataTable[[#This Row],[Sens_6]]/AVERAGEIF(DataTable[Strålkälla],DataTable[[#This Row],[Strålkälla]],DataTable[Sens_6])</f>
        <v>1.0026236522162419</v>
      </c>
      <c r="BY43" s="19">
        <v>1835</v>
      </c>
      <c r="BZ43" s="19">
        <v>2304</v>
      </c>
      <c r="CA43" s="19">
        <v>0.113</v>
      </c>
      <c r="CB43" s="19">
        <v>3.6999999999999998E-2</v>
      </c>
      <c r="CC43" s="19">
        <v>2.8000000000000001E-2</v>
      </c>
      <c r="CD43" s="19">
        <v>2118809</v>
      </c>
      <c r="CE43" s="19">
        <v>541</v>
      </c>
      <c r="CF43" s="19">
        <v>1</v>
      </c>
      <c r="CG43" s="19">
        <v>1</v>
      </c>
      <c r="CH43" s="19">
        <v>21.1441912238665</v>
      </c>
      <c r="CI43" s="23">
        <f>DataTable[[#This Row],[Sens_7]]/AVERAGEIF(DataTable[Strålkälla],DataTable[[#This Row],[Strålkälla]],DataTable[Sens_7])</f>
        <v>1.0060118315572113</v>
      </c>
      <c r="CJ43" s="19">
        <v>2159</v>
      </c>
      <c r="CK43" s="19">
        <v>2643</v>
      </c>
      <c r="CL43" s="19">
        <v>0.10100000000000001</v>
      </c>
      <c r="CM43" s="19">
        <v>4.2000000000000003E-2</v>
      </c>
      <c r="CN43" s="19">
        <v>2.5000000000000001E-2</v>
      </c>
      <c r="CO43" s="19">
        <v>2443296</v>
      </c>
      <c r="CP43" s="19">
        <v>541</v>
      </c>
      <c r="CQ43" s="19">
        <v>0</v>
      </c>
      <c r="CR43" s="19">
        <v>1</v>
      </c>
      <c r="CS43" s="19">
        <v>24.382338304447511</v>
      </c>
      <c r="CT43" s="23">
        <f>DataTable[[#This Row],[Sens_8]]/AVERAGEIF(DataTable[Strålkälla],DataTable[[#This Row],[Strålkälla]],DataTable[Sens_8])</f>
        <v>0.99936259445817255</v>
      </c>
      <c r="CU43" s="19">
        <v>1746</v>
      </c>
      <c r="CV43" s="19">
        <v>2143</v>
      </c>
      <c r="CW43" s="19">
        <v>0.10199999999999999</v>
      </c>
      <c r="CX43" s="19">
        <v>4.3999999999999997E-2</v>
      </c>
      <c r="CY43" s="19">
        <v>2.7E-2</v>
      </c>
      <c r="CZ43" s="19">
        <v>1971969</v>
      </c>
      <c r="DA43" s="19">
        <v>527</v>
      </c>
      <c r="DB43" s="19">
        <v>0</v>
      </c>
      <c r="DC43" s="19">
        <v>1</v>
      </c>
      <c r="DD43" s="19">
        <v>20.201610906188424</v>
      </c>
      <c r="DE43" s="23">
        <f>DataTable[[#This Row],[Sens_9]]/AVERAGEIF(DataTable[Strålkälla],DataTable[[#This Row],[Strålkälla]],DataTable[Sens_9])</f>
        <v>1.000979996351111</v>
      </c>
      <c r="DF43" s="19">
        <v>1720</v>
      </c>
      <c r="DG43" s="19">
        <v>2047</v>
      </c>
      <c r="DH43" s="19">
        <v>8.6999999999999994E-2</v>
      </c>
      <c r="DI43" s="19">
        <v>3.6999999999999998E-2</v>
      </c>
      <c r="DJ43" s="19">
        <v>2.5000000000000001E-2</v>
      </c>
      <c r="DK43" s="19">
        <v>1903473</v>
      </c>
      <c r="DL43" s="19">
        <v>527</v>
      </c>
      <c r="DM43" s="19">
        <v>0</v>
      </c>
      <c r="DN43" s="19">
        <v>1</v>
      </c>
      <c r="DO43" s="19">
        <v>19.499911467388785</v>
      </c>
      <c r="DP43" s="23">
        <f>DataTable[[#This Row],[Sens_10]]/AVERAGEIF(DataTable[Strålkälla],DataTable[[#This Row],[Strålkälla]],DataTable[Sens_10])</f>
        <v>0.99947263628362792</v>
      </c>
      <c r="DQ43" s="19">
        <v>1472</v>
      </c>
      <c r="DR43" s="19">
        <v>1797</v>
      </c>
      <c r="DS43" s="19">
        <v>9.9000000000000005E-2</v>
      </c>
      <c r="DT43" s="19">
        <v>4.3999999999999997E-2</v>
      </c>
      <c r="DU43" s="19">
        <v>2.9000000000000001E-2</v>
      </c>
      <c r="DV43" s="19">
        <v>1675628</v>
      </c>
      <c r="DW43" s="19">
        <v>527</v>
      </c>
      <c r="DX43" s="19">
        <v>0</v>
      </c>
      <c r="DY43" s="19">
        <v>0</v>
      </c>
      <c r="DZ43" s="19">
        <v>17.165779421235676</v>
      </c>
      <c r="EA43" s="23">
        <f>DataTable[[#This Row],[Sens_11]]/AVERAGEIF(DataTable[Strålkälla],DataTable[[#This Row],[Strålkälla]],DataTable[Sens_11])</f>
        <v>0.99975482069834409</v>
      </c>
      <c r="EB43" s="19">
        <v>1756</v>
      </c>
      <c r="EC43" s="19">
        <v>2191</v>
      </c>
      <c r="ED43" s="19">
        <v>0.11</v>
      </c>
      <c r="EE43" s="19">
        <v>4.1000000000000002E-2</v>
      </c>
      <c r="EF43" s="19">
        <v>2.7E-2</v>
      </c>
      <c r="EG43" s="19">
        <v>1999897</v>
      </c>
      <c r="EH43" s="19">
        <v>527</v>
      </c>
      <c r="EI43" s="19">
        <v>0</v>
      </c>
      <c r="EJ43" s="19">
        <v>1</v>
      </c>
      <c r="EK43" s="19">
        <v>20.487716108343239</v>
      </c>
      <c r="EL43" s="23">
        <f>DataTable[[#This Row],[Sens_12]]/AVERAGEIF(DataTable[Strålkälla],DataTable[[#This Row],[Strålkälla]],DataTable[Sens_12])</f>
        <v>1.0009937356095113</v>
      </c>
      <c r="EM43" s="19">
        <v>1521</v>
      </c>
      <c r="EN43" s="19">
        <v>1850</v>
      </c>
      <c r="EO43" s="19">
        <v>9.8000000000000004E-2</v>
      </c>
      <c r="EP43" s="19">
        <v>4.7E-2</v>
      </c>
      <c r="EQ43" s="19">
        <v>2.8000000000000001E-2</v>
      </c>
      <c r="ER43" s="19">
        <v>1702136</v>
      </c>
      <c r="ES43" s="19">
        <v>567</v>
      </c>
      <c r="ET43" s="19">
        <v>0</v>
      </c>
      <c r="EU43" s="19">
        <v>0</v>
      </c>
      <c r="EV43" s="19">
        <v>16.20719032271063</v>
      </c>
      <c r="EW43" s="19">
        <f>DataTable[[#This Row],[Sens_13]]/AVERAGEIF(DataTable[Strålkälla],DataTable[[#This Row],[Strålkälla]],DataTable[Sens_13])</f>
        <v>0.99838765917752614</v>
      </c>
      <c r="EX43" s="19">
        <v>1252</v>
      </c>
      <c r="EY43" s="19">
        <v>1590</v>
      </c>
      <c r="EZ43" s="19">
        <v>0.11899999999999999</v>
      </c>
      <c r="FA43" s="19">
        <v>4.2000000000000003E-2</v>
      </c>
      <c r="FB43" s="19">
        <v>2.9000000000000001E-2</v>
      </c>
      <c r="FC43" s="19">
        <v>1455758</v>
      </c>
      <c r="FD43" s="19">
        <v>567</v>
      </c>
      <c r="FE43" s="19">
        <v>1</v>
      </c>
      <c r="FF43" s="19">
        <v>1</v>
      </c>
      <c r="FG43" s="19">
        <v>13.861258424596262</v>
      </c>
      <c r="FH43" s="19">
        <f>DataTable[[#This Row],[Sens_14]]/AVERAGEIF(DataTable[Strålkälla],DataTable[[#This Row],[Strålkälla]],DataTable[Sens_14])</f>
        <v>1.0005994193912793</v>
      </c>
      <c r="FI43" s="19">
        <v>1448</v>
      </c>
      <c r="FJ43" s="19">
        <v>1717</v>
      </c>
      <c r="FK43" s="19">
        <v>8.5000000000000006E-2</v>
      </c>
      <c r="FL43" s="19">
        <v>3.5999999999999997E-2</v>
      </c>
      <c r="FM43" s="19">
        <v>2.7E-2</v>
      </c>
      <c r="FN43" s="19">
        <v>1619737</v>
      </c>
      <c r="FO43" s="19">
        <v>567</v>
      </c>
      <c r="FP43" s="19">
        <v>0</v>
      </c>
      <c r="FQ43" s="19">
        <v>0</v>
      </c>
      <c r="FR43" s="19">
        <v>15.422613605338439</v>
      </c>
      <c r="FS43" s="19">
        <f>DataTable[[#This Row],[Sens_15]]/AVERAGEIF(DataTable[Strålkälla],DataTable[[#This Row],[Strålkälla]],DataTable[Sens_15])</f>
        <v>0.99715476156925986</v>
      </c>
      <c r="FT43" s="19">
        <v>1290</v>
      </c>
      <c r="FU43" s="19">
        <v>1574</v>
      </c>
      <c r="FV43" s="19">
        <v>9.9000000000000005E-2</v>
      </c>
      <c r="FW43" s="19">
        <v>4.4999999999999998E-2</v>
      </c>
      <c r="FX43" s="19">
        <v>0.03</v>
      </c>
      <c r="FY43" s="19">
        <v>1466814</v>
      </c>
      <c r="FZ43" s="19">
        <v>567</v>
      </c>
      <c r="GA43" s="19">
        <v>0</v>
      </c>
      <c r="GB43" s="19">
        <v>0</v>
      </c>
      <c r="GC43" s="19">
        <v>13.966530092787222</v>
      </c>
      <c r="GD43" s="19">
        <f>DataTable[[#This Row],[Sens_16]]/AVERAGEIF(DataTable[Strålkälla],DataTable[[#This Row],[Strålkälla]],DataTable[Sens_16])</f>
        <v>1.0001491371811333</v>
      </c>
      <c r="GE43" s="19">
        <v>1265</v>
      </c>
      <c r="GF43" s="19">
        <v>1545</v>
      </c>
      <c r="GG43" s="19">
        <v>0.1</v>
      </c>
      <c r="GH43" s="19">
        <v>5.3999999999999999E-2</v>
      </c>
      <c r="GI43" s="19">
        <v>2.9000000000000001E-2</v>
      </c>
      <c r="GJ43" s="19">
        <v>1409210</v>
      </c>
      <c r="GK43" s="19">
        <v>567</v>
      </c>
      <c r="GL43" s="19">
        <v>0</v>
      </c>
      <c r="GM43" s="19">
        <v>1</v>
      </c>
      <c r="GN43" s="19">
        <v>13.418043372954363</v>
      </c>
      <c r="GO43" s="19">
        <f>DataTable[[#This Row],[Sens_17]]/AVERAGEIF(DataTable[Strålkälla],DataTable[[#This Row],[Strålkälla]],DataTable[Sens_17])</f>
        <v>0.99808353482280587</v>
      </c>
      <c r="GP43" s="19">
        <v>1446</v>
      </c>
      <c r="GQ43" s="19">
        <v>1762</v>
      </c>
      <c r="GR43" s="19">
        <v>9.9000000000000005E-2</v>
      </c>
      <c r="GS43" s="19">
        <v>3.4000000000000002E-2</v>
      </c>
      <c r="GT43" s="19">
        <v>2.7E-2</v>
      </c>
      <c r="GU43" s="19">
        <v>1632512</v>
      </c>
      <c r="GV43" s="19">
        <v>567</v>
      </c>
      <c r="GW43" s="19">
        <v>0</v>
      </c>
      <c r="GX43" s="19">
        <v>0</v>
      </c>
      <c r="GY43" s="19">
        <v>15.544253037424141</v>
      </c>
      <c r="GZ43" s="19">
        <f>DataTable[[#This Row],[Sens_18]]/AVERAGEIF(DataTable[Strålkälla],DataTable[[#This Row],[Strålkälla]],DataTable[Sens_18])</f>
        <v>0.99912599468940744</v>
      </c>
      <c r="HA43" s="19">
        <v>1304</v>
      </c>
      <c r="HB43" s="19">
        <v>1609</v>
      </c>
      <c r="HC43" s="19">
        <v>0.105</v>
      </c>
      <c r="HD43" s="19">
        <v>4.5999999999999999E-2</v>
      </c>
      <c r="HE43" s="19">
        <v>2.9000000000000001E-2</v>
      </c>
      <c r="HF43" s="19">
        <v>1487038</v>
      </c>
      <c r="HG43" s="19">
        <v>567</v>
      </c>
      <c r="HH43" s="19">
        <v>0</v>
      </c>
      <c r="HI43" s="19">
        <v>0</v>
      </c>
      <c r="HJ43" s="19">
        <v>14.159096501750138</v>
      </c>
      <c r="HK43" s="19">
        <f>DataTable[[#This Row],[Sens_19]]/AVERAGEIF(DataTable[Strålkälla],DataTable[[#This Row],[Strålkälla]],DataTable[Sens_19])</f>
        <v>0.99920446442325006</v>
      </c>
      <c r="HL43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0.11899999999999999</v>
      </c>
      <c r="HM43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9.9000000000000005E-2</v>
      </c>
      <c r="HN43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5.3999999999999999E-2</v>
      </c>
      <c r="HO43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4.1263157894736849E-2</v>
      </c>
      <c r="HP43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0.99715476156925986</v>
      </c>
      <c r="HQ43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1.0004116146932545</v>
      </c>
      <c r="HR43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1.0060118315572113</v>
      </c>
      <c r="HS43" s="49"/>
    </row>
    <row r="44" spans="2:227" x14ac:dyDescent="0.25">
      <c r="B44" s="19" t="s">
        <v>43</v>
      </c>
      <c r="C44" s="20">
        <v>42492</v>
      </c>
      <c r="D44" s="21">
        <v>0.31943287037037038</v>
      </c>
      <c r="E44" s="13" t="s">
        <v>217</v>
      </c>
      <c r="F44" s="13">
        <v>109.8</v>
      </c>
      <c r="G44" s="13">
        <v>134.19999999999999</v>
      </c>
      <c r="H44" s="24">
        <v>27.570399999999999</v>
      </c>
      <c r="I44" s="22">
        <f>MATCH(DataTable[[#This Row],[Datum]],Övrigt!$D$10:$M$10,1)</f>
        <v>1</v>
      </c>
      <c r="J44" s="13"/>
      <c r="K44" s="22">
        <v>1839</v>
      </c>
      <c r="L44" s="22">
        <v>2204</v>
      </c>
      <c r="M44" s="23">
        <v>0.09</v>
      </c>
      <c r="N44" s="23">
        <v>0.04</v>
      </c>
      <c r="O44" s="23">
        <v>2.5999999999999999E-2</v>
      </c>
      <c r="P44" s="22">
        <v>2077832</v>
      </c>
      <c r="Q44" s="24">
        <v>548</v>
      </c>
      <c r="R44" s="22">
        <v>0</v>
      </c>
      <c r="S44" s="22">
        <v>0</v>
      </c>
      <c r="T44" s="19">
        <v>20.733152401570941</v>
      </c>
      <c r="U44" s="23">
        <f>DataTable[[#This Row],[Sens_1]]/AVERAGEIF(DataTable[Strålkälla],DataTable[[#This Row],[Strålkälla]],DataTable[Sens_1])</f>
        <v>1.0014087006308394</v>
      </c>
      <c r="V44" s="22">
        <v>2195</v>
      </c>
      <c r="W44" s="22">
        <v>2632</v>
      </c>
      <c r="X44" s="23">
        <v>9.0999999999999998E-2</v>
      </c>
      <c r="Y44" s="23">
        <v>0.04</v>
      </c>
      <c r="Z44" s="23">
        <v>2.4E-2</v>
      </c>
      <c r="AA44" s="22">
        <v>2451030</v>
      </c>
      <c r="AB44" s="24">
        <v>548</v>
      </c>
      <c r="AC44" s="22">
        <v>0</v>
      </c>
      <c r="AD44" s="22">
        <v>1</v>
      </c>
      <c r="AE44" s="19">
        <v>24.45701987977008</v>
      </c>
      <c r="AF44" s="23">
        <f>DataTable[[#This Row],[Sens_2]]/AVERAGEIF(DataTable[Strålkälla],DataTable[[#This Row],[Strålkälla]],DataTable[Sens_2])</f>
        <v>1.000902796624892</v>
      </c>
      <c r="AG44" s="22">
        <v>1950</v>
      </c>
      <c r="AH44" s="22">
        <v>2396</v>
      </c>
      <c r="AI44" s="23">
        <v>0.10299999999999999</v>
      </c>
      <c r="AJ44" s="23">
        <v>4.7E-2</v>
      </c>
      <c r="AK44" s="23">
        <v>2.5000000000000001E-2</v>
      </c>
      <c r="AL44" s="22">
        <v>2170852</v>
      </c>
      <c r="AM44" s="24">
        <v>548</v>
      </c>
      <c r="AN44" s="22">
        <v>0</v>
      </c>
      <c r="AO44" s="22">
        <v>1</v>
      </c>
      <c r="AP44" s="19">
        <v>21.661330346849542</v>
      </c>
      <c r="AQ44" s="23">
        <f>DataTable[[#This Row],[Sens_3]]/AVERAGEIF(DataTable[Strålkälla],DataTable[[#This Row],[Strålkälla]],DataTable[Sens_3])</f>
        <v>1.0011685830680868</v>
      </c>
      <c r="AR44" s="22">
        <v>1818</v>
      </c>
      <c r="AS44" s="22">
        <v>2285</v>
      </c>
      <c r="AT44" s="23">
        <v>0.114</v>
      </c>
      <c r="AU44" s="23">
        <v>4.2000000000000003E-2</v>
      </c>
      <c r="AV44" s="23">
        <v>2.5999999999999999E-2</v>
      </c>
      <c r="AW44" s="22">
        <v>2064454</v>
      </c>
      <c r="AX44" s="24">
        <v>548</v>
      </c>
      <c r="AY44" s="22">
        <v>0</v>
      </c>
      <c r="AZ44" s="22">
        <v>1</v>
      </c>
      <c r="BA44" s="19">
        <v>20.599663210515928</v>
      </c>
      <c r="BB44" s="23">
        <f>DataTable[[#This Row],[Sens_4]]/AVERAGEIF(DataTable[Strålkälla],DataTable[[#This Row],[Strålkälla]],DataTable[Sens_4])</f>
        <v>1.0003740178619847</v>
      </c>
      <c r="BC44" s="22">
        <v>2058</v>
      </c>
      <c r="BD44" s="22">
        <v>2434</v>
      </c>
      <c r="BE44" s="19">
        <v>8.4000000000000005E-2</v>
      </c>
      <c r="BF44" s="19">
        <v>3.7999999999999999E-2</v>
      </c>
      <c r="BG44" s="19">
        <v>2.5000000000000001E-2</v>
      </c>
      <c r="BH44" s="19">
        <v>2311696</v>
      </c>
      <c r="BI44" s="19">
        <v>548</v>
      </c>
      <c r="BJ44" s="19">
        <v>0</v>
      </c>
      <c r="BK44" s="19">
        <v>0</v>
      </c>
      <c r="BL44" s="19">
        <v>23.066708701233757</v>
      </c>
      <c r="BM44" s="23">
        <f>DataTable[[#This Row],[Sens_5]]/AVERAGEIF(DataTable[Strålkälla],DataTable[[#This Row],[Strålkälla]],DataTable[Sens_5])</f>
        <v>1.0017588684469638</v>
      </c>
      <c r="BN44" s="19">
        <v>2067</v>
      </c>
      <c r="BO44" s="19">
        <v>2439</v>
      </c>
      <c r="BP44" s="19">
        <v>8.3000000000000004E-2</v>
      </c>
      <c r="BQ44" s="19">
        <v>0.03</v>
      </c>
      <c r="BR44" s="19">
        <v>2.4E-2</v>
      </c>
      <c r="BS44" s="19">
        <v>2308706</v>
      </c>
      <c r="BT44" s="19">
        <v>548</v>
      </c>
      <c r="BU44" s="19">
        <v>0</v>
      </c>
      <c r="BV44" s="19">
        <v>0</v>
      </c>
      <c r="BW44" s="19">
        <v>23.036873697402505</v>
      </c>
      <c r="BX44" s="23">
        <f>DataTable[[#This Row],[Sens_6]]/AVERAGEIF(DataTable[Strålkälla],DataTable[[#This Row],[Strålkälla]],DataTable[Sens_6])</f>
        <v>1.0037203015583713</v>
      </c>
      <c r="BY44" s="19">
        <v>1798</v>
      </c>
      <c r="BZ44" s="19">
        <v>2310</v>
      </c>
      <c r="CA44" s="19">
        <v>0.125</v>
      </c>
      <c r="CB44" s="19">
        <v>4.2000000000000003E-2</v>
      </c>
      <c r="CC44" s="19">
        <v>2.7E-2</v>
      </c>
      <c r="CD44" s="19">
        <v>2110085</v>
      </c>
      <c r="CE44" s="19">
        <v>548</v>
      </c>
      <c r="CF44" s="19">
        <v>1</v>
      </c>
      <c r="CG44" s="19">
        <v>1</v>
      </c>
      <c r="CH44" s="19">
        <v>21.054981290724573</v>
      </c>
      <c r="CI44" s="23">
        <f>DataTable[[#This Row],[Sens_7]]/AVERAGEIF(DataTable[Strålkälla],DataTable[[#This Row],[Strålkälla]],DataTable[Sens_7])</f>
        <v>1.0017673443936681</v>
      </c>
      <c r="CJ44" s="19">
        <v>2172</v>
      </c>
      <c r="CK44" s="19">
        <v>2618</v>
      </c>
      <c r="CL44" s="19">
        <v>9.2999999999999999E-2</v>
      </c>
      <c r="CM44" s="19">
        <v>4.4999999999999998E-2</v>
      </c>
      <c r="CN44" s="19">
        <v>2.5000000000000001E-2</v>
      </c>
      <c r="CO44" s="19">
        <v>2448730</v>
      </c>
      <c r="CP44" s="19">
        <v>548</v>
      </c>
      <c r="CQ44" s="19">
        <v>0</v>
      </c>
      <c r="CR44" s="19">
        <v>0</v>
      </c>
      <c r="CS44" s="19">
        <v>24.434069876822964</v>
      </c>
      <c r="CT44" s="23">
        <f>DataTable[[#This Row],[Sens_8]]/AVERAGEIF(DataTable[Strålkälla],DataTable[[#This Row],[Strålkälla]],DataTable[Sens_8])</f>
        <v>1.0014829242534122</v>
      </c>
      <c r="CU44" s="19">
        <v>1738</v>
      </c>
      <c r="CV44" s="19">
        <v>2113</v>
      </c>
      <c r="CW44" s="19">
        <v>9.7000000000000003E-2</v>
      </c>
      <c r="CX44" s="19">
        <v>0.05</v>
      </c>
      <c r="CY44" s="19">
        <v>2.7E-2</v>
      </c>
      <c r="CZ44" s="19">
        <v>1973087</v>
      </c>
      <c r="DA44" s="19">
        <v>533</v>
      </c>
      <c r="DB44" s="19">
        <v>0</v>
      </c>
      <c r="DC44" s="19">
        <v>0</v>
      </c>
      <c r="DD44" s="19">
        <v>20.242050045496985</v>
      </c>
      <c r="DE44" s="23">
        <f>DataTable[[#This Row],[Sens_9]]/AVERAGEIF(DataTable[Strålkälla],DataTable[[#This Row],[Strålkälla]],DataTable[Sens_9])</f>
        <v>1.0029837360382823</v>
      </c>
      <c r="DF44" s="19">
        <v>1657</v>
      </c>
      <c r="DG44" s="19">
        <v>2009</v>
      </c>
      <c r="DH44" s="19">
        <v>9.6000000000000002E-2</v>
      </c>
      <c r="DI44" s="19">
        <v>3.5999999999999997E-2</v>
      </c>
      <c r="DJ44" s="19">
        <v>2.5999999999999999E-2</v>
      </c>
      <c r="DK44" s="19">
        <v>1901856</v>
      </c>
      <c r="DL44" s="19">
        <v>533</v>
      </c>
      <c r="DM44" s="19">
        <v>1</v>
      </c>
      <c r="DN44" s="19">
        <v>0</v>
      </c>
      <c r="DO44" s="19">
        <v>19.511285782800613</v>
      </c>
      <c r="DP44" s="23">
        <f>DataTable[[#This Row],[Sens_10]]/AVERAGEIF(DataTable[Strålkälla],DataTable[[#This Row],[Strålkälla]],DataTable[Sens_10])</f>
        <v>1.0000556295464227</v>
      </c>
      <c r="DQ44" s="19">
        <v>1473</v>
      </c>
      <c r="DR44" s="19">
        <v>1858</v>
      </c>
      <c r="DS44" s="19">
        <v>0.11600000000000001</v>
      </c>
      <c r="DT44" s="19">
        <v>3.9E-2</v>
      </c>
      <c r="DU44" s="19">
        <v>2.8000000000000001E-2</v>
      </c>
      <c r="DV44" s="19">
        <v>1674363</v>
      </c>
      <c r="DW44" s="19">
        <v>533</v>
      </c>
      <c r="DX44" s="19">
        <v>0</v>
      </c>
      <c r="DY44" s="19">
        <v>1</v>
      </c>
      <c r="DZ44" s="19">
        <v>17.177417742009585</v>
      </c>
      <c r="EA44" s="23">
        <f>DataTable[[#This Row],[Sens_11]]/AVERAGEIF(DataTable[Strålkälla],DataTable[[#This Row],[Strålkälla]],DataTable[Sens_11])</f>
        <v>1.0004326499429723</v>
      </c>
      <c r="EB44" s="19">
        <v>1761</v>
      </c>
      <c r="EC44" s="19">
        <v>2160</v>
      </c>
      <c r="ED44" s="19">
        <v>0.10199999999999999</v>
      </c>
      <c r="EE44" s="19">
        <v>4.8000000000000001E-2</v>
      </c>
      <c r="EF44" s="19">
        <v>2.7E-2</v>
      </c>
      <c r="EG44" s="19">
        <v>2001636</v>
      </c>
      <c r="EH44" s="19">
        <v>533</v>
      </c>
      <c r="EI44" s="19">
        <v>0</v>
      </c>
      <c r="EJ44" s="19">
        <v>0</v>
      </c>
      <c r="EK44" s="19">
        <v>20.534936414293135</v>
      </c>
      <c r="EL44" s="23">
        <f>DataTable[[#This Row],[Sens_12]]/AVERAGEIF(DataTable[Strålkälla],DataTable[[#This Row],[Strålkälla]],DataTable[Sens_12])</f>
        <v>1.0033008366157654</v>
      </c>
      <c r="EM44" s="19">
        <v>1492</v>
      </c>
      <c r="EN44" s="19">
        <v>1802</v>
      </c>
      <c r="EO44" s="19">
        <v>9.4E-2</v>
      </c>
      <c r="EP44" s="19">
        <v>3.5999999999999997E-2</v>
      </c>
      <c r="EQ44" s="19">
        <v>2.7E-2</v>
      </c>
      <c r="ER44" s="19">
        <v>1702854</v>
      </c>
      <c r="ES44" s="19">
        <v>573</v>
      </c>
      <c r="ET44" s="19">
        <v>0</v>
      </c>
      <c r="EU44" s="19">
        <v>0</v>
      </c>
      <c r="EV44" s="19">
        <v>16.250183144808471</v>
      </c>
      <c r="EW44" s="19">
        <f>DataTable[[#This Row],[Sens_13]]/AVERAGEIF(DataTable[Strålkälla],DataTable[[#This Row],[Strålkälla]],DataTable[Sens_13])</f>
        <v>1.0010360826340923</v>
      </c>
      <c r="EX44" s="19">
        <v>1286</v>
      </c>
      <c r="EY44" s="19">
        <v>1633</v>
      </c>
      <c r="EZ44" s="19">
        <v>0.11899999999999999</v>
      </c>
      <c r="FA44" s="19">
        <v>4.7E-2</v>
      </c>
      <c r="FB44" s="19">
        <v>2.9000000000000001E-2</v>
      </c>
      <c r="FC44" s="19">
        <v>1453418</v>
      </c>
      <c r="FD44" s="19">
        <v>573</v>
      </c>
      <c r="FE44" s="19">
        <v>0</v>
      </c>
      <c r="FF44" s="19">
        <v>1</v>
      </c>
      <c r="FG44" s="19">
        <v>13.869837746489855</v>
      </c>
      <c r="FH44" s="19">
        <f>DataTable[[#This Row],[Sens_14]]/AVERAGEIF(DataTable[Strålkälla],DataTable[[#This Row],[Strålkälla]],DataTable[Sens_14])</f>
        <v>1.001218732893888</v>
      </c>
      <c r="FI44" s="19">
        <v>1447</v>
      </c>
      <c r="FJ44" s="19">
        <v>1729</v>
      </c>
      <c r="FK44" s="19">
        <v>8.8999999999999996E-2</v>
      </c>
      <c r="FL44" s="19">
        <v>4.2999999999999997E-2</v>
      </c>
      <c r="FM44" s="19">
        <v>2.8000000000000001E-2</v>
      </c>
      <c r="FN44" s="19">
        <v>1624511</v>
      </c>
      <c r="FO44" s="19">
        <v>573</v>
      </c>
      <c r="FP44" s="19">
        <v>0</v>
      </c>
      <c r="FQ44" s="19">
        <v>0</v>
      </c>
      <c r="FR44" s="19">
        <v>15.502562915409044</v>
      </c>
      <c r="FS44" s="19">
        <f>DataTable[[#This Row],[Sens_15]]/AVERAGEIF(DataTable[Strålkälla],DataTable[[#This Row],[Strålkälla]],DataTable[Sens_15])</f>
        <v>1.0023239136508166</v>
      </c>
      <c r="FT44" s="19">
        <v>1270</v>
      </c>
      <c r="FU44" s="19">
        <v>1590</v>
      </c>
      <c r="FV44" s="19">
        <v>0.112</v>
      </c>
      <c r="FW44" s="19">
        <v>4.2000000000000003E-2</v>
      </c>
      <c r="FX44" s="19">
        <v>0.03</v>
      </c>
      <c r="FY44" s="19">
        <v>1463088</v>
      </c>
      <c r="FZ44" s="19">
        <v>573</v>
      </c>
      <c r="GA44" s="19">
        <v>0</v>
      </c>
      <c r="GB44" s="19">
        <v>0</v>
      </c>
      <c r="GC44" s="19">
        <v>13.962117690049491</v>
      </c>
      <c r="GD44" s="19">
        <f>DataTable[[#This Row],[Sens_16]]/AVERAGEIF(DataTable[Strålkälla],DataTable[[#This Row],[Strålkälla]],DataTable[Sens_16])</f>
        <v>0.99983316315167015</v>
      </c>
      <c r="GE44" s="19">
        <v>1247</v>
      </c>
      <c r="GF44" s="19">
        <v>1523</v>
      </c>
      <c r="GG44" s="19">
        <v>0.1</v>
      </c>
      <c r="GH44" s="19">
        <v>4.1000000000000002E-2</v>
      </c>
      <c r="GI44" s="19">
        <v>3.1E-2</v>
      </c>
      <c r="GJ44" s="19">
        <v>1409457</v>
      </c>
      <c r="GK44" s="19">
        <v>573</v>
      </c>
      <c r="GL44" s="19">
        <v>0</v>
      </c>
      <c r="GM44" s="19">
        <v>0</v>
      </c>
      <c r="GN44" s="19">
        <v>13.450321862433485</v>
      </c>
      <c r="GO44" s="19">
        <f>DataTable[[#This Row],[Sens_17]]/AVERAGEIF(DataTable[Strålkälla],DataTable[[#This Row],[Strålkälla]],DataTable[Sens_17])</f>
        <v>1.0004845278724332</v>
      </c>
      <c r="GP44" s="19">
        <v>1440</v>
      </c>
      <c r="GQ44" s="19">
        <v>1741</v>
      </c>
      <c r="GR44" s="19">
        <v>9.5000000000000001E-2</v>
      </c>
      <c r="GS44" s="19">
        <v>4.2999999999999997E-2</v>
      </c>
      <c r="GT44" s="19">
        <v>2.9000000000000001E-2</v>
      </c>
      <c r="GU44" s="19">
        <v>1633345</v>
      </c>
      <c r="GV44" s="19">
        <v>573</v>
      </c>
      <c r="GW44" s="19">
        <v>0</v>
      </c>
      <c r="GX44" s="19">
        <v>0</v>
      </c>
      <c r="GY44" s="19">
        <v>15.586864985875001</v>
      </c>
      <c r="GZ44" s="19">
        <f>DataTable[[#This Row],[Sens_18]]/AVERAGEIF(DataTable[Strålkälla],DataTable[[#This Row],[Strålkälla]],DataTable[Sens_18])</f>
        <v>1.0018649301196991</v>
      </c>
      <c r="HA44" s="19">
        <v>1311</v>
      </c>
      <c r="HB44" s="19">
        <v>1598</v>
      </c>
      <c r="HC44" s="19">
        <v>9.9000000000000005E-2</v>
      </c>
      <c r="HD44" s="19">
        <v>5.1999999999999998E-2</v>
      </c>
      <c r="HE44" s="19">
        <v>3.1E-2</v>
      </c>
      <c r="HF44" s="19">
        <v>1486516</v>
      </c>
      <c r="HG44" s="19">
        <v>573</v>
      </c>
      <c r="HH44" s="19">
        <v>0</v>
      </c>
      <c r="HI44" s="19">
        <v>0</v>
      </c>
      <c r="HJ44" s="19">
        <v>14.185688994880422</v>
      </c>
      <c r="HK44" s="19">
        <f>DataTable[[#This Row],[Sens_19]]/AVERAGEIF(DataTable[Strålkälla],DataTable[[#This Row],[Strålkälla]],DataTable[Sens_19])</f>
        <v>1.0010810910747203</v>
      </c>
      <c r="HL44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0.125</v>
      </c>
      <c r="HM44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0.10010526315789474</v>
      </c>
      <c r="HN44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5.1999999999999998E-2</v>
      </c>
      <c r="HO44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4.2157894736842116E-2</v>
      </c>
      <c r="HP44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0.99983316315167015</v>
      </c>
      <c r="HQ44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1.0014315173883674</v>
      </c>
      <c r="HR44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1.0037203015583713</v>
      </c>
      <c r="HS44" s="49"/>
    </row>
    <row r="45" spans="2:227" x14ac:dyDescent="0.25">
      <c r="B45" s="19" t="s">
        <v>43</v>
      </c>
      <c r="C45" s="20">
        <v>42499</v>
      </c>
      <c r="D45" s="21">
        <v>0.31787037037037036</v>
      </c>
      <c r="E45" s="13" t="s">
        <v>217</v>
      </c>
      <c r="F45" s="13">
        <v>109.8</v>
      </c>
      <c r="G45" s="13">
        <v>134.19999999999999</v>
      </c>
      <c r="H45" s="24">
        <v>28.129799999999999</v>
      </c>
      <c r="I45" s="22">
        <f>MATCH(DataTable[[#This Row],[Datum]],Övrigt!$D$10:$M$10,1)</f>
        <v>1</v>
      </c>
      <c r="J45" s="13"/>
      <c r="K45" s="22">
        <v>1836</v>
      </c>
      <c r="L45" s="22">
        <v>2249</v>
      </c>
      <c r="M45" s="23">
        <v>0.10100000000000001</v>
      </c>
      <c r="N45" s="23">
        <v>4.9000000000000002E-2</v>
      </c>
      <c r="O45" s="23">
        <v>2.7E-2</v>
      </c>
      <c r="P45" s="22">
        <v>2076704</v>
      </c>
      <c r="Q45" s="24">
        <v>559</v>
      </c>
      <c r="R45" s="22">
        <v>0</v>
      </c>
      <c r="S45" s="22">
        <v>1</v>
      </c>
      <c r="T45" s="19">
        <v>20.680106334154139</v>
      </c>
      <c r="U45" s="23">
        <f>DataTable[[#This Row],[Sens_1]]/AVERAGEIF(DataTable[Strålkälla],DataTable[[#This Row],[Strålkälla]],DataTable[Sens_1])</f>
        <v>0.9988465821253385</v>
      </c>
      <c r="V45" s="22">
        <v>2199</v>
      </c>
      <c r="W45" s="22">
        <v>2609</v>
      </c>
      <c r="X45" s="23">
        <v>8.5000000000000006E-2</v>
      </c>
      <c r="Y45" s="23">
        <v>4.2999999999999997E-2</v>
      </c>
      <c r="Z45" s="23">
        <v>2.5000000000000001E-2</v>
      </c>
      <c r="AA45" s="22">
        <v>2451050</v>
      </c>
      <c r="AB45" s="24">
        <v>559</v>
      </c>
      <c r="AC45" s="22">
        <v>0</v>
      </c>
      <c r="AD45" s="22">
        <v>0</v>
      </c>
      <c r="AE45" s="19">
        <v>24.407895699304522</v>
      </c>
      <c r="AF45" s="23">
        <f>DataTable[[#This Row],[Sens_2]]/AVERAGEIF(DataTable[Strålkälla],DataTable[[#This Row],[Strålkälla]],DataTable[Sens_2])</f>
        <v>0.99889239102962335</v>
      </c>
      <c r="AG45" s="22">
        <v>1865</v>
      </c>
      <c r="AH45" s="22">
        <v>2283</v>
      </c>
      <c r="AI45" s="23">
        <v>0.10100000000000001</v>
      </c>
      <c r="AJ45" s="23">
        <v>3.7999999999999999E-2</v>
      </c>
      <c r="AK45" s="23">
        <v>2.5000000000000001E-2</v>
      </c>
      <c r="AL45" s="22">
        <v>2172703</v>
      </c>
      <c r="AM45" s="24">
        <v>559</v>
      </c>
      <c r="AN45" s="22">
        <v>2</v>
      </c>
      <c r="AO45" s="22">
        <v>0</v>
      </c>
      <c r="AP45" s="19">
        <v>21.636077684896691</v>
      </c>
      <c r="AQ45" s="23">
        <f>DataTable[[#This Row],[Sens_3]]/AVERAGEIF(DataTable[Strålkälla],DataTable[[#This Row],[Strålkälla]],DataTable[Sens_3])</f>
        <v>1.0000014261399939</v>
      </c>
      <c r="AR45" s="22">
        <v>1842</v>
      </c>
      <c r="AS45" s="22">
        <v>2219</v>
      </c>
      <c r="AT45" s="23">
        <v>9.2999999999999999E-2</v>
      </c>
      <c r="AU45" s="23">
        <v>3.7999999999999999E-2</v>
      </c>
      <c r="AV45" s="23">
        <v>2.7E-2</v>
      </c>
      <c r="AW45" s="22">
        <v>2067908</v>
      </c>
      <c r="AX45" s="24">
        <v>559</v>
      </c>
      <c r="AY45" s="22">
        <v>0</v>
      </c>
      <c r="AZ45" s="22">
        <v>0</v>
      </c>
      <c r="BA45" s="19">
        <v>20.592514546727898</v>
      </c>
      <c r="BB45" s="23">
        <f>DataTable[[#This Row],[Sens_4]]/AVERAGEIF(DataTable[Strålkälla],DataTable[[#This Row],[Strålkälla]],DataTable[Sens_4])</f>
        <v>1.0000268598796966</v>
      </c>
      <c r="BC45" s="22">
        <v>2088</v>
      </c>
      <c r="BD45" s="22">
        <v>2425</v>
      </c>
      <c r="BE45" s="19">
        <v>7.4999999999999997E-2</v>
      </c>
      <c r="BF45" s="19">
        <v>3.9E-2</v>
      </c>
      <c r="BG45" s="19">
        <v>2.4E-2</v>
      </c>
      <c r="BH45" s="19">
        <v>2312920</v>
      </c>
      <c r="BI45" s="19">
        <v>559</v>
      </c>
      <c r="BJ45" s="19">
        <v>0</v>
      </c>
      <c r="BK45" s="19">
        <v>0</v>
      </c>
      <c r="BL45" s="19">
        <v>23.032378009765374</v>
      </c>
      <c r="BM45" s="23">
        <f>DataTable[[#This Row],[Sens_5]]/AVERAGEIF(DataTable[Strålkälla],DataTable[[#This Row],[Strålkälla]],DataTable[Sens_5])</f>
        <v>1.0002679286217893</v>
      </c>
      <c r="BN45" s="19">
        <v>2029</v>
      </c>
      <c r="BO45" s="19">
        <v>2424</v>
      </c>
      <c r="BP45" s="19">
        <v>8.8999999999999996E-2</v>
      </c>
      <c r="BQ45" s="19">
        <v>3.3000000000000002E-2</v>
      </c>
      <c r="BR45" s="19">
        <v>2.3E-2</v>
      </c>
      <c r="BS45" s="19">
        <v>2304943</v>
      </c>
      <c r="BT45" s="19">
        <v>559</v>
      </c>
      <c r="BU45" s="19">
        <v>1</v>
      </c>
      <c r="BV45" s="19">
        <v>0</v>
      </c>
      <c r="BW45" s="19">
        <v>22.952941937880528</v>
      </c>
      <c r="BX45" s="23">
        <f>DataTable[[#This Row],[Sens_6]]/AVERAGEIF(DataTable[Strålkälla],DataTable[[#This Row],[Strålkälla]],DataTable[Sens_6])</f>
        <v>1.0000633812624884</v>
      </c>
      <c r="BY45" s="19">
        <v>1877</v>
      </c>
      <c r="BZ45" s="19">
        <v>2245</v>
      </c>
      <c r="CA45" s="19">
        <v>8.8999999999999996E-2</v>
      </c>
      <c r="CB45" s="19">
        <v>3.7999999999999999E-2</v>
      </c>
      <c r="CC45" s="19">
        <v>2.7E-2</v>
      </c>
      <c r="CD45" s="19">
        <v>2110559</v>
      </c>
      <c r="CE45" s="19">
        <v>559</v>
      </c>
      <c r="CF45" s="19">
        <v>0</v>
      </c>
      <c r="CG45" s="19">
        <v>0</v>
      </c>
      <c r="CH45" s="19">
        <v>21.01723911761427</v>
      </c>
      <c r="CI45" s="23">
        <f>DataTable[[#This Row],[Sens_7]]/AVERAGEIF(DataTable[Strålkälla],DataTable[[#This Row],[Strålkälla]],DataTable[Sens_7])</f>
        <v>0.99997162318136712</v>
      </c>
      <c r="CJ45" s="19">
        <v>2097</v>
      </c>
      <c r="CK45" s="19">
        <v>2664</v>
      </c>
      <c r="CL45" s="19">
        <v>0.11899999999999999</v>
      </c>
      <c r="CM45" s="19">
        <v>3.5999999999999997E-2</v>
      </c>
      <c r="CN45" s="19">
        <v>2.5000000000000001E-2</v>
      </c>
      <c r="CO45" s="19">
        <v>2452427</v>
      </c>
      <c r="CP45" s="19">
        <v>559</v>
      </c>
      <c r="CQ45" s="19">
        <v>1</v>
      </c>
      <c r="CR45" s="19">
        <v>1</v>
      </c>
      <c r="CS45" s="19">
        <v>24.421608056203787</v>
      </c>
      <c r="CT45" s="23">
        <f>DataTable[[#This Row],[Sens_8]]/AVERAGEIF(DataTable[Strålkälla],DataTable[[#This Row],[Strålkälla]],DataTable[Sens_8])</f>
        <v>1.0009721497234985</v>
      </c>
      <c r="CU45" s="19">
        <v>1713</v>
      </c>
      <c r="CV45" s="19">
        <v>2111</v>
      </c>
      <c r="CW45" s="19">
        <v>0.104</v>
      </c>
      <c r="CX45" s="19">
        <v>4.5999999999999999E-2</v>
      </c>
      <c r="CY45" s="19">
        <v>2.8000000000000001E-2</v>
      </c>
      <c r="CZ45" s="19">
        <v>1972203</v>
      </c>
      <c r="DA45" s="19">
        <v>544</v>
      </c>
      <c r="DB45" s="19">
        <v>0</v>
      </c>
      <c r="DC45" s="19">
        <v>0</v>
      </c>
      <c r="DD45" s="19">
        <v>20.181000416926068</v>
      </c>
      <c r="DE45" s="23">
        <f>DataTable[[#This Row],[Sens_9]]/AVERAGEIF(DataTable[Strålkälla],DataTable[[#This Row],[Strålkälla]],DataTable[Sens_9])</f>
        <v>0.99995875663104938</v>
      </c>
      <c r="DF45" s="19">
        <v>1718</v>
      </c>
      <c r="DG45" s="19">
        <v>2017</v>
      </c>
      <c r="DH45" s="19">
        <v>0.08</v>
      </c>
      <c r="DI45" s="19">
        <v>4.9000000000000002E-2</v>
      </c>
      <c r="DJ45" s="19">
        <v>2.5999999999999999E-2</v>
      </c>
      <c r="DK45" s="19">
        <v>1901720</v>
      </c>
      <c r="DL45" s="19">
        <v>544</v>
      </c>
      <c r="DM45" s="19">
        <v>0</v>
      </c>
      <c r="DN45" s="19">
        <v>0</v>
      </c>
      <c r="DO45" s="19">
        <v>19.459767636940338</v>
      </c>
      <c r="DP45" s="23">
        <f>DataTable[[#This Row],[Sens_10]]/AVERAGEIF(DataTable[Strålkälla],DataTable[[#This Row],[Strålkälla]],DataTable[Sens_10])</f>
        <v>0.99741505463173519</v>
      </c>
      <c r="DQ45" s="19">
        <v>1478</v>
      </c>
      <c r="DR45" s="19">
        <v>1763</v>
      </c>
      <c r="DS45" s="19">
        <v>8.7999999999999995E-2</v>
      </c>
      <c r="DT45" s="19">
        <v>3.4000000000000002E-2</v>
      </c>
      <c r="DU45" s="19">
        <v>2.5999999999999999E-2</v>
      </c>
      <c r="DV45" s="19">
        <v>1674334</v>
      </c>
      <c r="DW45" s="19">
        <v>544</v>
      </c>
      <c r="DX45" s="19">
        <v>0</v>
      </c>
      <c r="DY45" s="19">
        <v>0</v>
      </c>
      <c r="DZ45" s="19">
        <v>17.132990443718771</v>
      </c>
      <c r="EA45" s="23">
        <f>DataTable[[#This Row],[Sens_11]]/AVERAGEIF(DataTable[Strålkälla],DataTable[[#This Row],[Strålkälla]],DataTable[Sens_11])</f>
        <v>0.99784515277509556</v>
      </c>
      <c r="EB45" s="19">
        <v>1796</v>
      </c>
      <c r="EC45" s="19">
        <v>2166</v>
      </c>
      <c r="ED45" s="19">
        <v>9.2999999999999999E-2</v>
      </c>
      <c r="EE45" s="19">
        <v>5.3999999999999999E-2</v>
      </c>
      <c r="EF45" s="19">
        <v>2.5999999999999999E-2</v>
      </c>
      <c r="EG45" s="19">
        <v>2002684</v>
      </c>
      <c r="EH45" s="19">
        <v>544</v>
      </c>
      <c r="EI45" s="19">
        <v>0</v>
      </c>
      <c r="EJ45" s="19">
        <v>1</v>
      </c>
      <c r="EK45" s="19">
        <v>20.492903944964674</v>
      </c>
      <c r="EL45" s="23">
        <f>DataTable[[#This Row],[Sens_12]]/AVERAGEIF(DataTable[Strålkälla],DataTable[[#This Row],[Strålkälla]],DataTable[Sens_12])</f>
        <v>1.0012472041724276</v>
      </c>
      <c r="EM45" s="19">
        <v>1527</v>
      </c>
      <c r="EN45" s="19">
        <v>1795</v>
      </c>
      <c r="EO45" s="19">
        <v>8.1000000000000003E-2</v>
      </c>
      <c r="EP45" s="19">
        <v>3.4000000000000002E-2</v>
      </c>
      <c r="EQ45" s="19">
        <v>2.7E-2</v>
      </c>
      <c r="ER45" s="19">
        <v>1703016</v>
      </c>
      <c r="ES45" s="19">
        <v>585</v>
      </c>
      <c r="ET45" s="19">
        <v>0</v>
      </c>
      <c r="EU45" s="19">
        <v>0</v>
      </c>
      <c r="EV45" s="19">
        <v>16.205141894259487</v>
      </c>
      <c r="EW45" s="19">
        <f>DataTable[[#This Row],[Sens_13]]/AVERAGEIF(DataTable[Strålkälla],DataTable[[#This Row],[Strålkälla]],DataTable[Sens_13])</f>
        <v>0.99826147285863875</v>
      </c>
      <c r="EX45" s="19">
        <v>1213</v>
      </c>
      <c r="EY45" s="19">
        <v>1578</v>
      </c>
      <c r="EZ45" s="19">
        <v>0.13100000000000001</v>
      </c>
      <c r="FA45" s="19">
        <v>4.7E-2</v>
      </c>
      <c r="FB45" s="19">
        <v>3.1E-2</v>
      </c>
      <c r="FC45" s="19">
        <v>1453085</v>
      </c>
      <c r="FD45" s="19">
        <v>585</v>
      </c>
      <c r="FE45" s="19">
        <v>1</v>
      </c>
      <c r="FF45" s="19">
        <v>0</v>
      </c>
      <c r="FG45" s="19">
        <v>13.826909793812886</v>
      </c>
      <c r="FH45" s="19">
        <f>DataTable[[#This Row],[Sens_14]]/AVERAGEIF(DataTable[Strålkälla],DataTable[[#This Row],[Strålkälla]],DataTable[Sens_14])</f>
        <v>0.99811990281594831</v>
      </c>
      <c r="FI45" s="19">
        <v>1453</v>
      </c>
      <c r="FJ45" s="19">
        <v>1741</v>
      </c>
      <c r="FK45" s="19">
        <v>0.09</v>
      </c>
      <c r="FL45" s="19">
        <v>3.5000000000000003E-2</v>
      </c>
      <c r="FM45" s="19">
        <v>2.7E-2</v>
      </c>
      <c r="FN45" s="19">
        <v>1623467</v>
      </c>
      <c r="FO45" s="19">
        <v>585</v>
      </c>
      <c r="FP45" s="19">
        <v>0</v>
      </c>
      <c r="FQ45" s="19">
        <v>0</v>
      </c>
      <c r="FR45" s="19">
        <v>15.448189033836304</v>
      </c>
      <c r="FS45" s="19">
        <f>DataTable[[#This Row],[Sens_15]]/AVERAGEIF(DataTable[Strålkälla],DataTable[[#This Row],[Strålkälla]],DataTable[Sens_15])</f>
        <v>0.99880835031617576</v>
      </c>
      <c r="FT45" s="19">
        <v>1269</v>
      </c>
      <c r="FU45" s="19">
        <v>1574</v>
      </c>
      <c r="FV45" s="19">
        <v>0.107</v>
      </c>
      <c r="FW45" s="19">
        <v>5.1999999999999998E-2</v>
      </c>
      <c r="FX45" s="19">
        <v>2.9000000000000001E-2</v>
      </c>
      <c r="FY45" s="19">
        <v>1466375</v>
      </c>
      <c r="FZ45" s="19">
        <v>585</v>
      </c>
      <c r="GA45" s="19">
        <v>0</v>
      </c>
      <c r="GB45" s="19">
        <v>0</v>
      </c>
      <c r="GC45" s="19">
        <v>13.953371515707872</v>
      </c>
      <c r="GD45" s="19">
        <f>DataTable[[#This Row],[Sens_16]]/AVERAGEIF(DataTable[Strålkälla],DataTable[[#This Row],[Strålkälla]],DataTable[Sens_16])</f>
        <v>0.99920684590155207</v>
      </c>
      <c r="GE45" s="19">
        <v>1235</v>
      </c>
      <c r="GF45" s="19">
        <v>1538</v>
      </c>
      <c r="GG45" s="19">
        <v>0.109</v>
      </c>
      <c r="GH45" s="19">
        <v>4.7E-2</v>
      </c>
      <c r="GI45" s="19">
        <v>3.1E-2</v>
      </c>
      <c r="GJ45" s="19">
        <v>1408828</v>
      </c>
      <c r="GK45" s="19">
        <v>585</v>
      </c>
      <c r="GL45" s="19">
        <v>0</v>
      </c>
      <c r="GM45" s="19">
        <v>0</v>
      </c>
      <c r="GN45" s="19">
        <v>13.405779889681485</v>
      </c>
      <c r="GO45" s="19">
        <f>DataTable[[#This Row],[Sens_17]]/AVERAGEIF(DataTable[Strålkälla],DataTable[[#This Row],[Strålkälla]],DataTable[Sens_17])</f>
        <v>0.99717133172478145</v>
      </c>
      <c r="GP45" s="19">
        <v>1390</v>
      </c>
      <c r="GQ45" s="19">
        <v>1741</v>
      </c>
      <c r="GR45" s="19">
        <v>0.112</v>
      </c>
      <c r="GS45" s="19">
        <v>3.5999999999999997E-2</v>
      </c>
      <c r="GT45" s="19">
        <v>2.8000000000000001E-2</v>
      </c>
      <c r="GU45" s="19">
        <v>1631501</v>
      </c>
      <c r="GV45" s="19">
        <v>585</v>
      </c>
      <c r="GW45" s="19">
        <v>1</v>
      </c>
      <c r="GX45" s="19">
        <v>0</v>
      </c>
      <c r="GY45" s="19">
        <v>15.524637000254987</v>
      </c>
      <c r="GZ45" s="19">
        <f>DataTable[[#This Row],[Sens_18]]/AVERAGEIF(DataTable[Strålkälla],DataTable[[#This Row],[Strålkälla]],DataTable[Sens_18])</f>
        <v>0.99786514975840246</v>
      </c>
      <c r="HA45" s="19">
        <v>1305</v>
      </c>
      <c r="HB45" s="19">
        <v>1602</v>
      </c>
      <c r="HC45" s="19">
        <v>0.10199999999999999</v>
      </c>
      <c r="HD45" s="19">
        <v>5.3999999999999999E-2</v>
      </c>
      <c r="HE45" s="19">
        <v>0.03</v>
      </c>
      <c r="HF45" s="19">
        <v>1487645</v>
      </c>
      <c r="HG45" s="19">
        <v>585</v>
      </c>
      <c r="HH45" s="19">
        <v>0</v>
      </c>
      <c r="HI45" s="19">
        <v>0</v>
      </c>
      <c r="HJ45" s="19">
        <v>14.155767364068016</v>
      </c>
      <c r="HK45" s="19">
        <f>DataTable[[#This Row],[Sens_19]]/AVERAGEIF(DataTable[Strålkälla],DataTable[[#This Row],[Strålkälla]],DataTable[Sens_19])</f>
        <v>0.99896952787668114</v>
      </c>
      <c r="HL45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0.13100000000000001</v>
      </c>
      <c r="HM45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9.7315789473684217E-2</v>
      </c>
      <c r="HN45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5.3999999999999999E-2</v>
      </c>
      <c r="HO45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4.2210526315789483E-2</v>
      </c>
      <c r="HP45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0.99717133172478145</v>
      </c>
      <c r="HQ45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0.99915321533822554</v>
      </c>
      <c r="HR45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1.0012472041724276</v>
      </c>
      <c r="HS45" s="49"/>
    </row>
    <row r="46" spans="2:227" x14ac:dyDescent="0.25">
      <c r="B46" s="19" t="s">
        <v>43</v>
      </c>
      <c r="C46" s="20">
        <v>42501</v>
      </c>
      <c r="D46" s="21">
        <v>0.31189814814814815</v>
      </c>
      <c r="E46" s="13" t="s">
        <v>217</v>
      </c>
      <c r="F46" s="13">
        <v>109.8</v>
      </c>
      <c r="G46" s="13">
        <v>134.19999999999999</v>
      </c>
      <c r="H46" s="24">
        <v>28.2547</v>
      </c>
      <c r="I46" s="22">
        <f>MATCH(DataTable[[#This Row],[Datum]],Övrigt!$D$10:$M$10,1)</f>
        <v>1</v>
      </c>
      <c r="J46" s="13"/>
      <c r="K46" s="22">
        <v>1867</v>
      </c>
      <c r="L46" s="22">
        <v>2218</v>
      </c>
      <c r="M46" s="23">
        <v>8.5999999999999993E-2</v>
      </c>
      <c r="N46" s="23">
        <v>3.7999999999999999E-2</v>
      </c>
      <c r="O46" s="23">
        <v>2.5999999999999999E-2</v>
      </c>
      <c r="P46" s="22">
        <v>2076163</v>
      </c>
      <c r="Q46" s="24">
        <v>562</v>
      </c>
      <c r="R46" s="22">
        <v>0</v>
      </c>
      <c r="S46" s="22">
        <v>0</v>
      </c>
      <c r="T46" s="19">
        <v>20.669533795550421</v>
      </c>
      <c r="U46" s="23">
        <f>DataTable[[#This Row],[Sens_1]]/AVERAGEIF(DataTable[Strålkälla],DataTable[[#This Row],[Strålkälla]],DataTable[Sens_1])</f>
        <v>0.99833592981639607</v>
      </c>
      <c r="V46" s="22">
        <v>2156</v>
      </c>
      <c r="W46" s="22">
        <v>2599</v>
      </c>
      <c r="X46" s="23">
        <v>9.2999999999999999E-2</v>
      </c>
      <c r="Y46" s="23">
        <v>3.5000000000000003E-2</v>
      </c>
      <c r="Z46" s="23">
        <v>2.4E-2</v>
      </c>
      <c r="AA46" s="22">
        <v>2450292</v>
      </c>
      <c r="AB46" s="24">
        <v>562</v>
      </c>
      <c r="AC46" s="22">
        <v>1</v>
      </c>
      <c r="AD46" s="22">
        <v>0</v>
      </c>
      <c r="AE46" s="19">
        <v>24.394227863114235</v>
      </c>
      <c r="AF46" s="23">
        <f>DataTable[[#This Row],[Sens_2]]/AVERAGEIF(DataTable[Strålkälla],DataTable[[#This Row],[Strålkälla]],DataTable[Sens_2])</f>
        <v>0.99833303524817818</v>
      </c>
      <c r="AG46" s="22">
        <v>1936</v>
      </c>
      <c r="AH46" s="22">
        <v>2309</v>
      </c>
      <c r="AI46" s="23">
        <v>8.7999999999999995E-2</v>
      </c>
      <c r="AJ46" s="23">
        <v>4.1000000000000002E-2</v>
      </c>
      <c r="AK46" s="23">
        <v>2.4E-2</v>
      </c>
      <c r="AL46" s="22">
        <v>2169760</v>
      </c>
      <c r="AM46" s="24">
        <v>562</v>
      </c>
      <c r="AN46" s="22">
        <v>0</v>
      </c>
      <c r="AO46" s="22">
        <v>0</v>
      </c>
      <c r="AP46" s="19">
        <v>21.601351940205795</v>
      </c>
      <c r="AQ46" s="23">
        <f>DataTable[[#This Row],[Sens_3]]/AVERAGEIF(DataTable[Strålkälla],DataTable[[#This Row],[Strålkälla]],DataTable[Sens_3])</f>
        <v>0.99839643124579869</v>
      </c>
      <c r="AR46" s="22">
        <v>1852</v>
      </c>
      <c r="AS46" s="22">
        <v>2226</v>
      </c>
      <c r="AT46" s="23">
        <v>9.1999999999999998E-2</v>
      </c>
      <c r="AU46" s="23">
        <v>4.2000000000000003E-2</v>
      </c>
      <c r="AV46" s="23">
        <v>2.5000000000000001E-2</v>
      </c>
      <c r="AW46" s="22">
        <v>2067404</v>
      </c>
      <c r="AX46" s="24">
        <v>562</v>
      </c>
      <c r="AY46" s="22">
        <v>0</v>
      </c>
      <c r="AZ46" s="22">
        <v>1</v>
      </c>
      <c r="BA46" s="19">
        <v>20.582332334723297</v>
      </c>
      <c r="BB46" s="23">
        <f>DataTable[[#This Row],[Sens_4]]/AVERAGEIF(DataTable[Strålkälla],DataTable[[#This Row],[Strålkälla]],DataTable[Sens_4])</f>
        <v>0.99953238478902795</v>
      </c>
      <c r="BC46" s="22">
        <v>2085</v>
      </c>
      <c r="BD46" s="22">
        <v>2448</v>
      </c>
      <c r="BE46" s="19">
        <v>0.08</v>
      </c>
      <c r="BF46" s="19">
        <v>3.1E-2</v>
      </c>
      <c r="BG46" s="19">
        <v>2.3E-2</v>
      </c>
      <c r="BH46" s="19">
        <v>2316065</v>
      </c>
      <c r="BI46" s="19">
        <v>562</v>
      </c>
      <c r="BJ46" s="19">
        <v>0</v>
      </c>
      <c r="BK46" s="19">
        <v>0</v>
      </c>
      <c r="BL46" s="19">
        <v>23.057912018560916</v>
      </c>
      <c r="BM46" s="23">
        <f>DataTable[[#This Row],[Sens_5]]/AVERAGEIF(DataTable[Strålkälla],DataTable[[#This Row],[Strålkälla]],DataTable[Sens_5])</f>
        <v>1.0013768393072817</v>
      </c>
      <c r="BN46" s="19">
        <v>2086</v>
      </c>
      <c r="BO46" s="19">
        <v>2417</v>
      </c>
      <c r="BP46" s="19">
        <v>7.3999999999999996E-2</v>
      </c>
      <c r="BQ46" s="19">
        <v>3.7999999999999999E-2</v>
      </c>
      <c r="BR46" s="19">
        <v>2.3E-2</v>
      </c>
      <c r="BS46" s="19">
        <v>2308106</v>
      </c>
      <c r="BT46" s="19">
        <v>562</v>
      </c>
      <c r="BU46" s="19">
        <v>0</v>
      </c>
      <c r="BV46" s="19">
        <v>0</v>
      </c>
      <c r="BW46" s="19">
        <v>22.978675070653271</v>
      </c>
      <c r="BX46" s="23">
        <f>DataTable[[#This Row],[Sens_6]]/AVERAGEIF(DataTable[Strålkälla],DataTable[[#This Row],[Strålkälla]],DataTable[Sens_6])</f>
        <v>1.0011845780067155</v>
      </c>
      <c r="BY46" s="19">
        <v>1861</v>
      </c>
      <c r="BZ46" s="19">
        <v>2255</v>
      </c>
      <c r="CA46" s="19">
        <v>9.6000000000000002E-2</v>
      </c>
      <c r="CB46" s="19">
        <v>4.3999999999999997E-2</v>
      </c>
      <c r="CC46" s="19">
        <v>2.7E-2</v>
      </c>
      <c r="CD46" s="19">
        <v>2109656</v>
      </c>
      <c r="CE46" s="19">
        <v>562</v>
      </c>
      <c r="CF46" s="19">
        <v>0</v>
      </c>
      <c r="CG46" s="19">
        <v>0</v>
      </c>
      <c r="CH46" s="19">
        <v>21.002978084565481</v>
      </c>
      <c r="CI46" s="23">
        <f>DataTable[[#This Row],[Sens_7]]/AVERAGEIF(DataTable[Strålkälla],DataTable[[#This Row],[Strålkälla]],DataTable[Sens_7])</f>
        <v>0.99929310264466686</v>
      </c>
      <c r="CJ46" s="19">
        <v>2165</v>
      </c>
      <c r="CK46" s="19">
        <v>2605</v>
      </c>
      <c r="CL46" s="19">
        <v>9.1999999999999998E-2</v>
      </c>
      <c r="CM46" s="19">
        <v>4.2000000000000003E-2</v>
      </c>
      <c r="CN46" s="19">
        <v>2.5000000000000001E-2</v>
      </c>
      <c r="CO46" s="19">
        <v>2450966</v>
      </c>
      <c r="CP46" s="19">
        <v>562</v>
      </c>
      <c r="CQ46" s="19">
        <v>0</v>
      </c>
      <c r="CR46" s="19">
        <v>0</v>
      </c>
      <c r="CS46" s="19">
        <v>24.400937965248893</v>
      </c>
      <c r="CT46" s="23">
        <f>DataTable[[#This Row],[Sens_8]]/AVERAGEIF(DataTable[Strålkälla],DataTable[[#This Row],[Strålkälla]],DataTable[Sens_8])</f>
        <v>1.0001249415736302</v>
      </c>
      <c r="CU46" s="19">
        <v>1688</v>
      </c>
      <c r="CV46" s="19">
        <v>2106</v>
      </c>
      <c r="CW46" s="19">
        <v>0.11</v>
      </c>
      <c r="CX46" s="19">
        <v>4.9000000000000002E-2</v>
      </c>
      <c r="CY46" s="19">
        <v>2.8000000000000001E-2</v>
      </c>
      <c r="CZ46" s="19">
        <v>1970804</v>
      </c>
      <c r="DA46" s="19">
        <v>546</v>
      </c>
      <c r="DB46" s="19">
        <v>2</v>
      </c>
      <c r="DC46" s="19">
        <v>0</v>
      </c>
      <c r="DD46" s="19">
        <v>20.195580546940288</v>
      </c>
      <c r="DE46" s="23">
        <f>DataTable[[#This Row],[Sens_9]]/AVERAGEIF(DataTable[Strålkälla],DataTable[[#This Row],[Strålkälla]],DataTable[Sens_9])</f>
        <v>1.0006811949829317</v>
      </c>
      <c r="DF46" s="19">
        <v>1714</v>
      </c>
      <c r="DG46" s="19">
        <v>2029</v>
      </c>
      <c r="DH46" s="19">
        <v>8.4000000000000005E-2</v>
      </c>
      <c r="DI46" s="19">
        <v>4.3999999999999997E-2</v>
      </c>
      <c r="DJ46" s="19">
        <v>2.5999999999999999E-2</v>
      </c>
      <c r="DK46" s="19">
        <v>1902699</v>
      </c>
      <c r="DL46" s="19">
        <v>546</v>
      </c>
      <c r="DM46" s="19">
        <v>0</v>
      </c>
      <c r="DN46" s="19">
        <v>0</v>
      </c>
      <c r="DO46" s="19">
        <v>19.497682626523357</v>
      </c>
      <c r="DP46" s="23">
        <f>DataTable[[#This Row],[Sens_10]]/AVERAGEIF(DataTable[Strålkälla],DataTable[[#This Row],[Strålkälla]],DataTable[Sens_10])</f>
        <v>0.99935839651082936</v>
      </c>
      <c r="DQ46" s="19">
        <v>1450</v>
      </c>
      <c r="DR46" s="19">
        <v>1805</v>
      </c>
      <c r="DS46" s="19">
        <v>0.109</v>
      </c>
      <c r="DT46" s="19">
        <v>3.9E-2</v>
      </c>
      <c r="DU46" s="19">
        <v>2.8000000000000001E-2</v>
      </c>
      <c r="DV46" s="19">
        <v>1675891</v>
      </c>
      <c r="DW46" s="19">
        <v>546</v>
      </c>
      <c r="DX46" s="19">
        <v>1</v>
      </c>
      <c r="DY46" s="19">
        <v>0</v>
      </c>
      <c r="DZ46" s="19">
        <v>17.17349451208355</v>
      </c>
      <c r="EA46" s="23">
        <f>DataTable[[#This Row],[Sens_11]]/AVERAGEIF(DataTable[Strålkälla],DataTable[[#This Row],[Strålkälla]],DataTable[Sens_11])</f>
        <v>1.0002041565005826</v>
      </c>
      <c r="EB46" s="19">
        <v>1769</v>
      </c>
      <c r="EC46" s="19">
        <v>2097</v>
      </c>
      <c r="ED46" s="19">
        <v>8.5000000000000006E-2</v>
      </c>
      <c r="EE46" s="19">
        <v>3.4000000000000002E-2</v>
      </c>
      <c r="EF46" s="19">
        <v>2.5999999999999999E-2</v>
      </c>
      <c r="EG46" s="19">
        <v>2001100</v>
      </c>
      <c r="EH46" s="19">
        <v>546</v>
      </c>
      <c r="EI46" s="19">
        <v>0</v>
      </c>
      <c r="EJ46" s="19">
        <v>0</v>
      </c>
      <c r="EK46" s="19">
        <v>20.506035218358704</v>
      </c>
      <c r="EL46" s="23">
        <f>DataTable[[#This Row],[Sens_12]]/AVERAGEIF(DataTable[Strålkälla],DataTable[[#This Row],[Strålkälla]],DataTable[Sens_12])</f>
        <v>1.001888775069764</v>
      </c>
      <c r="EM46" s="19">
        <v>1518</v>
      </c>
      <c r="EN46" s="19">
        <v>1866</v>
      </c>
      <c r="EO46" s="19">
        <v>0.10299999999999999</v>
      </c>
      <c r="EP46" s="19">
        <v>3.6999999999999998E-2</v>
      </c>
      <c r="EQ46" s="19">
        <v>2.9000000000000001E-2</v>
      </c>
      <c r="ER46" s="19">
        <v>1701735</v>
      </c>
      <c r="ES46" s="19">
        <v>587</v>
      </c>
      <c r="ET46" s="19">
        <v>0</v>
      </c>
      <c r="EU46" s="19">
        <v>1</v>
      </c>
      <c r="EV46" s="19">
        <v>16.220318570870564</v>
      </c>
      <c r="EW46" s="19">
        <f>DataTable[[#This Row],[Sens_13]]/AVERAGEIF(DataTable[Strålkälla],DataTable[[#This Row],[Strålkälla]],DataTable[Sens_13])</f>
        <v>0.99919637930041694</v>
      </c>
      <c r="EX46" s="19">
        <v>1288</v>
      </c>
      <c r="EY46" s="19">
        <v>1563</v>
      </c>
      <c r="EZ46" s="19">
        <v>9.6000000000000002E-2</v>
      </c>
      <c r="FA46" s="19">
        <v>4.3999999999999997E-2</v>
      </c>
      <c r="FB46" s="19">
        <v>2.9000000000000001E-2</v>
      </c>
      <c r="FC46" s="19">
        <v>1453730</v>
      </c>
      <c r="FD46" s="19">
        <v>587</v>
      </c>
      <c r="FE46" s="19">
        <v>0</v>
      </c>
      <c r="FF46" s="19">
        <v>0</v>
      </c>
      <c r="FG46" s="19">
        <v>13.856425187253988</v>
      </c>
      <c r="FH46" s="19">
        <f>DataTable[[#This Row],[Sens_14]]/AVERAGEIF(DataTable[Strålkälla],DataTable[[#This Row],[Strålkälla]],DataTable[Sens_14])</f>
        <v>1.0002505236178711</v>
      </c>
      <c r="FI46" s="19">
        <v>1464</v>
      </c>
      <c r="FJ46" s="19">
        <v>1734</v>
      </c>
      <c r="FK46" s="19">
        <v>8.4000000000000005E-2</v>
      </c>
      <c r="FL46" s="19">
        <v>4.7E-2</v>
      </c>
      <c r="FM46" s="19">
        <v>2.7E-2</v>
      </c>
      <c r="FN46" s="19">
        <v>1625487</v>
      </c>
      <c r="FO46" s="19">
        <v>587</v>
      </c>
      <c r="FP46" s="19">
        <v>0</v>
      </c>
      <c r="FQ46" s="19">
        <v>0</v>
      </c>
      <c r="FR46" s="19">
        <v>15.493550389930677</v>
      </c>
      <c r="FS46" s="19">
        <f>DataTable[[#This Row],[Sens_15]]/AVERAGEIF(DataTable[Strålkälla],DataTable[[#This Row],[Strålkälla]],DataTable[Sens_15])</f>
        <v>1.00174120549742</v>
      </c>
      <c r="FT46" s="19">
        <v>1269</v>
      </c>
      <c r="FU46" s="19">
        <v>1580</v>
      </c>
      <c r="FV46" s="19">
        <v>0.109</v>
      </c>
      <c r="FW46" s="19">
        <v>5.0999999999999997E-2</v>
      </c>
      <c r="FX46" s="19">
        <v>0.03</v>
      </c>
      <c r="FY46" s="19">
        <v>1468789</v>
      </c>
      <c r="FZ46" s="19">
        <v>587</v>
      </c>
      <c r="GA46" s="19">
        <v>0</v>
      </c>
      <c r="GB46" s="19">
        <v>0</v>
      </c>
      <c r="GC46" s="19">
        <v>13.999962093622337</v>
      </c>
      <c r="GD46" s="19">
        <f>DataTable[[#This Row],[Sens_16]]/AVERAGEIF(DataTable[Strålkälla],DataTable[[#This Row],[Strålkälla]],DataTable[Sens_16])</f>
        <v>1.0025432169251598</v>
      </c>
      <c r="GE46" s="19">
        <v>1218</v>
      </c>
      <c r="GF46" s="19">
        <v>1512</v>
      </c>
      <c r="GG46" s="19">
        <v>0.108</v>
      </c>
      <c r="GH46" s="19">
        <v>4.2999999999999997E-2</v>
      </c>
      <c r="GI46" s="19">
        <v>0.03</v>
      </c>
      <c r="GJ46" s="19">
        <v>1410886</v>
      </c>
      <c r="GK46" s="19">
        <v>587</v>
      </c>
      <c r="GL46" s="19">
        <v>0</v>
      </c>
      <c r="GM46" s="19">
        <v>0</v>
      </c>
      <c r="GN46" s="19">
        <v>13.448051774912832</v>
      </c>
      <c r="GO46" s="19">
        <f>DataTable[[#This Row],[Sens_17]]/AVERAGEIF(DataTable[Strålkälla],DataTable[[#This Row],[Strålkälla]],DataTable[Sens_17])</f>
        <v>1.0003156703934406</v>
      </c>
      <c r="GP46" s="19">
        <v>1454</v>
      </c>
      <c r="GQ46" s="19">
        <v>1752</v>
      </c>
      <c r="GR46" s="19">
        <v>9.2999999999999999E-2</v>
      </c>
      <c r="GS46" s="19">
        <v>4.1000000000000002E-2</v>
      </c>
      <c r="GT46" s="19">
        <v>2.8000000000000001E-2</v>
      </c>
      <c r="GU46" s="19">
        <v>1629549</v>
      </c>
      <c r="GV46" s="19">
        <v>587</v>
      </c>
      <c r="GW46" s="19">
        <v>0</v>
      </c>
      <c r="GX46" s="19">
        <v>0</v>
      </c>
      <c r="GY46" s="19">
        <v>15.532267895320691</v>
      </c>
      <c r="GZ46" s="19">
        <f>DataTable[[#This Row],[Sens_18]]/AVERAGEIF(DataTable[Strålkälla],DataTable[[#This Row],[Strålkälla]],DataTable[Sens_18])</f>
        <v>0.99835563493028789</v>
      </c>
      <c r="HA46" s="19">
        <v>1303</v>
      </c>
      <c r="HB46" s="19">
        <v>1593</v>
      </c>
      <c r="HC46" s="19">
        <v>0.1</v>
      </c>
      <c r="HD46" s="19">
        <v>4.5999999999999999E-2</v>
      </c>
      <c r="HE46" s="19">
        <v>2.9000000000000001E-2</v>
      </c>
      <c r="HF46" s="19">
        <v>1485972</v>
      </c>
      <c r="HG46" s="19">
        <v>587</v>
      </c>
      <c r="HH46" s="19">
        <v>0</v>
      </c>
      <c r="HI46" s="19">
        <v>0</v>
      </c>
      <c r="HJ46" s="19">
        <v>14.163744194832729</v>
      </c>
      <c r="HK46" s="19">
        <f>DataTable[[#This Row],[Sens_19]]/AVERAGEIF(DataTable[Strålkälla],DataTable[[#This Row],[Strålkälla]],DataTable[Sens_19])</f>
        <v>0.99953245114731959</v>
      </c>
      <c r="HL46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</v>
      </c>
      <c r="HM46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9.3789473684210534E-2</v>
      </c>
      <c r="HN46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5.0999999999999997E-2</v>
      </c>
      <c r="HO46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4.1368421052631589E-2</v>
      </c>
      <c r="HP46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0.99833303524817818</v>
      </c>
      <c r="HQ46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1.0000339393425117</v>
      </c>
      <c r="HR46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1.0025432169251598</v>
      </c>
      <c r="HS46" s="49"/>
    </row>
    <row r="47" spans="2:227" x14ac:dyDescent="0.25">
      <c r="B47" s="19" t="s">
        <v>43</v>
      </c>
      <c r="C47" s="20">
        <v>42502</v>
      </c>
      <c r="D47" s="21">
        <v>0.31457175925925923</v>
      </c>
      <c r="E47" s="13" t="s">
        <v>217</v>
      </c>
      <c r="F47" s="13">
        <v>109.8</v>
      </c>
      <c r="G47" s="13">
        <v>134.19999999999999</v>
      </c>
      <c r="H47" s="24">
        <v>28.2883</v>
      </c>
      <c r="I47" s="22">
        <f>MATCH(DataTable[[#This Row],[Datum]],Övrigt!$D$10:$M$10,1)</f>
        <v>1</v>
      </c>
      <c r="J47" s="13"/>
      <c r="K47" s="22">
        <v>1877</v>
      </c>
      <c r="L47" s="22">
        <v>2237</v>
      </c>
      <c r="M47" s="23">
        <v>8.7999999999999995E-2</v>
      </c>
      <c r="N47" s="23">
        <v>3.6999999999999998E-2</v>
      </c>
      <c r="O47" s="23">
        <v>2.7E-2</v>
      </c>
      <c r="P47" s="22">
        <v>2075861</v>
      </c>
      <c r="Q47" s="24">
        <v>562</v>
      </c>
      <c r="R47" s="22">
        <v>0</v>
      </c>
      <c r="S47" s="22">
        <v>0</v>
      </c>
      <c r="T47" s="19">
        <v>20.719310111051467</v>
      </c>
      <c r="U47" s="23">
        <f>DataTable[[#This Row],[Sens_1]]/AVERAGEIF(DataTable[Strålkälla],DataTable[[#This Row],[Strålkälla]],DataTable[Sens_1])</f>
        <v>1.000740119708152</v>
      </c>
      <c r="V47" s="22">
        <v>2197</v>
      </c>
      <c r="W47" s="22">
        <v>2602</v>
      </c>
      <c r="X47" s="23">
        <v>8.4000000000000005E-2</v>
      </c>
      <c r="Y47" s="23">
        <v>3.2000000000000001E-2</v>
      </c>
      <c r="Z47" s="23">
        <v>2.4E-2</v>
      </c>
      <c r="AA47" s="22">
        <v>2450007</v>
      </c>
      <c r="AB47" s="24">
        <v>562</v>
      </c>
      <c r="AC47" s="22">
        <v>0</v>
      </c>
      <c r="AD47" s="22">
        <v>0</v>
      </c>
      <c r="AE47" s="19">
        <v>24.453686835123772</v>
      </c>
      <c r="AF47" s="23">
        <f>DataTable[[#This Row],[Sens_2]]/AVERAGEIF(DataTable[Strålkälla],DataTable[[#This Row],[Strålkälla]],DataTable[Sens_2])</f>
        <v>1.0007663918738565</v>
      </c>
      <c r="AG47" s="22">
        <v>1945</v>
      </c>
      <c r="AH47" s="22">
        <v>2298</v>
      </c>
      <c r="AI47" s="23">
        <v>8.3000000000000004E-2</v>
      </c>
      <c r="AJ47" s="23">
        <v>3.6999999999999998E-2</v>
      </c>
      <c r="AK47" s="23">
        <v>2.5000000000000001E-2</v>
      </c>
      <c r="AL47" s="22">
        <v>2171917</v>
      </c>
      <c r="AM47" s="24">
        <v>562</v>
      </c>
      <c r="AN47" s="22">
        <v>0</v>
      </c>
      <c r="AO47" s="22">
        <v>0</v>
      </c>
      <c r="AP47" s="19">
        <v>21.678051593273619</v>
      </c>
      <c r="AQ47" s="23">
        <f>DataTable[[#This Row],[Sens_3]]/AVERAGEIF(DataTable[Strålkälla],DataTable[[#This Row],[Strålkälla]],DataTable[Sens_3])</f>
        <v>1.0019414251013998</v>
      </c>
      <c r="AR47" s="22">
        <v>1847</v>
      </c>
      <c r="AS47" s="22">
        <v>2229</v>
      </c>
      <c r="AT47" s="23">
        <v>9.4E-2</v>
      </c>
      <c r="AU47" s="23">
        <v>3.3000000000000002E-2</v>
      </c>
      <c r="AV47" s="23">
        <v>2.5000000000000001E-2</v>
      </c>
      <c r="AW47" s="22">
        <v>2068228</v>
      </c>
      <c r="AX47" s="24">
        <v>562</v>
      </c>
      <c r="AY47" s="22">
        <v>0</v>
      </c>
      <c r="AZ47" s="22">
        <v>1</v>
      </c>
      <c r="BA47" s="19">
        <v>20.64312461786206</v>
      </c>
      <c r="BB47" s="23">
        <f>DataTable[[#This Row],[Sens_4]]/AVERAGEIF(DataTable[Strålkälla],DataTable[[#This Row],[Strålkälla]],DataTable[Sens_4])</f>
        <v>1.0024846185181446</v>
      </c>
      <c r="BC47" s="22">
        <v>2081</v>
      </c>
      <c r="BD47" s="22">
        <v>2435</v>
      </c>
      <c r="BE47" s="19">
        <v>7.8E-2</v>
      </c>
      <c r="BF47" s="19">
        <v>3.5000000000000003E-2</v>
      </c>
      <c r="BG47" s="19">
        <v>2.4E-2</v>
      </c>
      <c r="BH47" s="19">
        <v>2313449</v>
      </c>
      <c r="BI47" s="19">
        <v>562</v>
      </c>
      <c r="BJ47" s="19">
        <v>0</v>
      </c>
      <c r="BK47" s="19">
        <v>0</v>
      </c>
      <c r="BL47" s="19">
        <v>23.090692130687895</v>
      </c>
      <c r="BM47" s="23">
        <f>DataTable[[#This Row],[Sens_5]]/AVERAGEIF(DataTable[Strålkälla],DataTable[[#This Row],[Strålkälla]],DataTable[Sens_5])</f>
        <v>1.002800439373386</v>
      </c>
      <c r="BN47" s="19">
        <v>2064</v>
      </c>
      <c r="BO47" s="19">
        <v>2491</v>
      </c>
      <c r="BP47" s="19">
        <v>9.4E-2</v>
      </c>
      <c r="BQ47" s="19">
        <v>0.03</v>
      </c>
      <c r="BR47" s="19">
        <v>2.4E-2</v>
      </c>
      <c r="BS47" s="19">
        <v>2307996</v>
      </c>
      <c r="BT47" s="19">
        <v>562</v>
      </c>
      <c r="BU47" s="19">
        <v>0</v>
      </c>
      <c r="BV47" s="19">
        <v>1</v>
      </c>
      <c r="BW47" s="19">
        <v>23.036265366065617</v>
      </c>
      <c r="BX47" s="23">
        <f>DataTable[[#This Row],[Sens_6]]/AVERAGEIF(DataTable[Strålkälla],DataTable[[#This Row],[Strålkälla]],DataTable[Sens_6])</f>
        <v>1.0036937964639332</v>
      </c>
      <c r="BY47" s="19">
        <v>1898</v>
      </c>
      <c r="BZ47" s="19">
        <v>2283</v>
      </c>
      <c r="CA47" s="19">
        <v>9.1999999999999998E-2</v>
      </c>
      <c r="CB47" s="19">
        <v>3.9E-2</v>
      </c>
      <c r="CC47" s="19">
        <v>2.7E-2</v>
      </c>
      <c r="CD47" s="19">
        <v>2109311</v>
      </c>
      <c r="CE47" s="19">
        <v>562</v>
      </c>
      <c r="CF47" s="19">
        <v>0</v>
      </c>
      <c r="CG47" s="19">
        <v>1</v>
      </c>
      <c r="CH47" s="19">
        <v>21.053176840670968</v>
      </c>
      <c r="CI47" s="23">
        <f>DataTable[[#This Row],[Sens_7]]/AVERAGEIF(DataTable[Strålkälla],DataTable[[#This Row],[Strålkälla]],DataTable[Sens_7])</f>
        <v>1.0016814911167959</v>
      </c>
      <c r="CJ47" s="19">
        <v>2156</v>
      </c>
      <c r="CK47" s="19">
        <v>2680</v>
      </c>
      <c r="CL47" s="19">
        <v>0.108</v>
      </c>
      <c r="CM47" s="19">
        <v>4.2999999999999997E-2</v>
      </c>
      <c r="CN47" s="19">
        <v>2.5000000000000001E-2</v>
      </c>
      <c r="CO47" s="19">
        <v>2451834</v>
      </c>
      <c r="CP47" s="19">
        <v>562</v>
      </c>
      <c r="CQ47" s="19">
        <v>0</v>
      </c>
      <c r="CR47" s="19">
        <v>1</v>
      </c>
      <c r="CS47" s="19">
        <v>24.47192224663393</v>
      </c>
      <c r="CT47" s="23">
        <f>DataTable[[#This Row],[Sens_8]]/AVERAGEIF(DataTable[Strålkälla],DataTable[[#This Row],[Strålkälla]],DataTable[Sens_8])</f>
        <v>1.0030343850701862</v>
      </c>
      <c r="CU47" s="19">
        <v>1782</v>
      </c>
      <c r="CV47" s="19">
        <v>2099</v>
      </c>
      <c r="CW47" s="19">
        <v>8.2000000000000003E-2</v>
      </c>
      <c r="CX47" s="19">
        <v>4.4999999999999998E-2</v>
      </c>
      <c r="CY47" s="19">
        <v>2.5999999999999999E-2</v>
      </c>
      <c r="CZ47" s="19">
        <v>1972598</v>
      </c>
      <c r="DA47" s="19">
        <v>547</v>
      </c>
      <c r="DB47" s="19">
        <v>0</v>
      </c>
      <c r="DC47" s="19">
        <v>0</v>
      </c>
      <c r="DD47" s="19">
        <v>20.228542796558632</v>
      </c>
      <c r="DE47" s="23">
        <f>DataTable[[#This Row],[Sens_9]]/AVERAGEIF(DataTable[Strålkälla],DataTable[[#This Row],[Strålkälla]],DataTable[Sens_9])</f>
        <v>1.002314458421967</v>
      </c>
      <c r="DF47" s="19">
        <v>1708</v>
      </c>
      <c r="DG47" s="19">
        <v>2025</v>
      </c>
      <c r="DH47" s="19">
        <v>8.5000000000000006E-2</v>
      </c>
      <c r="DI47" s="19">
        <v>4.7E-2</v>
      </c>
      <c r="DJ47" s="19">
        <v>2.5999999999999999E-2</v>
      </c>
      <c r="DK47" s="19">
        <v>1901745</v>
      </c>
      <c r="DL47" s="19">
        <v>547</v>
      </c>
      <c r="DM47" s="19">
        <v>0</v>
      </c>
      <c r="DN47" s="19">
        <v>0</v>
      </c>
      <c r="DO47" s="19">
        <v>19.50196143392693</v>
      </c>
      <c r="DP47" s="23">
        <f>DataTable[[#This Row],[Sens_10]]/AVERAGEIF(DataTable[Strålkälla],DataTable[[#This Row],[Strålkälla]],DataTable[Sens_10])</f>
        <v>0.9995777078099064</v>
      </c>
      <c r="DQ47" s="19">
        <v>1504</v>
      </c>
      <c r="DR47" s="19">
        <v>1820</v>
      </c>
      <c r="DS47" s="19">
        <v>9.5000000000000001E-2</v>
      </c>
      <c r="DT47" s="19">
        <v>4.4999999999999998E-2</v>
      </c>
      <c r="DU47" s="19">
        <v>2.8000000000000001E-2</v>
      </c>
      <c r="DV47" s="19">
        <v>1675572</v>
      </c>
      <c r="DW47" s="19">
        <v>547</v>
      </c>
      <c r="DX47" s="19">
        <v>0</v>
      </c>
      <c r="DY47" s="19">
        <v>1</v>
      </c>
      <c r="DZ47" s="19">
        <v>17.182608879617305</v>
      </c>
      <c r="EA47" s="23">
        <f>DataTable[[#This Row],[Sens_11]]/AVERAGEIF(DataTable[Strålkälla],DataTable[[#This Row],[Strålkälla]],DataTable[Sens_11])</f>
        <v>1.0007349877932308</v>
      </c>
      <c r="EB47" s="19">
        <v>1703</v>
      </c>
      <c r="EC47" s="19">
        <v>2181</v>
      </c>
      <c r="ED47" s="19">
        <v>0.123</v>
      </c>
      <c r="EE47" s="19">
        <v>5.7000000000000002E-2</v>
      </c>
      <c r="EF47" s="19">
        <v>2.7E-2</v>
      </c>
      <c r="EG47" s="19">
        <v>2000722</v>
      </c>
      <c r="EH47" s="19">
        <v>547</v>
      </c>
      <c r="EI47" s="19">
        <v>1</v>
      </c>
      <c r="EJ47" s="19">
        <v>1</v>
      </c>
      <c r="EK47" s="19">
        <v>20.516948005126423</v>
      </c>
      <c r="EL47" s="23">
        <f>DataTable[[#This Row],[Sens_12]]/AVERAGEIF(DataTable[Strålkälla],DataTable[[#This Row],[Strålkälla]],DataTable[Sens_12])</f>
        <v>1.0024219546167061</v>
      </c>
      <c r="EM47" s="19">
        <v>1474</v>
      </c>
      <c r="EN47" s="19">
        <v>1831</v>
      </c>
      <c r="EO47" s="19">
        <v>0.108</v>
      </c>
      <c r="EP47" s="19">
        <v>0.04</v>
      </c>
      <c r="EQ47" s="19">
        <v>2.7E-2</v>
      </c>
      <c r="ER47" s="19">
        <v>1703151</v>
      </c>
      <c r="ES47" s="19">
        <v>588</v>
      </c>
      <c r="ET47" s="19">
        <v>1</v>
      </c>
      <c r="EU47" s="19">
        <v>0</v>
      </c>
      <c r="EV47" s="19">
        <v>16.247597967472053</v>
      </c>
      <c r="EW47" s="19">
        <f>DataTable[[#This Row],[Sens_13]]/AVERAGEIF(DataTable[Strålkälla],DataTable[[#This Row],[Strålkälla]],DataTable[Sens_13])</f>
        <v>1.0008768317646897</v>
      </c>
      <c r="EX47" s="19">
        <v>1259</v>
      </c>
      <c r="EY47" s="19">
        <v>1591</v>
      </c>
      <c r="EZ47" s="19">
        <v>0.11600000000000001</v>
      </c>
      <c r="FA47" s="19">
        <v>5.3999999999999999E-2</v>
      </c>
      <c r="FB47" s="19">
        <v>0.03</v>
      </c>
      <c r="FC47" s="19">
        <v>1454940</v>
      </c>
      <c r="FD47" s="19">
        <v>588</v>
      </c>
      <c r="FE47" s="19">
        <v>0</v>
      </c>
      <c r="FF47" s="19">
        <v>0</v>
      </c>
      <c r="FG47" s="19">
        <v>13.879732441101105</v>
      </c>
      <c r="FH47" s="19">
        <f>DataTable[[#This Row],[Sens_14]]/AVERAGEIF(DataTable[Strålkälla],DataTable[[#This Row],[Strålkälla]],DataTable[Sens_14])</f>
        <v>1.0019329988991665</v>
      </c>
      <c r="FI47" s="19">
        <v>1437</v>
      </c>
      <c r="FJ47" s="19">
        <v>1778</v>
      </c>
      <c r="FK47" s="19">
        <v>0.106</v>
      </c>
      <c r="FL47" s="19">
        <v>4.1000000000000002E-2</v>
      </c>
      <c r="FM47" s="19">
        <v>2.8000000000000001E-2</v>
      </c>
      <c r="FN47" s="19">
        <v>1621930</v>
      </c>
      <c r="FO47" s="19">
        <v>588</v>
      </c>
      <c r="FP47" s="19">
        <v>0</v>
      </c>
      <c r="FQ47" s="19">
        <v>1</v>
      </c>
      <c r="FR47" s="19">
        <v>15.47277168693906</v>
      </c>
      <c r="FS47" s="19">
        <f>DataTable[[#This Row],[Sens_15]]/AVERAGEIF(DataTable[Strålkälla],DataTable[[#This Row],[Strålkälla]],DataTable[Sens_15])</f>
        <v>1.0003977508043611</v>
      </c>
      <c r="FT47" s="19">
        <v>1314</v>
      </c>
      <c r="FU47" s="19">
        <v>1583</v>
      </c>
      <c r="FV47" s="19">
        <v>9.2999999999999999E-2</v>
      </c>
      <c r="FW47" s="19">
        <v>0.04</v>
      </c>
      <c r="FX47" s="19">
        <v>2.9000000000000001E-2</v>
      </c>
      <c r="FY47" s="19">
        <v>1467324</v>
      </c>
      <c r="FZ47" s="19">
        <v>588</v>
      </c>
      <c r="GA47" s="19">
        <v>0</v>
      </c>
      <c r="GB47" s="19">
        <v>0</v>
      </c>
      <c r="GC47" s="19">
        <v>13.997872437630582</v>
      </c>
      <c r="GD47" s="19">
        <f>DataTable[[#This Row],[Sens_16]]/AVERAGEIF(DataTable[Strålkälla],DataTable[[#This Row],[Strålkälla]],DataTable[Sens_16])</f>
        <v>1.0023935757742601</v>
      </c>
      <c r="GE47" s="19">
        <v>1219</v>
      </c>
      <c r="GF47" s="19">
        <v>1502</v>
      </c>
      <c r="GG47" s="19">
        <v>0.104</v>
      </c>
      <c r="GH47" s="19">
        <v>4.2000000000000003E-2</v>
      </c>
      <c r="GI47" s="19">
        <v>0.03</v>
      </c>
      <c r="GJ47" s="19">
        <v>1409770</v>
      </c>
      <c r="GK47" s="19">
        <v>588</v>
      </c>
      <c r="GL47" s="19">
        <v>0</v>
      </c>
      <c r="GM47" s="19">
        <v>0</v>
      </c>
      <c r="GN47" s="19">
        <v>13.448822909186017</v>
      </c>
      <c r="GO47" s="19">
        <f>DataTable[[#This Row],[Sens_17]]/AVERAGEIF(DataTable[Strålkälla],DataTable[[#This Row],[Strålkälla]],DataTable[Sens_17])</f>
        <v>1.0003730302036462</v>
      </c>
      <c r="GP47" s="19">
        <v>1353</v>
      </c>
      <c r="GQ47" s="19">
        <v>1802</v>
      </c>
      <c r="GR47" s="19">
        <v>0.14199999999999999</v>
      </c>
      <c r="GS47" s="19">
        <v>4.8000000000000001E-2</v>
      </c>
      <c r="GT47" s="19">
        <v>2.8000000000000001E-2</v>
      </c>
      <c r="GU47" s="19">
        <v>1630331</v>
      </c>
      <c r="GV47" s="19">
        <v>588</v>
      </c>
      <c r="GW47" s="19">
        <v>1</v>
      </c>
      <c r="GX47" s="19">
        <v>1</v>
      </c>
      <c r="GY47" s="19">
        <v>15.552914945243657</v>
      </c>
      <c r="GZ47" s="19">
        <f>DataTable[[#This Row],[Sens_18]]/AVERAGEIF(DataTable[Strålkälla],DataTable[[#This Row],[Strålkälla]],DataTable[Sens_18])</f>
        <v>0.99968274947493785</v>
      </c>
      <c r="HA47" s="19">
        <v>1320</v>
      </c>
      <c r="HB47" s="19">
        <v>1652</v>
      </c>
      <c r="HC47" s="19">
        <v>0.112</v>
      </c>
      <c r="HD47" s="19">
        <v>6.2E-2</v>
      </c>
      <c r="HE47" s="19">
        <v>3.1E-2</v>
      </c>
      <c r="HF47" s="19">
        <v>1488947</v>
      </c>
      <c r="HG47" s="19">
        <v>588</v>
      </c>
      <c r="HH47" s="19">
        <v>0</v>
      </c>
      <c r="HI47" s="19">
        <v>1</v>
      </c>
      <c r="HJ47" s="19">
        <v>14.20414998486547</v>
      </c>
      <c r="HK47" s="19">
        <f>DataTable[[#This Row],[Sens_19]]/AVERAGEIF(DataTable[Strålkälla],DataTable[[#This Row],[Strålkälla]],DataTable[Sens_19])</f>
        <v>1.002383879258165</v>
      </c>
      <c r="HL47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0.14199999999999999</v>
      </c>
      <c r="HM47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9.9315789473684218E-2</v>
      </c>
      <c r="HN47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6.2E-2</v>
      </c>
      <c r="HO47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4.2473684210526323E-2</v>
      </c>
      <c r="HP47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0.9995777078099064</v>
      </c>
      <c r="HQ47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1.0015911890550997</v>
      </c>
      <c r="HR47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1.0036937964639332</v>
      </c>
      <c r="HS47" s="49"/>
    </row>
    <row r="48" spans="2:227" x14ac:dyDescent="0.25">
      <c r="B48" s="19" t="s">
        <v>43</v>
      </c>
      <c r="C48" s="20">
        <v>42506</v>
      </c>
      <c r="D48" s="21">
        <v>0.31506944444444446</v>
      </c>
      <c r="E48" s="13" t="s">
        <v>217</v>
      </c>
      <c r="F48" s="13">
        <v>109.8</v>
      </c>
      <c r="G48" s="13">
        <v>134.19999999999999</v>
      </c>
      <c r="H48" s="24">
        <v>28.624099999999999</v>
      </c>
      <c r="I48" s="22">
        <f>MATCH(DataTable[[#This Row],[Datum]],Övrigt!$D$10:$M$10,1)</f>
        <v>1</v>
      </c>
      <c r="J48" s="13"/>
      <c r="K48" s="22">
        <v>1843</v>
      </c>
      <c r="L48" s="22">
        <v>2305</v>
      </c>
      <c r="M48" s="23">
        <v>0.111</v>
      </c>
      <c r="N48" s="23">
        <v>3.6999999999999998E-2</v>
      </c>
      <c r="O48" s="23">
        <v>2.5999999999999999E-2</v>
      </c>
      <c r="P48" s="22">
        <v>2075454</v>
      </c>
      <c r="Q48" s="24">
        <v>569</v>
      </c>
      <c r="R48" s="22">
        <v>0</v>
      </c>
      <c r="S48" s="22">
        <v>1</v>
      </c>
      <c r="T48" s="19">
        <v>20.670230978476784</v>
      </c>
      <c r="U48" s="23">
        <f>DataTable[[#This Row],[Sens_1]]/AVERAGEIF(DataTable[Strålkälla],DataTable[[#This Row],[Strålkälla]],DataTable[Sens_1])</f>
        <v>0.99836960366564331</v>
      </c>
      <c r="V48" s="22">
        <v>2192</v>
      </c>
      <c r="W48" s="22">
        <v>2662</v>
      </c>
      <c r="X48" s="23">
        <v>9.7000000000000003E-2</v>
      </c>
      <c r="Y48" s="23">
        <v>3.9E-2</v>
      </c>
      <c r="Z48" s="23">
        <v>2.5000000000000001E-2</v>
      </c>
      <c r="AA48" s="22">
        <v>2452286</v>
      </c>
      <c r="AB48" s="24">
        <v>569</v>
      </c>
      <c r="AC48" s="22">
        <v>0</v>
      </c>
      <c r="AD48" s="22">
        <v>1</v>
      </c>
      <c r="AE48" s="19">
        <v>24.423243321839422</v>
      </c>
      <c r="AF48" s="23">
        <f>DataTable[[#This Row],[Sens_2]]/AVERAGEIF(DataTable[Strålkälla],DataTable[[#This Row],[Strålkälla]],DataTable[Sens_2])</f>
        <v>0.99952049201626203</v>
      </c>
      <c r="AG48" s="22">
        <v>1958</v>
      </c>
      <c r="AH48" s="22">
        <v>2297</v>
      </c>
      <c r="AI48" s="23">
        <v>0.08</v>
      </c>
      <c r="AJ48" s="23">
        <v>3.7999999999999999E-2</v>
      </c>
      <c r="AK48" s="23">
        <v>2.5000000000000001E-2</v>
      </c>
      <c r="AL48" s="22">
        <v>2172936</v>
      </c>
      <c r="AM48" s="24">
        <v>569</v>
      </c>
      <c r="AN48" s="22">
        <v>0</v>
      </c>
      <c r="AO48" s="22">
        <v>0</v>
      </c>
      <c r="AP48" s="19">
        <v>21.641091068001231</v>
      </c>
      <c r="AQ48" s="23">
        <f>DataTable[[#This Row],[Sens_3]]/AVERAGEIF(DataTable[Strålkälla],DataTable[[#This Row],[Strålkälla]],DataTable[Sens_3])</f>
        <v>1.0002331405166633</v>
      </c>
      <c r="AR48" s="22">
        <v>1848</v>
      </c>
      <c r="AS48" s="22">
        <v>2179</v>
      </c>
      <c r="AT48" s="23">
        <v>8.2000000000000003E-2</v>
      </c>
      <c r="AU48" s="23">
        <v>4.2000000000000003E-2</v>
      </c>
      <c r="AV48" s="23">
        <v>2.4E-2</v>
      </c>
      <c r="AW48" s="22">
        <v>2070619</v>
      </c>
      <c r="AX48" s="24">
        <v>569</v>
      </c>
      <c r="AY48" s="22">
        <v>0</v>
      </c>
      <c r="AZ48" s="22">
        <v>0</v>
      </c>
      <c r="BA48" s="19">
        <v>20.622077385681695</v>
      </c>
      <c r="BB48" s="23">
        <f>DataTable[[#This Row],[Sens_4]]/AVERAGEIF(DataTable[Strålkälla],DataTable[[#This Row],[Strålkälla]],DataTable[Sens_4])</f>
        <v>1.0014625093697582</v>
      </c>
      <c r="BC48" s="22">
        <v>2072</v>
      </c>
      <c r="BD48" s="22">
        <v>2419</v>
      </c>
      <c r="BE48" s="19">
        <v>7.6999999999999999E-2</v>
      </c>
      <c r="BF48" s="19">
        <v>3.4000000000000002E-2</v>
      </c>
      <c r="BG48" s="19">
        <v>2.4E-2</v>
      </c>
      <c r="BH48" s="19">
        <v>2313438</v>
      </c>
      <c r="BI48" s="19">
        <v>569</v>
      </c>
      <c r="BJ48" s="19">
        <v>0</v>
      </c>
      <c r="BK48" s="19">
        <v>0</v>
      </c>
      <c r="BL48" s="19">
        <v>23.040403600554566</v>
      </c>
      <c r="BM48" s="23">
        <f>DataTable[[#This Row],[Sens_5]]/AVERAGEIF(DataTable[Strålkälla],DataTable[[#This Row],[Strålkälla]],DataTable[Sens_5])</f>
        <v>1.0006164701866798</v>
      </c>
      <c r="BN48" s="19">
        <v>2049</v>
      </c>
      <c r="BO48" s="19">
        <v>2391</v>
      </c>
      <c r="BP48" s="19">
        <v>7.6999999999999999E-2</v>
      </c>
      <c r="BQ48" s="19">
        <v>3.5999999999999997E-2</v>
      </c>
      <c r="BR48" s="19">
        <v>2.4E-2</v>
      </c>
      <c r="BS48" s="19">
        <v>2304876</v>
      </c>
      <c r="BT48" s="19">
        <v>569</v>
      </c>
      <c r="BU48" s="19">
        <v>0</v>
      </c>
      <c r="BV48" s="19">
        <v>0</v>
      </c>
      <c r="BW48" s="19">
        <v>22.955131405826222</v>
      </c>
      <c r="BX48" s="23">
        <f>DataTable[[#This Row],[Sens_6]]/AVERAGEIF(DataTable[Strålkälla],DataTable[[#This Row],[Strålkälla]],DataTable[Sens_6])</f>
        <v>1.0001587767339213</v>
      </c>
      <c r="BY48" s="19">
        <v>1868</v>
      </c>
      <c r="BZ48" s="19">
        <v>2264</v>
      </c>
      <c r="CA48" s="19">
        <v>9.6000000000000002E-2</v>
      </c>
      <c r="CB48" s="19">
        <v>5.6000000000000001E-2</v>
      </c>
      <c r="CC48" s="19">
        <v>2.5999999999999999E-2</v>
      </c>
      <c r="CD48" s="19">
        <v>2108220</v>
      </c>
      <c r="CE48" s="19">
        <v>569</v>
      </c>
      <c r="CF48" s="19">
        <v>0</v>
      </c>
      <c r="CG48" s="19">
        <v>0</v>
      </c>
      <c r="CH48" s="19">
        <v>20.996559959143553</v>
      </c>
      <c r="CI48" s="23">
        <f>DataTable[[#This Row],[Sens_7]]/AVERAGEIF(DataTable[Strålkälla],DataTable[[#This Row],[Strålkälla]],DataTable[Sens_7])</f>
        <v>0.99898773697508336</v>
      </c>
      <c r="CJ48" s="19">
        <v>2122</v>
      </c>
      <c r="CK48" s="19">
        <v>2605</v>
      </c>
      <c r="CL48" s="19">
        <v>0.10199999999999999</v>
      </c>
      <c r="CM48" s="19">
        <v>4.4999999999999998E-2</v>
      </c>
      <c r="CN48" s="19">
        <v>2.4E-2</v>
      </c>
      <c r="CO48" s="19">
        <v>2450697</v>
      </c>
      <c r="CP48" s="19">
        <v>569</v>
      </c>
      <c r="CQ48" s="19">
        <v>1</v>
      </c>
      <c r="CR48" s="19">
        <v>0</v>
      </c>
      <c r="CS48" s="19">
        <v>24.407417870143167</v>
      </c>
      <c r="CT48" s="23">
        <f>DataTable[[#This Row],[Sens_8]]/AVERAGEIF(DataTable[Strålkälla],DataTable[[#This Row],[Strålkälla]],DataTable[Sens_8])</f>
        <v>1.0003905344173569</v>
      </c>
      <c r="CU48" s="19">
        <v>1745</v>
      </c>
      <c r="CV48" s="19">
        <v>2067</v>
      </c>
      <c r="CW48" s="19">
        <v>8.4000000000000005E-2</v>
      </c>
      <c r="CX48" s="19">
        <v>3.7999999999999999E-2</v>
      </c>
      <c r="CY48" s="19">
        <v>2.5999999999999999E-2</v>
      </c>
      <c r="CZ48" s="19">
        <v>1971621</v>
      </c>
      <c r="DA48" s="19">
        <v>553</v>
      </c>
      <c r="DB48" s="19">
        <v>0</v>
      </c>
      <c r="DC48" s="19">
        <v>0</v>
      </c>
      <c r="DD48" s="19">
        <v>20.204252517511229</v>
      </c>
      <c r="DE48" s="23">
        <f>DataTable[[#This Row],[Sens_9]]/AVERAGEIF(DataTable[Strålkälla],DataTable[[#This Row],[Strålkälla]],DataTable[Sens_9])</f>
        <v>1.0011108869075394</v>
      </c>
      <c r="DF48" s="19">
        <v>1684</v>
      </c>
      <c r="DG48" s="19">
        <v>2012</v>
      </c>
      <c r="DH48" s="19">
        <v>8.8999999999999996E-2</v>
      </c>
      <c r="DI48" s="19">
        <v>0.04</v>
      </c>
      <c r="DJ48" s="19">
        <v>2.5999999999999999E-2</v>
      </c>
      <c r="DK48" s="19">
        <v>1902823</v>
      </c>
      <c r="DL48" s="19">
        <v>553</v>
      </c>
      <c r="DM48" s="19">
        <v>0</v>
      </c>
      <c r="DN48" s="19">
        <v>0</v>
      </c>
      <c r="DO48" s="19">
        <v>19.499242698332118</v>
      </c>
      <c r="DP48" s="23">
        <f>DataTable[[#This Row],[Sens_10]]/AVERAGEIF(DataTable[Strålkälla],DataTable[[#This Row],[Strålkälla]],DataTable[Sens_10])</f>
        <v>0.99943835836532824</v>
      </c>
      <c r="DQ48" s="19">
        <v>1492</v>
      </c>
      <c r="DR48" s="19">
        <v>1773</v>
      </c>
      <c r="DS48" s="19">
        <v>8.5999999999999993E-2</v>
      </c>
      <c r="DT48" s="19">
        <v>3.3000000000000002E-2</v>
      </c>
      <c r="DU48" s="19">
        <v>2.7E-2</v>
      </c>
      <c r="DV48" s="19">
        <v>1676918</v>
      </c>
      <c r="DW48" s="19">
        <v>553</v>
      </c>
      <c r="DX48" s="19">
        <v>0</v>
      </c>
      <c r="DY48" s="19">
        <v>0</v>
      </c>
      <c r="DZ48" s="19">
        <v>17.184273611997384</v>
      </c>
      <c r="EA48" s="23">
        <f>DataTable[[#This Row],[Sens_11]]/AVERAGEIF(DataTable[Strålkälla],DataTable[[#This Row],[Strålkälla]],DataTable[Sens_11])</f>
        <v>1.0008319437298832</v>
      </c>
      <c r="EB48" s="19">
        <v>1759</v>
      </c>
      <c r="EC48" s="19">
        <v>2154</v>
      </c>
      <c r="ED48" s="19">
        <v>0.10100000000000001</v>
      </c>
      <c r="EE48" s="19">
        <v>3.5999999999999997E-2</v>
      </c>
      <c r="EF48" s="19">
        <v>2.5000000000000001E-2</v>
      </c>
      <c r="EG48" s="19">
        <v>1999190</v>
      </c>
      <c r="EH48" s="19">
        <v>553</v>
      </c>
      <c r="EI48" s="19">
        <v>0</v>
      </c>
      <c r="EJ48" s="19">
        <v>1</v>
      </c>
      <c r="EK48" s="19">
        <v>20.48676677235801</v>
      </c>
      <c r="EL48" s="23">
        <f>DataTable[[#This Row],[Sens_12]]/AVERAGEIF(DataTable[Strålkälla],DataTable[[#This Row],[Strålkälla]],DataTable[Sens_12])</f>
        <v>1.0009473527248023</v>
      </c>
      <c r="EM48" s="19">
        <v>1490</v>
      </c>
      <c r="EN48" s="19">
        <v>1823</v>
      </c>
      <c r="EO48" s="19">
        <v>0.10100000000000001</v>
      </c>
      <c r="EP48" s="19">
        <v>3.5999999999999997E-2</v>
      </c>
      <c r="EQ48" s="19">
        <v>2.8000000000000001E-2</v>
      </c>
      <c r="ER48" s="19">
        <v>1704126</v>
      </c>
      <c r="ES48" s="19">
        <v>595</v>
      </c>
      <c r="ET48" s="19">
        <v>0</v>
      </c>
      <c r="EU48" s="19">
        <v>0</v>
      </c>
      <c r="EV48" s="19">
        <v>16.230399906692785</v>
      </c>
      <c r="EW48" s="19">
        <f>DataTable[[#This Row],[Sens_13]]/AVERAGEIF(DataTable[Strålkälla],DataTable[[#This Row],[Strålkälla]],DataTable[Sens_13])</f>
        <v>0.99981740497312876</v>
      </c>
      <c r="EX48" s="19">
        <v>1282</v>
      </c>
      <c r="EY48" s="19">
        <v>1587</v>
      </c>
      <c r="EZ48" s="19">
        <v>0.106</v>
      </c>
      <c r="FA48" s="19">
        <v>4.3999999999999997E-2</v>
      </c>
      <c r="FB48" s="19">
        <v>2.9000000000000001E-2</v>
      </c>
      <c r="FC48" s="19">
        <v>1453897</v>
      </c>
      <c r="FD48" s="19">
        <v>595</v>
      </c>
      <c r="FE48" s="19">
        <v>0</v>
      </c>
      <c r="FF48" s="19">
        <v>0</v>
      </c>
      <c r="FG48" s="19">
        <v>13.847174289425149</v>
      </c>
      <c r="FH48" s="19">
        <f>DataTable[[#This Row],[Sens_14]]/AVERAGEIF(DataTable[Strålkälla],DataTable[[#This Row],[Strålkälla]],DataTable[Sens_14])</f>
        <v>0.99958273122032382</v>
      </c>
      <c r="FI48" s="19">
        <v>1430</v>
      </c>
      <c r="FJ48" s="19">
        <v>1713</v>
      </c>
      <c r="FK48" s="19">
        <v>0.09</v>
      </c>
      <c r="FL48" s="19">
        <v>4.2000000000000003E-2</v>
      </c>
      <c r="FM48" s="19">
        <v>2.7E-2</v>
      </c>
      <c r="FN48" s="19">
        <v>1626060</v>
      </c>
      <c r="FO48" s="19">
        <v>595</v>
      </c>
      <c r="FP48" s="19">
        <v>0</v>
      </c>
      <c r="FQ48" s="19">
        <v>0</v>
      </c>
      <c r="FR48" s="19">
        <v>15.486885401828779</v>
      </c>
      <c r="FS48" s="19">
        <f>DataTable[[#This Row],[Sens_15]]/AVERAGEIF(DataTable[Strålkälla],DataTable[[#This Row],[Strålkälla]],DataTable[Sens_15])</f>
        <v>1.0013102782375092</v>
      </c>
      <c r="FT48" s="19">
        <v>1315</v>
      </c>
      <c r="FU48" s="19">
        <v>1576</v>
      </c>
      <c r="FV48" s="19">
        <v>0.09</v>
      </c>
      <c r="FW48" s="19">
        <v>3.6999999999999998E-2</v>
      </c>
      <c r="FX48" s="19">
        <v>2.9000000000000001E-2</v>
      </c>
      <c r="FY48" s="19">
        <v>1466889</v>
      </c>
      <c r="FZ48" s="19">
        <v>595</v>
      </c>
      <c r="GA48" s="19">
        <v>0</v>
      </c>
      <c r="GB48" s="19">
        <v>0</v>
      </c>
      <c r="GC48" s="19">
        <v>13.970912414181036</v>
      </c>
      <c r="GD48" s="19">
        <f>DataTable[[#This Row],[Sens_16]]/AVERAGEIF(DataTable[Strålkälla],DataTable[[#This Row],[Strålkälla]],DataTable[Sens_16])</f>
        <v>1.0004629570728141</v>
      </c>
      <c r="GE48" s="19">
        <v>1254</v>
      </c>
      <c r="GF48" s="19">
        <v>1537</v>
      </c>
      <c r="GG48" s="19">
        <v>0.10100000000000001</v>
      </c>
      <c r="GH48" s="19">
        <v>5.0999999999999997E-2</v>
      </c>
      <c r="GI48" s="19">
        <v>0.03</v>
      </c>
      <c r="GJ48" s="19">
        <v>1408391</v>
      </c>
      <c r="GK48" s="19">
        <v>595</v>
      </c>
      <c r="GL48" s="19">
        <v>0</v>
      </c>
      <c r="GM48" s="19">
        <v>0</v>
      </c>
      <c r="GN48" s="19">
        <v>13.413767030716601</v>
      </c>
      <c r="GO48" s="19">
        <f>DataTable[[#This Row],[Sens_17]]/AVERAGEIF(DataTable[Strålkälla],DataTable[[#This Row],[Strålkälla]],DataTable[Sens_17])</f>
        <v>0.99776544472142925</v>
      </c>
      <c r="GP48" s="19">
        <v>1428</v>
      </c>
      <c r="GQ48" s="19">
        <v>1734</v>
      </c>
      <c r="GR48" s="19">
        <v>9.7000000000000003E-2</v>
      </c>
      <c r="GS48" s="19">
        <v>3.7999999999999999E-2</v>
      </c>
      <c r="GT48" s="19">
        <v>2.7E-2</v>
      </c>
      <c r="GU48" s="19">
        <v>1631863</v>
      </c>
      <c r="GV48" s="19">
        <v>595</v>
      </c>
      <c r="GW48" s="19">
        <v>0</v>
      </c>
      <c r="GX48" s="19">
        <v>0</v>
      </c>
      <c r="GY48" s="19">
        <v>15.542154208629766</v>
      </c>
      <c r="GZ48" s="19">
        <f>DataTable[[#This Row],[Sens_18]]/AVERAGEIF(DataTable[Strålkälla],DataTable[[#This Row],[Strålkälla]],DataTable[Sens_18])</f>
        <v>0.99899108988556673</v>
      </c>
      <c r="HA48" s="19">
        <v>1305</v>
      </c>
      <c r="HB48" s="19">
        <v>1591</v>
      </c>
      <c r="HC48" s="19">
        <v>9.9000000000000005E-2</v>
      </c>
      <c r="HD48" s="19">
        <v>4.9000000000000002E-2</v>
      </c>
      <c r="HE48" s="19">
        <v>0.03</v>
      </c>
      <c r="HF48" s="19">
        <v>1485577</v>
      </c>
      <c r="HG48" s="19">
        <v>595</v>
      </c>
      <c r="HH48" s="19">
        <v>0</v>
      </c>
      <c r="HI48" s="19">
        <v>0</v>
      </c>
      <c r="HJ48" s="19">
        <v>14.148900258657488</v>
      </c>
      <c r="HK48" s="19">
        <f>DataTable[[#This Row],[Sens_19]]/AVERAGEIF(DataTable[Strålkälla],DataTable[[#This Row],[Strålkälla]],DataTable[Sens_19])</f>
        <v>0.9984849176910654</v>
      </c>
      <c r="HL48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0.111</v>
      </c>
      <c r="HM48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9.2947368421052626E-2</v>
      </c>
      <c r="HN48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5.6000000000000001E-2</v>
      </c>
      <c r="HO48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4.0578947368421062E-2</v>
      </c>
      <c r="HP48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0.99776544472142925</v>
      </c>
      <c r="HQ48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0.99992013839004013</v>
      </c>
      <c r="HR48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1.0014625093697582</v>
      </c>
      <c r="HS48" s="49"/>
    </row>
    <row r="49" spans="2:227" x14ac:dyDescent="0.25">
      <c r="B49" s="19" t="s">
        <v>43</v>
      </c>
      <c r="C49" s="20">
        <v>42508</v>
      </c>
      <c r="D49" s="21">
        <v>0.314537037037037</v>
      </c>
      <c r="E49" s="13" t="s">
        <v>217</v>
      </c>
      <c r="F49" s="13">
        <v>109.8</v>
      </c>
      <c r="G49" s="13">
        <v>134.19999999999999</v>
      </c>
      <c r="H49" s="24">
        <v>28.7607</v>
      </c>
      <c r="I49" s="22">
        <f>MATCH(DataTable[[#This Row],[Datum]],Övrigt!$D$10:$M$10,1)</f>
        <v>1</v>
      </c>
      <c r="J49" s="13"/>
      <c r="K49" s="22">
        <v>1827</v>
      </c>
      <c r="L49" s="22">
        <v>2227</v>
      </c>
      <c r="M49" s="23">
        <v>9.9000000000000005E-2</v>
      </c>
      <c r="N49" s="23">
        <v>0.04</v>
      </c>
      <c r="O49" s="23">
        <v>2.5999999999999999E-2</v>
      </c>
      <c r="P49" s="22">
        <v>2077280</v>
      </c>
      <c r="Q49" s="24">
        <v>572</v>
      </c>
      <c r="R49" s="22">
        <v>0</v>
      </c>
      <c r="S49" s="22">
        <v>0</v>
      </c>
      <c r="T49" s="19">
        <v>20.68516876262278</v>
      </c>
      <c r="U49" s="23">
        <f>DataTable[[#This Row],[Sens_1]]/AVERAGEIF(DataTable[Strålkälla],DataTable[[#This Row],[Strålkälla]],DataTable[Sens_1])</f>
        <v>0.99909109679520769</v>
      </c>
      <c r="V49" s="22">
        <v>2092</v>
      </c>
      <c r="W49" s="22">
        <v>2570</v>
      </c>
      <c r="X49" s="23">
        <v>0.10299999999999999</v>
      </c>
      <c r="Y49" s="23">
        <v>3.4000000000000002E-2</v>
      </c>
      <c r="Z49" s="23">
        <v>2.5000000000000001E-2</v>
      </c>
      <c r="AA49" s="22">
        <v>2449273</v>
      </c>
      <c r="AB49" s="24">
        <v>572</v>
      </c>
      <c r="AC49" s="22">
        <v>3</v>
      </c>
      <c r="AD49" s="22">
        <v>0</v>
      </c>
      <c r="AE49" s="19">
        <v>24.389406026503593</v>
      </c>
      <c r="AF49" s="23">
        <f>DataTable[[#This Row],[Sens_2]]/AVERAGEIF(DataTable[Strålkälla],DataTable[[#This Row],[Strålkälla]],DataTable[Sens_2])</f>
        <v>0.99813570173116817</v>
      </c>
      <c r="AG49" s="22">
        <v>1935</v>
      </c>
      <c r="AH49" s="22">
        <v>2286</v>
      </c>
      <c r="AI49" s="23">
        <v>8.3000000000000004E-2</v>
      </c>
      <c r="AJ49" s="23">
        <v>3.9E-2</v>
      </c>
      <c r="AK49" s="23">
        <v>2.5000000000000001E-2</v>
      </c>
      <c r="AL49" s="22">
        <v>2173028</v>
      </c>
      <c r="AM49" s="24">
        <v>572</v>
      </c>
      <c r="AN49" s="22">
        <v>0</v>
      </c>
      <c r="AO49" s="22">
        <v>0</v>
      </c>
      <c r="AP49" s="19">
        <v>21.638609578826472</v>
      </c>
      <c r="AQ49" s="23">
        <f>DataTable[[#This Row],[Sens_3]]/AVERAGEIF(DataTable[Strålkälla],DataTable[[#This Row],[Strålkälla]],DataTable[Sens_3])</f>
        <v>1.0001184481611518</v>
      </c>
      <c r="AR49" s="22">
        <v>1811</v>
      </c>
      <c r="AS49" s="22">
        <v>2210</v>
      </c>
      <c r="AT49" s="23">
        <v>9.9000000000000005E-2</v>
      </c>
      <c r="AU49" s="23">
        <v>3.6999999999999998E-2</v>
      </c>
      <c r="AV49" s="23">
        <v>2.5000000000000001E-2</v>
      </c>
      <c r="AW49" s="22">
        <v>2068102</v>
      </c>
      <c r="AX49" s="24">
        <v>572</v>
      </c>
      <c r="AY49" s="22">
        <v>1</v>
      </c>
      <c r="AZ49" s="22">
        <v>0</v>
      </c>
      <c r="BA49" s="19">
        <v>20.5937759417689</v>
      </c>
      <c r="BB49" s="23">
        <f>DataTable[[#This Row],[Sens_4]]/AVERAGEIF(DataTable[Strålkälla],DataTable[[#This Row],[Strålkälla]],DataTable[Sens_4])</f>
        <v>1.0000881165523123</v>
      </c>
      <c r="BC49" s="22">
        <v>2091</v>
      </c>
      <c r="BD49" s="22">
        <v>2459</v>
      </c>
      <c r="BE49" s="19">
        <v>8.1000000000000003E-2</v>
      </c>
      <c r="BF49" s="19">
        <v>3.3000000000000002E-2</v>
      </c>
      <c r="BG49" s="19">
        <v>2.4E-2</v>
      </c>
      <c r="BH49" s="19">
        <v>2314437</v>
      </c>
      <c r="BI49" s="19">
        <v>572</v>
      </c>
      <c r="BJ49" s="19">
        <v>0</v>
      </c>
      <c r="BK49" s="19">
        <v>0</v>
      </c>
      <c r="BL49" s="19">
        <v>23.046734159794724</v>
      </c>
      <c r="BM49" s="23">
        <f>DataTable[[#This Row],[Sens_5]]/AVERAGEIF(DataTable[Strålkälla],DataTable[[#This Row],[Strålkälla]],DataTable[Sens_5])</f>
        <v>1.0008913986102879</v>
      </c>
      <c r="BN49" s="19">
        <v>2096</v>
      </c>
      <c r="BO49" s="19">
        <v>2449</v>
      </c>
      <c r="BP49" s="19">
        <v>7.8E-2</v>
      </c>
      <c r="BQ49" s="19">
        <v>3.2000000000000001E-2</v>
      </c>
      <c r="BR49" s="19">
        <v>2.3E-2</v>
      </c>
      <c r="BS49" s="19">
        <v>2306716</v>
      </c>
      <c r="BT49" s="19">
        <v>572</v>
      </c>
      <c r="BU49" s="19">
        <v>0</v>
      </c>
      <c r="BV49" s="19">
        <v>0</v>
      </c>
      <c r="BW49" s="19">
        <v>22.969849874567785</v>
      </c>
      <c r="BX49" s="23">
        <f>DataTable[[#This Row],[Sens_6]]/AVERAGEIF(DataTable[Strålkälla],DataTable[[#This Row],[Strålkälla]],DataTable[Sens_6])</f>
        <v>1.0008000627902591</v>
      </c>
      <c r="BY49" s="19">
        <v>1844</v>
      </c>
      <c r="BZ49" s="19">
        <v>2244</v>
      </c>
      <c r="CA49" s="19">
        <v>9.8000000000000004E-2</v>
      </c>
      <c r="CB49" s="19">
        <v>4.8000000000000001E-2</v>
      </c>
      <c r="CC49" s="19">
        <v>2.7E-2</v>
      </c>
      <c r="CD49" s="19">
        <v>2110065</v>
      </c>
      <c r="CE49" s="19">
        <v>572</v>
      </c>
      <c r="CF49" s="19">
        <v>0</v>
      </c>
      <c r="CG49" s="19">
        <v>0</v>
      </c>
      <c r="CH49" s="19">
        <v>21.011635708765134</v>
      </c>
      <c r="CI49" s="23">
        <f>DataTable[[#This Row],[Sens_7]]/AVERAGEIF(DataTable[Strålkälla],DataTable[[#This Row],[Strålkälla]],DataTable[Sens_7])</f>
        <v>0.99970502061711675</v>
      </c>
      <c r="CJ49" s="19">
        <v>2187</v>
      </c>
      <c r="CK49" s="19">
        <v>2637</v>
      </c>
      <c r="CL49" s="19">
        <v>9.2999999999999999E-2</v>
      </c>
      <c r="CM49" s="19">
        <v>4.2999999999999997E-2</v>
      </c>
      <c r="CN49" s="19">
        <v>2.5000000000000001E-2</v>
      </c>
      <c r="CO49" s="19">
        <v>2450342</v>
      </c>
      <c r="CP49" s="19">
        <v>572</v>
      </c>
      <c r="CQ49" s="19">
        <v>0</v>
      </c>
      <c r="CR49" s="19">
        <v>1</v>
      </c>
      <c r="CS49" s="19">
        <v>24.400050930131052</v>
      </c>
      <c r="CT49" s="23">
        <f>DataTable[[#This Row],[Sens_8]]/AVERAGEIF(DataTable[Strålkälla],DataTable[[#This Row],[Strålkälla]],DataTable[Sens_8])</f>
        <v>1.0000885845308531</v>
      </c>
      <c r="CU49" s="19">
        <v>1744</v>
      </c>
      <c r="CV49" s="19">
        <v>2118</v>
      </c>
      <c r="CW49" s="19">
        <v>9.7000000000000003E-2</v>
      </c>
      <c r="CX49" s="19">
        <v>4.9000000000000002E-2</v>
      </c>
      <c r="CY49" s="19">
        <v>2.7E-2</v>
      </c>
      <c r="CZ49" s="19">
        <v>1971198</v>
      </c>
      <c r="DA49" s="19">
        <v>556</v>
      </c>
      <c r="DB49" s="19">
        <v>0</v>
      </c>
      <c r="DC49" s="19">
        <v>0</v>
      </c>
      <c r="DD49" s="19">
        <v>20.193682133580964</v>
      </c>
      <c r="DE49" s="23">
        <f>DataTable[[#This Row],[Sens_9]]/AVERAGEIF(DataTable[Strålkälla],DataTable[[#This Row],[Strålkälla]],DataTable[Sens_9])</f>
        <v>1.0005871295241762</v>
      </c>
      <c r="DF49" s="19">
        <v>1714</v>
      </c>
      <c r="DG49" s="19">
        <v>2009</v>
      </c>
      <c r="DH49" s="19">
        <v>7.9000000000000001E-2</v>
      </c>
      <c r="DI49" s="19">
        <v>3.3000000000000002E-2</v>
      </c>
      <c r="DJ49" s="19">
        <v>2.5999999999999999E-2</v>
      </c>
      <c r="DK49" s="19">
        <v>1901320</v>
      </c>
      <c r="DL49" s="19">
        <v>556</v>
      </c>
      <c r="DM49" s="19">
        <v>0</v>
      </c>
      <c r="DN49" s="19">
        <v>0</v>
      </c>
      <c r="DO49" s="19">
        <v>19.477826029764721</v>
      </c>
      <c r="DP49" s="23">
        <f>DataTable[[#This Row],[Sens_10]]/AVERAGEIF(DataTable[Strålkälla],DataTable[[#This Row],[Strålkälla]],DataTable[Sens_10])</f>
        <v>0.99834064188444738</v>
      </c>
      <c r="DQ49" s="19">
        <v>1473</v>
      </c>
      <c r="DR49" s="19">
        <v>1818</v>
      </c>
      <c r="DS49" s="19">
        <v>0.105</v>
      </c>
      <c r="DT49" s="19">
        <v>3.7999999999999999E-2</v>
      </c>
      <c r="DU49" s="19">
        <v>2.7E-2</v>
      </c>
      <c r="DV49" s="19">
        <v>1675823</v>
      </c>
      <c r="DW49" s="19">
        <v>556</v>
      </c>
      <c r="DX49" s="19">
        <v>0</v>
      </c>
      <c r="DY49" s="19">
        <v>1</v>
      </c>
      <c r="DZ49" s="19">
        <v>17.167751273156757</v>
      </c>
      <c r="EA49" s="23">
        <f>DataTable[[#This Row],[Sens_11]]/AVERAGEIF(DataTable[Strålkälla],DataTable[[#This Row],[Strålkälla]],DataTable[Sens_11])</f>
        <v>0.99986966363180074</v>
      </c>
      <c r="EB49" s="19">
        <v>1726</v>
      </c>
      <c r="EC49" s="19">
        <v>2119</v>
      </c>
      <c r="ED49" s="19">
        <v>0.10199999999999999</v>
      </c>
      <c r="EE49" s="19">
        <v>0.05</v>
      </c>
      <c r="EF49" s="19">
        <v>2.7E-2</v>
      </c>
      <c r="EG49" s="19">
        <v>2002401</v>
      </c>
      <c r="EH49" s="19">
        <v>556</v>
      </c>
      <c r="EI49" s="19">
        <v>1</v>
      </c>
      <c r="EJ49" s="19">
        <v>0</v>
      </c>
      <c r="EK49" s="19">
        <v>20.513337218262524</v>
      </c>
      <c r="EL49" s="23">
        <f>DataTable[[#This Row],[Sens_12]]/AVERAGEIF(DataTable[Strålkälla],DataTable[[#This Row],[Strålkälla]],DataTable[Sens_12])</f>
        <v>1.0022455379281758</v>
      </c>
      <c r="EM49" s="19">
        <v>1492</v>
      </c>
      <c r="EN49" s="19">
        <v>1847</v>
      </c>
      <c r="EO49" s="19">
        <v>0.106</v>
      </c>
      <c r="EP49" s="19">
        <v>5.5E-2</v>
      </c>
      <c r="EQ49" s="19">
        <v>2.7E-2</v>
      </c>
      <c r="ER49" s="19">
        <v>1705242</v>
      </c>
      <c r="ES49" s="19">
        <v>598</v>
      </c>
      <c r="ET49" s="19">
        <v>0</v>
      </c>
      <c r="EU49" s="19">
        <v>0</v>
      </c>
      <c r="EV49" s="19">
        <v>16.242201510262429</v>
      </c>
      <c r="EW49" s="19">
        <f>DataTable[[#This Row],[Sens_13]]/AVERAGEIF(DataTable[Strålkälla],DataTable[[#This Row],[Strålkälla]],DataTable[Sens_13])</f>
        <v>1.0005444017645422</v>
      </c>
      <c r="EX49" s="19">
        <v>1275</v>
      </c>
      <c r="EY49" s="19">
        <v>1566</v>
      </c>
      <c r="EZ49" s="19">
        <v>0.10199999999999999</v>
      </c>
      <c r="FA49" s="19">
        <v>4.5999999999999999E-2</v>
      </c>
      <c r="FB49" s="19">
        <v>0.03</v>
      </c>
      <c r="FC49" s="19">
        <v>1453510</v>
      </c>
      <c r="FD49" s="19">
        <v>598</v>
      </c>
      <c r="FE49" s="19">
        <v>0</v>
      </c>
      <c r="FF49" s="19">
        <v>0</v>
      </c>
      <c r="FG49" s="19">
        <v>13.844487947858161</v>
      </c>
      <c r="FH49" s="19">
        <f>DataTable[[#This Row],[Sens_14]]/AVERAGEIF(DataTable[Strålkälla],DataTable[[#This Row],[Strålkälla]],DataTable[Sens_14])</f>
        <v>0.99938881291003201</v>
      </c>
      <c r="FI49" s="19">
        <v>1455</v>
      </c>
      <c r="FJ49" s="19">
        <v>1743</v>
      </c>
      <c r="FK49" s="19">
        <v>0.09</v>
      </c>
      <c r="FL49" s="19">
        <v>3.5999999999999997E-2</v>
      </c>
      <c r="FM49" s="19">
        <v>2.8000000000000001E-2</v>
      </c>
      <c r="FN49" s="19">
        <v>1623051</v>
      </c>
      <c r="FO49" s="19">
        <v>598</v>
      </c>
      <c r="FP49" s="19">
        <v>0</v>
      </c>
      <c r="FQ49" s="19">
        <v>0</v>
      </c>
      <c r="FR49" s="19">
        <v>15.459343250654715</v>
      </c>
      <c r="FS49" s="19">
        <f>DataTable[[#This Row],[Sens_15]]/AVERAGEIF(DataTable[Strålkälla],DataTable[[#This Row],[Strålkälla]],DataTable[Sens_15])</f>
        <v>0.99952953031177694</v>
      </c>
      <c r="FT49" s="19">
        <v>1299</v>
      </c>
      <c r="FU49" s="19">
        <v>1565</v>
      </c>
      <c r="FV49" s="19">
        <v>9.2999999999999999E-2</v>
      </c>
      <c r="FW49" s="19">
        <v>4.5999999999999999E-2</v>
      </c>
      <c r="FX49" s="19">
        <v>0.03</v>
      </c>
      <c r="FY49" s="19">
        <v>1465859</v>
      </c>
      <c r="FZ49" s="19">
        <v>598</v>
      </c>
      <c r="GA49" s="19">
        <v>0</v>
      </c>
      <c r="GB49" s="19">
        <v>0</v>
      </c>
      <c r="GC49" s="19">
        <v>13.962110517821973</v>
      </c>
      <c r="GD49" s="19">
        <f>DataTable[[#This Row],[Sens_16]]/AVERAGEIF(DataTable[Strålkälla],DataTable[[#This Row],[Strålkälla]],DataTable[Sens_16])</f>
        <v>0.99983264954541884</v>
      </c>
      <c r="GE49" s="19">
        <v>1251</v>
      </c>
      <c r="GF49" s="19">
        <v>1523</v>
      </c>
      <c r="GG49" s="19">
        <v>9.8000000000000004E-2</v>
      </c>
      <c r="GH49" s="19">
        <v>4.5999999999999999E-2</v>
      </c>
      <c r="GI49" s="19">
        <v>0.03</v>
      </c>
      <c r="GJ49" s="19">
        <v>1410591</v>
      </c>
      <c r="GK49" s="19">
        <v>598</v>
      </c>
      <c r="GL49" s="19">
        <v>0</v>
      </c>
      <c r="GM49" s="19">
        <v>0</v>
      </c>
      <c r="GN49" s="19">
        <v>13.435690224943199</v>
      </c>
      <c r="GO49" s="19">
        <f>DataTable[[#This Row],[Sens_17]]/AVERAGEIF(DataTable[Strålkälla],DataTable[[#This Row],[Strålkälla]],DataTable[Sens_17])</f>
        <v>0.99939617273296588</v>
      </c>
      <c r="GP49" s="19">
        <v>1418</v>
      </c>
      <c r="GQ49" s="19">
        <v>1751</v>
      </c>
      <c r="GR49" s="19">
        <v>0.105</v>
      </c>
      <c r="GS49" s="19">
        <v>4.7E-2</v>
      </c>
      <c r="GT49" s="19">
        <v>2.9000000000000001E-2</v>
      </c>
      <c r="GU49" s="19">
        <v>1631460</v>
      </c>
      <c r="GV49" s="19">
        <v>598</v>
      </c>
      <c r="GW49" s="19">
        <v>0</v>
      </c>
      <c r="GX49" s="19">
        <v>0</v>
      </c>
      <c r="GY49" s="19">
        <v>15.539437848664733</v>
      </c>
      <c r="GZ49" s="19">
        <f>DataTable[[#This Row],[Sens_18]]/AVERAGEIF(DataTable[Strålkälla],DataTable[[#This Row],[Strålkälla]],DataTable[Sens_18])</f>
        <v>0.99881649250572069</v>
      </c>
      <c r="HA49" s="19">
        <v>1305</v>
      </c>
      <c r="HB49" s="19">
        <v>1590</v>
      </c>
      <c r="HC49" s="19">
        <v>9.8000000000000004E-2</v>
      </c>
      <c r="HD49" s="19">
        <v>5.3999999999999999E-2</v>
      </c>
      <c r="HE49" s="19">
        <v>2.9000000000000001E-2</v>
      </c>
      <c r="HF49" s="19">
        <v>1487005</v>
      </c>
      <c r="HG49" s="19">
        <v>598</v>
      </c>
      <c r="HH49" s="19">
        <v>0</v>
      </c>
      <c r="HI49" s="19">
        <v>0</v>
      </c>
      <c r="HJ49" s="19">
        <v>14.163523333795313</v>
      </c>
      <c r="HK49" s="19">
        <f>DataTable[[#This Row],[Sens_19]]/AVERAGEIF(DataTable[Strålkälla],DataTable[[#This Row],[Strålkälla]],DataTable[Sens_19])</f>
        <v>0.99951686503032577</v>
      </c>
      <c r="HL49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0.106</v>
      </c>
      <c r="HM49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9.5210526315789495E-2</v>
      </c>
      <c r="HN49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5.5E-2</v>
      </c>
      <c r="HO49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4.2421052631578963E-2</v>
      </c>
      <c r="HP49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0.99813570173116817</v>
      </c>
      <c r="HQ49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0.99984138566093361</v>
      </c>
      <c r="HR49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1.0022455379281758</v>
      </c>
      <c r="HS49" s="49"/>
    </row>
    <row r="50" spans="2:227" x14ac:dyDescent="0.25">
      <c r="B50" s="19" t="s">
        <v>43</v>
      </c>
      <c r="C50" s="20">
        <v>42509</v>
      </c>
      <c r="D50" s="21">
        <v>0.31944444444444448</v>
      </c>
      <c r="E50" s="13" t="s">
        <v>217</v>
      </c>
      <c r="F50" s="13">
        <v>109.8</v>
      </c>
      <c r="G50" s="13">
        <v>134.19999999999999</v>
      </c>
      <c r="H50" s="24">
        <v>28.793800000000001</v>
      </c>
      <c r="I50" s="22">
        <f>MATCH(DataTable[[#This Row],[Datum]],Övrigt!$D$10:$M$10,1)</f>
        <v>1</v>
      </c>
      <c r="J50" s="13"/>
      <c r="K50" s="22">
        <v>1839</v>
      </c>
      <c r="L50" s="22">
        <v>2194</v>
      </c>
      <c r="M50" s="23">
        <v>8.7999999999999995E-2</v>
      </c>
      <c r="N50" s="23">
        <v>4.2000000000000003E-2</v>
      </c>
      <c r="O50" s="23">
        <v>2.5999999999999999E-2</v>
      </c>
      <c r="P50" s="22">
        <v>2082871</v>
      </c>
      <c r="Q50" s="24">
        <v>572</v>
      </c>
      <c r="R50" s="22">
        <v>0</v>
      </c>
      <c r="S50" s="22">
        <v>0</v>
      </c>
      <c r="T50" s="19">
        <v>20.793815626753553</v>
      </c>
      <c r="U50" s="23">
        <f>DataTable[[#This Row],[Sens_1]]/AVERAGEIF(DataTable[Strålkälla],DataTable[[#This Row],[Strålkälla]],DataTable[Sens_1])</f>
        <v>1.0043387269157757</v>
      </c>
      <c r="V50" s="22">
        <v>2147</v>
      </c>
      <c r="W50" s="22">
        <v>2577</v>
      </c>
      <c r="X50" s="23">
        <v>9.0999999999999998E-2</v>
      </c>
      <c r="Y50" s="23">
        <v>0.04</v>
      </c>
      <c r="Z50" s="23">
        <v>2.5000000000000001E-2</v>
      </c>
      <c r="AA50" s="22">
        <v>2450875</v>
      </c>
      <c r="AB50" s="24">
        <v>572</v>
      </c>
      <c r="AC50" s="22">
        <v>1</v>
      </c>
      <c r="AD50" s="22">
        <v>0</v>
      </c>
      <c r="AE50" s="19">
        <v>24.467690449489965</v>
      </c>
      <c r="AF50" s="23">
        <f>DataTable[[#This Row],[Sens_2]]/AVERAGEIF(DataTable[Strålkälla],DataTable[[#This Row],[Strålkälla]],DataTable[Sens_2])</f>
        <v>1.0013394893669643</v>
      </c>
      <c r="AG50" s="22">
        <v>1924</v>
      </c>
      <c r="AH50" s="22">
        <v>2328</v>
      </c>
      <c r="AI50" s="23">
        <v>9.5000000000000001E-2</v>
      </c>
      <c r="AJ50" s="23">
        <v>4.5999999999999999E-2</v>
      </c>
      <c r="AK50" s="23">
        <v>2.5999999999999999E-2</v>
      </c>
      <c r="AL50" s="22">
        <v>2173569</v>
      </c>
      <c r="AM50" s="24">
        <v>572</v>
      </c>
      <c r="AN50" s="22">
        <v>0</v>
      </c>
      <c r="AO50" s="22">
        <v>0</v>
      </c>
      <c r="AP50" s="19">
        <v>21.699276161618791</v>
      </c>
      <c r="AQ50" s="23">
        <f>DataTable[[#This Row],[Sens_3]]/AVERAGEIF(DataTable[Strålkälla],DataTable[[#This Row],[Strålkälla]],DataTable[Sens_3])</f>
        <v>1.0029224069098166</v>
      </c>
      <c r="AR50" s="22">
        <v>1849</v>
      </c>
      <c r="AS50" s="22">
        <v>2178</v>
      </c>
      <c r="AT50" s="23">
        <v>8.2000000000000003E-2</v>
      </c>
      <c r="AU50" s="23">
        <v>3.6999999999999998E-2</v>
      </c>
      <c r="AV50" s="23">
        <v>2.5999999999999999E-2</v>
      </c>
      <c r="AW50" s="22">
        <v>2064383</v>
      </c>
      <c r="AX50" s="24">
        <v>572</v>
      </c>
      <c r="AY50" s="22">
        <v>0</v>
      </c>
      <c r="AZ50" s="22">
        <v>0</v>
      </c>
      <c r="BA50" s="19">
        <v>20.609245356531623</v>
      </c>
      <c r="BB50" s="23">
        <f>DataTable[[#This Row],[Sens_4]]/AVERAGEIF(DataTable[Strålkälla],DataTable[[#This Row],[Strålkälla]],DataTable[Sens_4])</f>
        <v>1.0008393521643713</v>
      </c>
      <c r="BC50" s="22">
        <v>2105</v>
      </c>
      <c r="BD50" s="22">
        <v>2475</v>
      </c>
      <c r="BE50" s="19">
        <v>8.1000000000000003E-2</v>
      </c>
      <c r="BF50" s="19">
        <v>3.1E-2</v>
      </c>
      <c r="BG50" s="19">
        <v>2.5000000000000001E-2</v>
      </c>
      <c r="BH50" s="19">
        <v>2313463</v>
      </c>
      <c r="BI50" s="19">
        <v>572</v>
      </c>
      <c r="BJ50" s="19">
        <v>0</v>
      </c>
      <c r="BK50" s="19">
        <v>0</v>
      </c>
      <c r="BL50" s="19">
        <v>23.095872515060297</v>
      </c>
      <c r="BM50" s="23">
        <f>DataTable[[#This Row],[Sens_5]]/AVERAGEIF(DataTable[Strålkälla],DataTable[[#This Row],[Strålkälla]],DataTable[Sens_5])</f>
        <v>1.0030254171131334</v>
      </c>
      <c r="BN50" s="19">
        <v>2040</v>
      </c>
      <c r="BO50" s="19">
        <v>2486</v>
      </c>
      <c r="BP50" s="19">
        <v>9.9000000000000005E-2</v>
      </c>
      <c r="BQ50" s="19">
        <v>4.4999999999999998E-2</v>
      </c>
      <c r="BR50" s="19">
        <v>2.4E-2</v>
      </c>
      <c r="BS50" s="19">
        <v>2306287</v>
      </c>
      <c r="BT50" s="19">
        <v>572</v>
      </c>
      <c r="BU50" s="19">
        <v>0</v>
      </c>
      <c r="BV50" s="19">
        <v>2</v>
      </c>
      <c r="BW50" s="19">
        <v>23.0242327347102</v>
      </c>
      <c r="BX50" s="23">
        <f>DataTable[[#This Row],[Sens_6]]/AVERAGEIF(DataTable[Strålkälla],DataTable[[#This Row],[Strålkälla]],DataTable[Sens_6])</f>
        <v>1.0031695327755856</v>
      </c>
      <c r="BY50" s="19">
        <v>1867</v>
      </c>
      <c r="BZ50" s="19">
        <v>2241</v>
      </c>
      <c r="CA50" s="19">
        <v>9.0999999999999998E-2</v>
      </c>
      <c r="CB50" s="19">
        <v>3.5999999999999997E-2</v>
      </c>
      <c r="CC50" s="19">
        <v>2.5000000000000001E-2</v>
      </c>
      <c r="CD50" s="19">
        <v>2109440</v>
      </c>
      <c r="CE50" s="19">
        <v>572</v>
      </c>
      <c r="CF50" s="19">
        <v>0</v>
      </c>
      <c r="CG50" s="19">
        <v>0</v>
      </c>
      <c r="CH50" s="19">
        <v>21.059060515845204</v>
      </c>
      <c r="CI50" s="23">
        <f>DataTable[[#This Row],[Sens_7]]/AVERAGEIF(DataTable[Strålkälla],DataTable[[#This Row],[Strålkälla]],DataTable[Sens_7])</f>
        <v>1.0019614283712244</v>
      </c>
      <c r="CJ50" s="19">
        <v>2188</v>
      </c>
      <c r="CK50" s="19">
        <v>2678</v>
      </c>
      <c r="CL50" s="19">
        <v>0.10100000000000001</v>
      </c>
      <c r="CM50" s="19">
        <v>4.1000000000000002E-2</v>
      </c>
      <c r="CN50" s="19">
        <v>2.5000000000000001E-2</v>
      </c>
      <c r="CO50" s="19">
        <v>2449223</v>
      </c>
      <c r="CP50" s="19">
        <v>572</v>
      </c>
      <c r="CQ50" s="19">
        <v>0</v>
      </c>
      <c r="CR50" s="19">
        <v>1</v>
      </c>
      <c r="CS50" s="19">
        <v>24.451198125474029</v>
      </c>
      <c r="CT50" s="23">
        <f>DataTable[[#This Row],[Sens_8]]/AVERAGEIF(DataTable[Strålkälla],DataTable[[#This Row],[Strålkälla]],DataTable[Sens_8])</f>
        <v>1.0021849623761188</v>
      </c>
      <c r="CU50" s="19">
        <v>1707</v>
      </c>
      <c r="CV50" s="19">
        <v>2101</v>
      </c>
      <c r="CW50" s="19">
        <v>0.10299999999999999</v>
      </c>
      <c r="CX50" s="19">
        <v>3.4000000000000002E-2</v>
      </c>
      <c r="CY50" s="19">
        <v>2.5999999999999999E-2</v>
      </c>
      <c r="CZ50" s="19">
        <v>1971118</v>
      </c>
      <c r="DA50" s="19">
        <v>557</v>
      </c>
      <c r="DB50" s="19">
        <v>1</v>
      </c>
      <c r="DC50" s="19">
        <v>0</v>
      </c>
      <c r="DD50" s="19">
        <v>20.208090263644682</v>
      </c>
      <c r="DE50" s="23">
        <f>DataTable[[#This Row],[Sens_9]]/AVERAGEIF(DataTable[Strålkälla],DataTable[[#This Row],[Strålkälla]],DataTable[Sens_9])</f>
        <v>1.0013010453621547</v>
      </c>
      <c r="DF50" s="19">
        <v>1698</v>
      </c>
      <c r="DG50" s="19">
        <v>2010</v>
      </c>
      <c r="DH50" s="19">
        <v>8.4000000000000005E-2</v>
      </c>
      <c r="DI50" s="19">
        <v>3.5000000000000003E-2</v>
      </c>
      <c r="DJ50" s="19">
        <v>2.5999999999999999E-2</v>
      </c>
      <c r="DK50" s="19">
        <v>1904529</v>
      </c>
      <c r="DL50" s="19">
        <v>557</v>
      </c>
      <c r="DM50" s="19">
        <v>0</v>
      </c>
      <c r="DN50" s="19">
        <v>0</v>
      </c>
      <c r="DO50" s="19">
        <v>19.525413466737628</v>
      </c>
      <c r="DP50" s="23">
        <f>DataTable[[#This Row],[Sens_10]]/AVERAGEIF(DataTable[Strålkälla],DataTable[[#This Row],[Strålkälla]],DataTable[Sens_10])</f>
        <v>1.0007797473729434</v>
      </c>
      <c r="DQ50" s="19">
        <v>1512</v>
      </c>
      <c r="DR50" s="19">
        <v>1776</v>
      </c>
      <c r="DS50" s="19">
        <v>0.08</v>
      </c>
      <c r="DT50" s="19">
        <v>3.5000000000000003E-2</v>
      </c>
      <c r="DU50" s="19">
        <v>2.7E-2</v>
      </c>
      <c r="DV50" s="19">
        <v>1675893</v>
      </c>
      <c r="DW50" s="19">
        <v>557</v>
      </c>
      <c r="DX50" s="19">
        <v>0</v>
      </c>
      <c r="DY50" s="19">
        <v>0</v>
      </c>
      <c r="DZ50" s="19">
        <v>17.181415326840035</v>
      </c>
      <c r="EA50" s="23">
        <f>DataTable[[#This Row],[Sens_11]]/AVERAGEIF(DataTable[Strålkälla],DataTable[[#This Row],[Strålkälla]],DataTable[Sens_11])</f>
        <v>1.0006654739008782</v>
      </c>
      <c r="EB50" s="19">
        <v>1764</v>
      </c>
      <c r="EC50" s="19">
        <v>2141</v>
      </c>
      <c r="ED50" s="19">
        <v>9.7000000000000003E-2</v>
      </c>
      <c r="EE50" s="19">
        <v>4.1000000000000002E-2</v>
      </c>
      <c r="EF50" s="19">
        <v>2.5999999999999999E-2</v>
      </c>
      <c r="EG50" s="19">
        <v>1999296</v>
      </c>
      <c r="EH50" s="19">
        <v>557</v>
      </c>
      <c r="EI50" s="19">
        <v>0</v>
      </c>
      <c r="EJ50" s="19">
        <v>0</v>
      </c>
      <c r="EK50" s="19">
        <v>20.496973814730403</v>
      </c>
      <c r="EL50" s="23">
        <f>DataTable[[#This Row],[Sens_12]]/AVERAGEIF(DataTable[Strålkälla],DataTable[[#This Row],[Strålkälla]],DataTable[Sens_12])</f>
        <v>1.0014460508432179</v>
      </c>
      <c r="EM50" s="19">
        <v>1503</v>
      </c>
      <c r="EN50" s="19">
        <v>1822</v>
      </c>
      <c r="EO50" s="19">
        <v>9.6000000000000002E-2</v>
      </c>
      <c r="EP50" s="19">
        <v>4.8000000000000001E-2</v>
      </c>
      <c r="EQ50" s="19">
        <v>2.8000000000000001E-2</v>
      </c>
      <c r="ER50" s="19">
        <v>1702063</v>
      </c>
      <c r="ES50" s="19">
        <v>598</v>
      </c>
      <c r="ET50" s="19">
        <v>0</v>
      </c>
      <c r="EU50" s="19">
        <v>0</v>
      </c>
      <c r="EV50" s="19">
        <v>16.253327687488103</v>
      </c>
      <c r="EW50" s="19">
        <f>DataTable[[#This Row],[Sens_13]]/AVERAGEIF(DataTable[Strålkälla],DataTable[[#This Row],[Strålkälla]],DataTable[Sens_13])</f>
        <v>1.0012297912623362</v>
      </c>
      <c r="EX50" s="19">
        <v>1237</v>
      </c>
      <c r="EY50" s="19">
        <v>1627</v>
      </c>
      <c r="EZ50" s="19">
        <v>0.13600000000000001</v>
      </c>
      <c r="FA50" s="19">
        <v>4.8000000000000001E-2</v>
      </c>
      <c r="FB50" s="19">
        <v>3.1E-2</v>
      </c>
      <c r="FC50" s="19">
        <v>1455260</v>
      </c>
      <c r="FD50" s="19">
        <v>598</v>
      </c>
      <c r="FE50" s="19">
        <v>2</v>
      </c>
      <c r="FF50" s="19">
        <v>2</v>
      </c>
      <c r="FG50" s="19">
        <v>13.896558265172285</v>
      </c>
      <c r="FH50" s="19">
        <f>DataTable[[#This Row],[Sens_14]]/AVERAGEIF(DataTable[Strålkälla],DataTable[[#This Row],[Strålkälla]],DataTable[Sens_14])</f>
        <v>1.0031476007253994</v>
      </c>
      <c r="FI50" s="19">
        <v>1424</v>
      </c>
      <c r="FJ50" s="19">
        <v>1719</v>
      </c>
      <c r="FK50" s="19">
        <v>9.4E-2</v>
      </c>
      <c r="FL50" s="19">
        <v>3.5000000000000003E-2</v>
      </c>
      <c r="FM50" s="19">
        <v>2.8000000000000001E-2</v>
      </c>
      <c r="FN50" s="19">
        <v>1624563</v>
      </c>
      <c r="FO50" s="19">
        <v>598</v>
      </c>
      <c r="FP50" s="19">
        <v>0</v>
      </c>
      <c r="FQ50" s="19">
        <v>0</v>
      </c>
      <c r="FR50" s="19">
        <v>15.513265248095243</v>
      </c>
      <c r="FS50" s="19">
        <f>DataTable[[#This Row],[Sens_15]]/AVERAGEIF(DataTable[Strålkälla],DataTable[[#This Row],[Strålkälla]],DataTable[Sens_15])</f>
        <v>1.0030158769114568</v>
      </c>
      <c r="FT50" s="19">
        <v>1279</v>
      </c>
      <c r="FU50" s="19">
        <v>1555</v>
      </c>
      <c r="FV50" s="19">
        <v>9.7000000000000003E-2</v>
      </c>
      <c r="FW50" s="19">
        <v>4.2000000000000003E-2</v>
      </c>
      <c r="FX50" s="19">
        <v>2.9000000000000001E-2</v>
      </c>
      <c r="FY50" s="19">
        <v>1466020</v>
      </c>
      <c r="FZ50" s="19">
        <v>598</v>
      </c>
      <c r="GA50" s="19">
        <v>0</v>
      </c>
      <c r="GB50" s="19">
        <v>0</v>
      </c>
      <c r="GC50" s="19">
        <v>13.999307579338314</v>
      </c>
      <c r="GD50" s="19">
        <f>DataTable[[#This Row],[Sens_16]]/AVERAGEIF(DataTable[Strålkälla],DataTable[[#This Row],[Strålkälla]],DataTable[Sens_16])</f>
        <v>1.0024963468799812</v>
      </c>
      <c r="GE50" s="19">
        <v>1237</v>
      </c>
      <c r="GF50" s="19">
        <v>1514</v>
      </c>
      <c r="GG50" s="19">
        <v>0.10100000000000001</v>
      </c>
      <c r="GH50" s="19">
        <v>4.9000000000000002E-2</v>
      </c>
      <c r="GI50" s="19">
        <v>0.03</v>
      </c>
      <c r="GJ50" s="19">
        <v>1410217</v>
      </c>
      <c r="GK50" s="19">
        <v>598</v>
      </c>
      <c r="GL50" s="19">
        <v>0</v>
      </c>
      <c r="GM50" s="19">
        <v>0</v>
      </c>
      <c r="GN50" s="19">
        <v>13.466433975397155</v>
      </c>
      <c r="GO50" s="19">
        <f>DataTable[[#This Row],[Sens_17]]/AVERAGEIF(DataTable[Strålkälla],DataTable[[#This Row],[Strålkälla]],DataTable[Sens_17])</f>
        <v>1.0016830062357287</v>
      </c>
      <c r="GP50" s="19">
        <v>1422</v>
      </c>
      <c r="GQ50" s="19">
        <v>1738</v>
      </c>
      <c r="GR50" s="19">
        <v>0.1</v>
      </c>
      <c r="GS50" s="19">
        <v>0.05</v>
      </c>
      <c r="GT50" s="19">
        <v>2.9000000000000001E-2</v>
      </c>
      <c r="GU50" s="19">
        <v>1630065</v>
      </c>
      <c r="GV50" s="19">
        <v>598</v>
      </c>
      <c r="GW50" s="19">
        <v>0</v>
      </c>
      <c r="GX50" s="19">
        <v>0</v>
      </c>
      <c r="GY50" s="19">
        <v>15.565804906695753</v>
      </c>
      <c r="GZ50" s="19">
        <f>DataTable[[#This Row],[Sens_18]]/AVERAGEIF(DataTable[Strålkälla],DataTable[[#This Row],[Strålkälla]],DataTable[Sens_18])</f>
        <v>1.000511267611276</v>
      </c>
      <c r="HA50" s="19">
        <v>1305</v>
      </c>
      <c r="HB50" s="19">
        <v>1613</v>
      </c>
      <c r="HC50" s="19">
        <v>0.106</v>
      </c>
      <c r="HD50" s="19">
        <v>4.3999999999999997E-2</v>
      </c>
      <c r="HE50" s="19">
        <v>0.03</v>
      </c>
      <c r="HF50" s="19">
        <v>1489491</v>
      </c>
      <c r="HG50" s="19">
        <v>598</v>
      </c>
      <c r="HH50" s="19">
        <v>0</v>
      </c>
      <c r="HI50" s="19">
        <v>0</v>
      </c>
      <c r="HJ50" s="19">
        <v>14.223436682757537</v>
      </c>
      <c r="HK50" s="19">
        <f>DataTable[[#This Row],[Sens_19]]/AVERAGEIF(DataTable[Strålkälla],DataTable[[#This Row],[Strålkälla]],DataTable[Sens_19])</f>
        <v>1.0037449374750755</v>
      </c>
      <c r="HL50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0.13600000000000001</v>
      </c>
      <c r="HM50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9.5894736842105269E-2</v>
      </c>
      <c r="HN50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0.05</v>
      </c>
      <c r="HO50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4.1000000000000016E-2</v>
      </c>
      <c r="HP50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1.000511267611276</v>
      </c>
      <c r="HQ50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1.0020948663459706</v>
      </c>
      <c r="HR50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1.0043387269157757</v>
      </c>
      <c r="HS50" s="49"/>
    </row>
    <row r="51" spans="2:227" x14ac:dyDescent="0.25">
      <c r="B51" s="19" t="s">
        <v>43</v>
      </c>
      <c r="C51" s="20">
        <v>42513</v>
      </c>
      <c r="D51" s="21">
        <v>0.32150462962962961</v>
      </c>
      <c r="E51" s="13" t="s">
        <v>217</v>
      </c>
      <c r="F51" s="13">
        <v>109.8</v>
      </c>
      <c r="G51" s="13">
        <v>134.19999999999999</v>
      </c>
      <c r="H51" s="24">
        <v>29.127700000000001</v>
      </c>
      <c r="I51" s="22">
        <f>MATCH(DataTable[[#This Row],[Datum]],Övrigt!$D$10:$M$10,1)</f>
        <v>1</v>
      </c>
      <c r="J51" s="13"/>
      <c r="K51" s="22">
        <v>1822</v>
      </c>
      <c r="L51" s="22">
        <v>2260</v>
      </c>
      <c r="M51" s="23">
        <v>0.107</v>
      </c>
      <c r="N51" s="23">
        <v>4.1000000000000002E-2</v>
      </c>
      <c r="O51" s="23">
        <v>2.5999999999999999E-2</v>
      </c>
      <c r="P51" s="22">
        <v>2077583</v>
      </c>
      <c r="Q51" s="24">
        <v>580</v>
      </c>
      <c r="R51" s="22">
        <v>0</v>
      </c>
      <c r="S51" s="22">
        <v>1</v>
      </c>
      <c r="T51" s="19">
        <v>20.664713150016045</v>
      </c>
      <c r="U51" s="23">
        <f>DataTable[[#This Row],[Sens_1]]/AVERAGEIF(DataTable[Strålkälla],DataTable[[#This Row],[Strålkälla]],DataTable[Sens_1])</f>
        <v>0.99810309323239366</v>
      </c>
      <c r="V51" s="22">
        <v>2168</v>
      </c>
      <c r="W51" s="22">
        <v>2599</v>
      </c>
      <c r="X51" s="23">
        <v>0.09</v>
      </c>
      <c r="Y51" s="23">
        <v>3.3000000000000002E-2</v>
      </c>
      <c r="Z51" s="23">
        <v>2.4E-2</v>
      </c>
      <c r="AA51" s="22">
        <v>2451310</v>
      </c>
      <c r="AB51" s="24">
        <v>580</v>
      </c>
      <c r="AC51" s="22">
        <v>0</v>
      </c>
      <c r="AD51" s="22">
        <v>0</v>
      </c>
      <c r="AE51" s="19">
        <v>24.38199484293327</v>
      </c>
      <c r="AF51" s="23">
        <f>DataTable[[#This Row],[Sens_2]]/AVERAGEIF(DataTable[Strålkälla],DataTable[[#This Row],[Strålkälla]],DataTable[Sens_2])</f>
        <v>0.99783239926838641</v>
      </c>
      <c r="AG51" s="22">
        <v>1964</v>
      </c>
      <c r="AH51" s="22">
        <v>2315</v>
      </c>
      <c r="AI51" s="23">
        <v>8.2000000000000003E-2</v>
      </c>
      <c r="AJ51" s="23">
        <v>4.8000000000000001E-2</v>
      </c>
      <c r="AK51" s="23">
        <v>2.5000000000000001E-2</v>
      </c>
      <c r="AL51" s="22">
        <v>2173210</v>
      </c>
      <c r="AM51" s="24">
        <v>580</v>
      </c>
      <c r="AN51" s="22">
        <v>0</v>
      </c>
      <c r="AO51" s="22">
        <v>0</v>
      </c>
      <c r="AP51" s="19">
        <v>21.615868663127475</v>
      </c>
      <c r="AQ51" s="23">
        <f>DataTable[[#This Row],[Sens_3]]/AVERAGEIF(DataTable[Strålkälla],DataTable[[#This Row],[Strålkälla]],DataTable[Sens_3])</f>
        <v>0.99906738204547596</v>
      </c>
      <c r="AR51" s="22">
        <v>1870</v>
      </c>
      <c r="AS51" s="22">
        <v>2165</v>
      </c>
      <c r="AT51" s="23">
        <v>7.2999999999999995E-2</v>
      </c>
      <c r="AU51" s="23">
        <v>3.7999999999999999E-2</v>
      </c>
      <c r="AV51" s="23">
        <v>2.4E-2</v>
      </c>
      <c r="AW51" s="22">
        <v>2070218</v>
      </c>
      <c r="AX51" s="24">
        <v>580</v>
      </c>
      <c r="AY51" s="22">
        <v>0</v>
      </c>
      <c r="AZ51" s="22">
        <v>0</v>
      </c>
      <c r="BA51" s="19">
        <v>20.591457057551935</v>
      </c>
      <c r="BB51" s="23">
        <f>DataTable[[#This Row],[Sens_4]]/AVERAGEIF(DataTable[Strålkälla],DataTable[[#This Row],[Strålkälla]],DataTable[Sens_4])</f>
        <v>0.99997550541409241</v>
      </c>
      <c r="BC51" s="22">
        <v>2041</v>
      </c>
      <c r="BD51" s="22">
        <v>2435</v>
      </c>
      <c r="BE51" s="19">
        <v>8.7999999999999995E-2</v>
      </c>
      <c r="BF51" s="19">
        <v>3.2000000000000001E-2</v>
      </c>
      <c r="BG51" s="19">
        <v>2.4E-2</v>
      </c>
      <c r="BH51" s="19">
        <v>2314384</v>
      </c>
      <c r="BI51" s="19">
        <v>580</v>
      </c>
      <c r="BJ51" s="19">
        <v>1</v>
      </c>
      <c r="BK51" s="19">
        <v>0</v>
      </c>
      <c r="BL51" s="19">
        <v>23.020058153626948</v>
      </c>
      <c r="BM51" s="23">
        <f>DataTable[[#This Row],[Sens_5]]/AVERAGEIF(DataTable[Strålkälla],DataTable[[#This Row],[Strålkälla]],DataTable[Sens_5])</f>
        <v>0.999732892379536</v>
      </c>
      <c r="BN51" s="19">
        <v>2057</v>
      </c>
      <c r="BO51" s="19">
        <v>2458</v>
      </c>
      <c r="BP51" s="19">
        <v>8.8999999999999996E-2</v>
      </c>
      <c r="BQ51" s="19">
        <v>4.2000000000000003E-2</v>
      </c>
      <c r="BR51" s="19">
        <v>2.5000000000000001E-2</v>
      </c>
      <c r="BS51" s="19">
        <v>2303503</v>
      </c>
      <c r="BT51" s="19">
        <v>580</v>
      </c>
      <c r="BU51" s="19">
        <v>0</v>
      </c>
      <c r="BV51" s="19">
        <v>0</v>
      </c>
      <c r="BW51" s="19">
        <v>22.911830109892801</v>
      </c>
      <c r="BX51" s="23">
        <f>DataTable[[#This Row],[Sens_6]]/AVERAGEIF(DataTable[Strålkälla],DataTable[[#This Row],[Strålkälla]],DataTable[Sens_6])</f>
        <v>0.99827213228801881</v>
      </c>
      <c r="BY51" s="19">
        <v>1868</v>
      </c>
      <c r="BZ51" s="19">
        <v>2270</v>
      </c>
      <c r="CA51" s="19">
        <v>9.7000000000000003E-2</v>
      </c>
      <c r="CB51" s="19">
        <v>4.7E-2</v>
      </c>
      <c r="CC51" s="19">
        <v>2.7E-2</v>
      </c>
      <c r="CD51" s="19">
        <v>2110367</v>
      </c>
      <c r="CE51" s="19">
        <v>580</v>
      </c>
      <c r="CF51" s="19">
        <v>0</v>
      </c>
      <c r="CG51" s="19">
        <v>0</v>
      </c>
      <c r="CH51" s="19">
        <v>20.990799740015159</v>
      </c>
      <c r="CI51" s="23">
        <f>DataTable[[#This Row],[Sens_7]]/AVERAGEIF(DataTable[Strålkälla],DataTable[[#This Row],[Strålkälla]],DataTable[Sens_7])</f>
        <v>0.99871367359123608</v>
      </c>
      <c r="CJ51" s="19">
        <v>2189</v>
      </c>
      <c r="CK51" s="19">
        <v>2587</v>
      </c>
      <c r="CL51" s="19">
        <v>8.3000000000000004E-2</v>
      </c>
      <c r="CM51" s="19">
        <v>4.1000000000000002E-2</v>
      </c>
      <c r="CN51" s="19">
        <v>2.5000000000000001E-2</v>
      </c>
      <c r="CO51" s="19">
        <v>2449140</v>
      </c>
      <c r="CP51" s="19">
        <v>580</v>
      </c>
      <c r="CQ51" s="19">
        <v>0</v>
      </c>
      <c r="CR51" s="19">
        <v>0</v>
      </c>
      <c r="CS51" s="19">
        <v>24.360410902587429</v>
      </c>
      <c r="CT51" s="23">
        <f>DataTable[[#This Row],[Sens_8]]/AVERAGEIF(DataTable[Strålkälla],DataTable[[#This Row],[Strålkälla]],DataTable[Sens_8])</f>
        <v>0.99846385271572768</v>
      </c>
      <c r="CU51" s="19">
        <v>1727</v>
      </c>
      <c r="CV51" s="19">
        <v>2125</v>
      </c>
      <c r="CW51" s="19">
        <v>0.10299999999999999</v>
      </c>
      <c r="CX51" s="19">
        <v>5.7000000000000002E-2</v>
      </c>
      <c r="CY51" s="19">
        <v>2.7E-2</v>
      </c>
      <c r="CZ51" s="19">
        <v>1974805</v>
      </c>
      <c r="DA51" s="19">
        <v>563</v>
      </c>
      <c r="DB51" s="19">
        <v>0</v>
      </c>
      <c r="DC51" s="19">
        <v>0</v>
      </c>
      <c r="DD51" s="19">
        <v>20.235540776868934</v>
      </c>
      <c r="DE51" s="23">
        <f>DataTable[[#This Row],[Sens_9]]/AVERAGEIF(DataTable[Strålkälla],DataTable[[#This Row],[Strålkälla]],DataTable[Sens_9])</f>
        <v>1.0026612049432222</v>
      </c>
      <c r="DF51" s="19">
        <v>1690</v>
      </c>
      <c r="DG51" s="19">
        <v>2008</v>
      </c>
      <c r="DH51" s="19">
        <v>8.5999999999999993E-2</v>
      </c>
      <c r="DI51" s="19">
        <v>3.6999999999999998E-2</v>
      </c>
      <c r="DJ51" s="19">
        <v>2.5000000000000001E-2</v>
      </c>
      <c r="DK51" s="19">
        <v>1902896</v>
      </c>
      <c r="DL51" s="19">
        <v>563</v>
      </c>
      <c r="DM51" s="19">
        <v>0</v>
      </c>
      <c r="DN51" s="19">
        <v>0</v>
      </c>
      <c r="DO51" s="19">
        <v>19.498699670165301</v>
      </c>
      <c r="DP51" s="23">
        <f>DataTable[[#This Row],[Sens_10]]/AVERAGEIF(DataTable[Strålkälla],DataTable[[#This Row],[Strålkälla]],DataTable[Sens_10])</f>
        <v>0.99941052532647712</v>
      </c>
      <c r="DQ51" s="19">
        <v>1462</v>
      </c>
      <c r="DR51" s="19">
        <v>1763</v>
      </c>
      <c r="DS51" s="19">
        <v>9.2999999999999999E-2</v>
      </c>
      <c r="DT51" s="19">
        <v>4.7E-2</v>
      </c>
      <c r="DU51" s="19">
        <v>2.8000000000000001E-2</v>
      </c>
      <c r="DV51" s="19">
        <v>1674642</v>
      </c>
      <c r="DW51" s="19">
        <v>563</v>
      </c>
      <c r="DX51" s="19">
        <v>0</v>
      </c>
      <c r="DY51" s="19">
        <v>0</v>
      </c>
      <c r="DZ51" s="19">
        <v>17.159813995638732</v>
      </c>
      <c r="EA51" s="23">
        <f>DataTable[[#This Row],[Sens_11]]/AVERAGEIF(DataTable[Strålkälla],DataTable[[#This Row],[Strålkälla]],DataTable[Sens_11])</f>
        <v>0.99940738742125779</v>
      </c>
      <c r="EB51" s="19">
        <v>1782</v>
      </c>
      <c r="EC51" s="19">
        <v>2110</v>
      </c>
      <c r="ED51" s="19">
        <v>8.4000000000000005E-2</v>
      </c>
      <c r="EE51" s="19">
        <v>0.04</v>
      </c>
      <c r="EF51" s="19">
        <v>2.7E-2</v>
      </c>
      <c r="EG51" s="19">
        <v>1998021</v>
      </c>
      <c r="EH51" s="19">
        <v>563</v>
      </c>
      <c r="EI51" s="19">
        <v>0</v>
      </c>
      <c r="EJ51" s="19">
        <v>0</v>
      </c>
      <c r="EK51" s="19">
        <v>20.473431765941672</v>
      </c>
      <c r="EL51" s="23">
        <f>DataTable[[#This Row],[Sens_12]]/AVERAGEIF(DataTable[Strålkälla],DataTable[[#This Row],[Strålkälla]],DataTable[Sens_12])</f>
        <v>1.0002958277907161</v>
      </c>
      <c r="EM51" s="19">
        <v>1487</v>
      </c>
      <c r="EN51" s="19">
        <v>1845</v>
      </c>
      <c r="EO51" s="19">
        <v>0.107</v>
      </c>
      <c r="EP51" s="19">
        <v>3.5999999999999997E-2</v>
      </c>
      <c r="EQ51" s="19">
        <v>2.8000000000000001E-2</v>
      </c>
      <c r="ER51" s="19">
        <v>1701951</v>
      </c>
      <c r="ES51" s="19">
        <v>605</v>
      </c>
      <c r="ET51" s="19">
        <v>0</v>
      </c>
      <c r="EU51" s="19">
        <v>0</v>
      </c>
      <c r="EV51" s="19">
        <v>16.228959238463233</v>
      </c>
      <c r="EW51" s="19">
        <f>DataTable[[#This Row],[Sens_13]]/AVERAGEIF(DataTable[Strålkälla],DataTable[[#This Row],[Strålkälla]],DataTable[Sens_13])</f>
        <v>0.9997286576114508</v>
      </c>
      <c r="EX51" s="19">
        <v>1290</v>
      </c>
      <c r="EY51" s="19">
        <v>1551</v>
      </c>
      <c r="EZ51" s="19">
        <v>9.1999999999999998E-2</v>
      </c>
      <c r="FA51" s="19">
        <v>4.1000000000000002E-2</v>
      </c>
      <c r="FB51" s="19">
        <v>0.03</v>
      </c>
      <c r="FC51" s="19">
        <v>1452163</v>
      </c>
      <c r="FD51" s="19">
        <v>605</v>
      </c>
      <c r="FE51" s="19">
        <v>0</v>
      </c>
      <c r="FF51" s="19">
        <v>0</v>
      </c>
      <c r="FG51" s="19">
        <v>13.84710496048622</v>
      </c>
      <c r="FH51" s="19">
        <f>DataTable[[#This Row],[Sens_14]]/AVERAGEIF(DataTable[Strålkälla],DataTable[[#This Row],[Strålkälla]],DataTable[Sens_14])</f>
        <v>0.99957772658842714</v>
      </c>
      <c r="FI51" s="19">
        <v>1430</v>
      </c>
      <c r="FJ51" s="19">
        <v>1721</v>
      </c>
      <c r="FK51" s="19">
        <v>9.1999999999999998E-2</v>
      </c>
      <c r="FL51" s="19">
        <v>4.3999999999999997E-2</v>
      </c>
      <c r="FM51" s="19">
        <v>2.8000000000000001E-2</v>
      </c>
      <c r="FN51" s="19">
        <v>1622428</v>
      </c>
      <c r="FO51" s="19">
        <v>605</v>
      </c>
      <c r="FP51" s="19">
        <v>0</v>
      </c>
      <c r="FQ51" s="19">
        <v>0</v>
      </c>
      <c r="FR51" s="19">
        <v>15.470667416007528</v>
      </c>
      <c r="FS51" s="19">
        <f>DataTable[[#This Row],[Sens_15]]/AVERAGEIF(DataTable[Strålkälla],DataTable[[#This Row],[Strålkälla]],DataTable[Sens_15])</f>
        <v>1.0002616983924482</v>
      </c>
      <c r="FT51" s="19">
        <v>1306</v>
      </c>
      <c r="FU51" s="19">
        <v>1638</v>
      </c>
      <c r="FV51" s="19">
        <v>0.113</v>
      </c>
      <c r="FW51" s="19">
        <v>4.3999999999999997E-2</v>
      </c>
      <c r="FX51" s="19">
        <v>2.9000000000000001E-2</v>
      </c>
      <c r="FY51" s="19">
        <v>1466921</v>
      </c>
      <c r="FZ51" s="19">
        <v>605</v>
      </c>
      <c r="GA51" s="19">
        <v>0</v>
      </c>
      <c r="GB51" s="19">
        <v>1</v>
      </c>
      <c r="GC51" s="19">
        <v>13.987829916986872</v>
      </c>
      <c r="GD51" s="19">
        <f>DataTable[[#This Row],[Sens_16]]/AVERAGEIF(DataTable[Strålkälla],DataTable[[#This Row],[Strålkälla]],DataTable[Sens_16])</f>
        <v>1.001674426616223</v>
      </c>
      <c r="GE51" s="19">
        <v>1270</v>
      </c>
      <c r="GF51" s="19">
        <v>1543</v>
      </c>
      <c r="GG51" s="19">
        <v>9.7000000000000003E-2</v>
      </c>
      <c r="GH51" s="19">
        <v>4.4999999999999998E-2</v>
      </c>
      <c r="GI51" s="19">
        <v>0.03</v>
      </c>
      <c r="GJ51" s="19">
        <v>1413616</v>
      </c>
      <c r="GK51" s="19">
        <v>605</v>
      </c>
      <c r="GL51" s="19">
        <v>0</v>
      </c>
      <c r="GM51" s="19">
        <v>0</v>
      </c>
      <c r="GN51" s="19">
        <v>13.479539917917403</v>
      </c>
      <c r="GO51" s="19">
        <f>DataTable[[#This Row],[Sens_17]]/AVERAGEIF(DataTable[Strålkälla],DataTable[[#This Row],[Strålkälla]],DataTable[Sens_17])</f>
        <v>1.0026578745584946</v>
      </c>
      <c r="GP51" s="19">
        <v>1467</v>
      </c>
      <c r="GQ51" s="19">
        <v>1738</v>
      </c>
      <c r="GR51" s="19">
        <v>8.5000000000000006E-2</v>
      </c>
      <c r="GS51" s="19">
        <v>4.7E-2</v>
      </c>
      <c r="GT51" s="19">
        <v>2.8000000000000001E-2</v>
      </c>
      <c r="GU51" s="19">
        <v>1630276</v>
      </c>
      <c r="GV51" s="19">
        <v>605</v>
      </c>
      <c r="GW51" s="19">
        <v>0</v>
      </c>
      <c r="GX51" s="19">
        <v>0</v>
      </c>
      <c r="GY51" s="19">
        <v>15.545502045267394</v>
      </c>
      <c r="GZ51" s="19">
        <f>DataTable[[#This Row],[Sens_18]]/AVERAGEIF(DataTable[Strålkälla],DataTable[[#This Row],[Strålkälla]],DataTable[Sens_18])</f>
        <v>0.99920627620571834</v>
      </c>
      <c r="HA51" s="19">
        <v>1320</v>
      </c>
      <c r="HB51" s="19">
        <v>1612</v>
      </c>
      <c r="HC51" s="19">
        <v>0.1</v>
      </c>
      <c r="HD51" s="19">
        <v>4.8000000000000001E-2</v>
      </c>
      <c r="HE51" s="19">
        <v>0.03</v>
      </c>
      <c r="HF51" s="19">
        <v>1489125</v>
      </c>
      <c r="HG51" s="19">
        <v>605</v>
      </c>
      <c r="HH51" s="19">
        <v>0</v>
      </c>
      <c r="HI51" s="19">
        <v>0</v>
      </c>
      <c r="HJ51" s="19">
        <v>14.199556230453499</v>
      </c>
      <c r="HK51" s="19">
        <f>DataTable[[#This Row],[Sens_19]]/AVERAGEIF(DataTable[Strålkälla],DataTable[[#This Row],[Strålkälla]],DataTable[Sens_19])</f>
        <v>1.0020596989747452</v>
      </c>
      <c r="HL51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0.113</v>
      </c>
      <c r="HM51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9.2684210526315799E-2</v>
      </c>
      <c r="HN51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5.7000000000000002E-2</v>
      </c>
      <c r="HO51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4.2526315789473697E-2</v>
      </c>
      <c r="HP51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0.99783239926838641</v>
      </c>
      <c r="HQ51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0.99984748607179197</v>
      </c>
      <c r="HR51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1.0026612049432222</v>
      </c>
      <c r="HS51" s="49"/>
    </row>
    <row r="52" spans="2:227" x14ac:dyDescent="0.25">
      <c r="B52" s="19" t="s">
        <v>43</v>
      </c>
      <c r="C52" s="20">
        <v>42515</v>
      </c>
      <c r="D52" s="21">
        <v>0.31600694444444444</v>
      </c>
      <c r="E52" s="13" t="s">
        <v>217</v>
      </c>
      <c r="F52" s="13">
        <v>109.8</v>
      </c>
      <c r="G52" s="13">
        <v>134.19999999999999</v>
      </c>
      <c r="H52" s="24">
        <v>29.280799999999999</v>
      </c>
      <c r="I52" s="22">
        <f>MATCH(DataTable[[#This Row],[Datum]],Övrigt!$D$10:$M$10,1)</f>
        <v>1</v>
      </c>
      <c r="J52" s="13"/>
      <c r="K52" s="22">
        <v>1860</v>
      </c>
      <c r="L52" s="22">
        <v>2250</v>
      </c>
      <c r="M52" s="23">
        <v>9.5000000000000001E-2</v>
      </c>
      <c r="N52" s="23">
        <v>3.5999999999999997E-2</v>
      </c>
      <c r="O52" s="23">
        <v>2.5999999999999999E-2</v>
      </c>
      <c r="P52" s="22">
        <v>2079958</v>
      </c>
      <c r="Q52" s="24">
        <v>582</v>
      </c>
      <c r="R52" s="22">
        <v>0</v>
      </c>
      <c r="S52" s="22">
        <v>1</v>
      </c>
      <c r="T52" s="19">
        <v>20.722690762814878</v>
      </c>
      <c r="U52" s="23">
        <f>DataTable[[#This Row],[Sens_1]]/AVERAGEIF(DataTable[Strålkälla],DataTable[[#This Row],[Strålkälla]],DataTable[Sens_1])</f>
        <v>1.0009034047708436</v>
      </c>
      <c r="V52" s="22">
        <v>2142</v>
      </c>
      <c r="W52" s="22">
        <v>2656</v>
      </c>
      <c r="X52" s="23">
        <v>0.107</v>
      </c>
      <c r="Y52" s="23">
        <v>3.6999999999999998E-2</v>
      </c>
      <c r="Z52" s="23">
        <v>2.5000000000000001E-2</v>
      </c>
      <c r="AA52" s="22">
        <v>2455049</v>
      </c>
      <c r="AB52" s="24">
        <v>582</v>
      </c>
      <c r="AC52" s="22">
        <v>1</v>
      </c>
      <c r="AD52" s="22">
        <v>3</v>
      </c>
      <c r="AE52" s="19">
        <v>24.459734876645541</v>
      </c>
      <c r="AF52" s="23">
        <f>DataTable[[#This Row],[Sens_2]]/AVERAGEIF(DataTable[Strålkälla],DataTable[[#This Row],[Strålkälla]],DataTable[Sens_2])</f>
        <v>1.0010139077896552</v>
      </c>
      <c r="AG52" s="22">
        <v>1914</v>
      </c>
      <c r="AH52" s="22">
        <v>2312</v>
      </c>
      <c r="AI52" s="23">
        <v>9.4E-2</v>
      </c>
      <c r="AJ52" s="23">
        <v>3.4000000000000002E-2</v>
      </c>
      <c r="AK52" s="23">
        <v>2.5999999999999999E-2</v>
      </c>
      <c r="AL52" s="22">
        <v>2174316</v>
      </c>
      <c r="AM52" s="24">
        <v>582</v>
      </c>
      <c r="AN52" s="22">
        <v>0</v>
      </c>
      <c r="AO52" s="22">
        <v>0</v>
      </c>
      <c r="AP52" s="19">
        <v>21.662782656496237</v>
      </c>
      <c r="AQ52" s="23">
        <f>DataTable[[#This Row],[Sens_3]]/AVERAGEIF(DataTable[Strålkälla],DataTable[[#This Row],[Strålkälla]],DataTable[Sens_3])</f>
        <v>1.0012357076060481</v>
      </c>
      <c r="AR52" s="22">
        <v>1840</v>
      </c>
      <c r="AS52" s="22">
        <v>2185</v>
      </c>
      <c r="AT52" s="23">
        <v>8.5999999999999993E-2</v>
      </c>
      <c r="AU52" s="23">
        <v>4.8000000000000001E-2</v>
      </c>
      <c r="AV52" s="23">
        <v>2.5000000000000001E-2</v>
      </c>
      <c r="AW52" s="22">
        <v>2070276</v>
      </c>
      <c r="AX52" s="24">
        <v>582</v>
      </c>
      <c r="AY52" s="22">
        <v>0</v>
      </c>
      <c r="AZ52" s="22">
        <v>0</v>
      </c>
      <c r="BA52" s="19">
        <v>20.626228674654651</v>
      </c>
      <c r="BB52" s="23">
        <f>DataTable[[#This Row],[Sens_4]]/AVERAGEIF(DataTable[Strålkälla],DataTable[[#This Row],[Strålkälla]],DataTable[Sens_4])</f>
        <v>1.0016641069195211</v>
      </c>
      <c r="BC52" s="22">
        <v>2085</v>
      </c>
      <c r="BD52" s="22">
        <v>2447</v>
      </c>
      <c r="BE52" s="19">
        <v>0.08</v>
      </c>
      <c r="BF52" s="19">
        <v>3.1E-2</v>
      </c>
      <c r="BG52" s="19">
        <v>2.3E-2</v>
      </c>
      <c r="BH52" s="19">
        <v>2316204</v>
      </c>
      <c r="BI52" s="19">
        <v>582</v>
      </c>
      <c r="BJ52" s="19">
        <v>0</v>
      </c>
      <c r="BK52" s="19">
        <v>0</v>
      </c>
      <c r="BL52" s="19">
        <v>23.076417521697493</v>
      </c>
      <c r="BM52" s="23">
        <f>DataTable[[#This Row],[Sens_5]]/AVERAGEIF(DataTable[Strålkälla],DataTable[[#This Row],[Strålkälla]],DataTable[Sens_5])</f>
        <v>1.0021805106122019</v>
      </c>
      <c r="BN52" s="19">
        <v>2048</v>
      </c>
      <c r="BO52" s="19">
        <v>2457</v>
      </c>
      <c r="BP52" s="19">
        <v>9.0999999999999998E-2</v>
      </c>
      <c r="BQ52" s="19">
        <v>4.8000000000000001E-2</v>
      </c>
      <c r="BR52" s="19">
        <v>2.5000000000000001E-2</v>
      </c>
      <c r="BS52" s="19">
        <v>2301689</v>
      </c>
      <c r="BT52" s="19">
        <v>582</v>
      </c>
      <c r="BU52" s="19">
        <v>0</v>
      </c>
      <c r="BV52" s="19">
        <v>0</v>
      </c>
      <c r="BW52" s="19">
        <v>22.931804093723343</v>
      </c>
      <c r="BX52" s="23">
        <f>DataTable[[#This Row],[Sens_6]]/AVERAGEIF(DataTable[Strålkälla],DataTable[[#This Row],[Strålkälla]],DataTable[Sens_6])</f>
        <v>0.99914240198420479</v>
      </c>
      <c r="BY52" s="19">
        <v>1835</v>
      </c>
      <c r="BZ52" s="19">
        <v>2219</v>
      </c>
      <c r="CA52" s="19">
        <v>9.5000000000000001E-2</v>
      </c>
      <c r="CB52" s="19">
        <v>3.4000000000000002E-2</v>
      </c>
      <c r="CC52" s="19">
        <v>2.5999999999999999E-2</v>
      </c>
      <c r="CD52" s="19">
        <v>2106620</v>
      </c>
      <c r="CE52" s="19">
        <v>582</v>
      </c>
      <c r="CF52" s="19">
        <v>1</v>
      </c>
      <c r="CG52" s="19">
        <v>0</v>
      </c>
      <c r="CH52" s="19">
        <v>20.988325155970017</v>
      </c>
      <c r="CI52" s="23">
        <f>DataTable[[#This Row],[Sens_7]]/AVERAGEIF(DataTable[Strålkälla],DataTable[[#This Row],[Strålkälla]],DataTable[Sens_7])</f>
        <v>0.99859593625140419</v>
      </c>
      <c r="CJ52" s="19">
        <v>2167</v>
      </c>
      <c r="CK52" s="19">
        <v>2580</v>
      </c>
      <c r="CL52" s="19">
        <v>8.6999999999999994E-2</v>
      </c>
      <c r="CM52" s="19">
        <v>3.9E-2</v>
      </c>
      <c r="CN52" s="19">
        <v>2.5000000000000001E-2</v>
      </c>
      <c r="CO52" s="19">
        <v>2445106</v>
      </c>
      <c r="CP52" s="19">
        <v>582</v>
      </c>
      <c r="CQ52" s="19">
        <v>0</v>
      </c>
      <c r="CR52" s="19">
        <v>0</v>
      </c>
      <c r="CS52" s="19">
        <v>24.360672436800762</v>
      </c>
      <c r="CT52" s="23">
        <f>DataTable[[#This Row],[Sens_8]]/AVERAGEIF(DataTable[Strålkälla],DataTable[[#This Row],[Strålkälla]],DataTable[Sens_8])</f>
        <v>0.99847457225815683</v>
      </c>
      <c r="CU52" s="19">
        <v>1746</v>
      </c>
      <c r="CV52" s="19">
        <v>2118</v>
      </c>
      <c r="CW52" s="19">
        <v>9.6000000000000002E-2</v>
      </c>
      <c r="CX52" s="19">
        <v>4.8000000000000001E-2</v>
      </c>
      <c r="CY52" s="19">
        <v>2.5999999999999999E-2</v>
      </c>
      <c r="CZ52" s="19">
        <v>1973812</v>
      </c>
      <c r="DA52" s="19">
        <v>566</v>
      </c>
      <c r="DB52" s="19">
        <v>0</v>
      </c>
      <c r="DC52" s="19">
        <v>0</v>
      </c>
      <c r="DD52" s="19">
        <v>20.221060064216623</v>
      </c>
      <c r="DE52" s="23">
        <f>DataTable[[#This Row],[Sens_9]]/AVERAGEIF(DataTable[Strålkälla],DataTable[[#This Row],[Strålkälla]],DataTable[Sens_9])</f>
        <v>1.0019436926732757</v>
      </c>
      <c r="DF52" s="19">
        <v>1693</v>
      </c>
      <c r="DG52" s="19">
        <v>2054</v>
      </c>
      <c r="DH52" s="19">
        <v>9.6000000000000002E-2</v>
      </c>
      <c r="DI52" s="19">
        <v>4.5999999999999999E-2</v>
      </c>
      <c r="DJ52" s="19">
        <v>2.5999999999999999E-2</v>
      </c>
      <c r="DK52" s="19">
        <v>1902361</v>
      </c>
      <c r="DL52" s="19">
        <v>566</v>
      </c>
      <c r="DM52" s="19">
        <v>0</v>
      </c>
      <c r="DN52" s="19">
        <v>1</v>
      </c>
      <c r="DO52" s="19">
        <v>19.489067877195598</v>
      </c>
      <c r="DP52" s="23">
        <f>DataTable[[#This Row],[Sens_10]]/AVERAGEIF(DataTable[Strålkälla],DataTable[[#This Row],[Strålkälla]],DataTable[Sens_10])</f>
        <v>0.99891684546912662</v>
      </c>
      <c r="DQ52" s="19">
        <v>1513</v>
      </c>
      <c r="DR52" s="19">
        <v>1769</v>
      </c>
      <c r="DS52" s="19">
        <v>7.8E-2</v>
      </c>
      <c r="DT52" s="19">
        <v>3.7999999999999999E-2</v>
      </c>
      <c r="DU52" s="19">
        <v>2.5999999999999999E-2</v>
      </c>
      <c r="DV52" s="19">
        <v>1676043</v>
      </c>
      <c r="DW52" s="19">
        <v>566</v>
      </c>
      <c r="DX52" s="19">
        <v>0</v>
      </c>
      <c r="DY52" s="19">
        <v>0</v>
      </c>
      <c r="DZ52" s="19">
        <v>17.170513794226512</v>
      </c>
      <c r="EA52" s="23">
        <f>DataTable[[#This Row],[Sens_11]]/AVERAGEIF(DataTable[Strålkälla],DataTable[[#This Row],[Strålkälla]],DataTable[Sens_11])</f>
        <v>1.0000305560497327</v>
      </c>
      <c r="EB52" s="19">
        <v>1700</v>
      </c>
      <c r="EC52" s="19">
        <v>2140</v>
      </c>
      <c r="ED52" s="19">
        <v>0.115</v>
      </c>
      <c r="EE52" s="19">
        <v>4.8000000000000001E-2</v>
      </c>
      <c r="EF52" s="19">
        <v>2.7E-2</v>
      </c>
      <c r="EG52" s="19">
        <v>1998068</v>
      </c>
      <c r="EH52" s="19">
        <v>566</v>
      </c>
      <c r="EI52" s="19">
        <v>1</v>
      </c>
      <c r="EJ52" s="19">
        <v>0</v>
      </c>
      <c r="EK52" s="19">
        <v>20.469554871684423</v>
      </c>
      <c r="EL52" s="23">
        <f>DataTable[[#This Row],[Sens_12]]/AVERAGEIF(DataTable[Strålkälla],DataTable[[#This Row],[Strålkälla]],DataTable[Sens_12])</f>
        <v>1.0001064095634913</v>
      </c>
      <c r="EM52" s="19">
        <v>1519</v>
      </c>
      <c r="EN52" s="19">
        <v>1810</v>
      </c>
      <c r="EO52" s="19">
        <v>8.6999999999999994E-2</v>
      </c>
      <c r="EP52" s="19">
        <v>3.9E-2</v>
      </c>
      <c r="EQ52" s="19">
        <v>2.8000000000000001E-2</v>
      </c>
      <c r="ER52" s="19">
        <v>1703326</v>
      </c>
      <c r="ES52" s="19">
        <v>609</v>
      </c>
      <c r="ET52" s="19">
        <v>0</v>
      </c>
      <c r="EU52" s="19">
        <v>0</v>
      </c>
      <c r="EV52" s="19">
        <v>16.217916065288179</v>
      </c>
      <c r="EW52" s="19">
        <f>DataTable[[#This Row],[Sens_13]]/AVERAGEIF(DataTable[Strålkälla],DataTable[[#This Row],[Strålkälla]],DataTable[Sens_13])</f>
        <v>0.99904838128985518</v>
      </c>
      <c r="EX52" s="19">
        <v>1281</v>
      </c>
      <c r="EY52" s="19">
        <v>1597</v>
      </c>
      <c r="EZ52" s="19">
        <v>0.11</v>
      </c>
      <c r="FA52" s="19">
        <v>4.2999999999999997E-2</v>
      </c>
      <c r="FB52" s="19">
        <v>0.03</v>
      </c>
      <c r="FC52" s="19">
        <v>1451770</v>
      </c>
      <c r="FD52" s="19">
        <v>609</v>
      </c>
      <c r="FE52" s="19">
        <v>0</v>
      </c>
      <c r="FF52" s="19">
        <v>1</v>
      </c>
      <c r="FG52" s="19">
        <v>13.822770277740974</v>
      </c>
      <c r="FH52" s="19">
        <f>DataTable[[#This Row],[Sens_14]]/AVERAGEIF(DataTable[Strålkälla],DataTable[[#This Row],[Strålkälla]],DataTable[Sens_14])</f>
        <v>0.99782108453760454</v>
      </c>
      <c r="FI52" s="19">
        <v>1413</v>
      </c>
      <c r="FJ52" s="19">
        <v>1748</v>
      </c>
      <c r="FK52" s="19">
        <v>0.106</v>
      </c>
      <c r="FL52" s="19">
        <v>3.7999999999999999E-2</v>
      </c>
      <c r="FM52" s="19">
        <v>2.8000000000000001E-2</v>
      </c>
      <c r="FN52" s="19">
        <v>1624755</v>
      </c>
      <c r="FO52" s="19">
        <v>609</v>
      </c>
      <c r="FP52" s="19">
        <v>0</v>
      </c>
      <c r="FQ52" s="19">
        <v>0</v>
      </c>
      <c r="FR52" s="19">
        <v>15.469816239907862</v>
      </c>
      <c r="FS52" s="19">
        <f>DataTable[[#This Row],[Sens_15]]/AVERAGEIF(DataTable[Strålkälla],DataTable[[#This Row],[Strålkälla]],DataTable[Sens_15])</f>
        <v>1.0002066652883042</v>
      </c>
      <c r="FT52" s="19">
        <v>1303</v>
      </c>
      <c r="FU52" s="19">
        <v>1588</v>
      </c>
      <c r="FV52" s="19">
        <v>9.9000000000000005E-2</v>
      </c>
      <c r="FW52" s="19">
        <v>4.3999999999999997E-2</v>
      </c>
      <c r="FX52" s="19">
        <v>2.8000000000000001E-2</v>
      </c>
      <c r="FY52" s="19">
        <v>1468491</v>
      </c>
      <c r="FZ52" s="19">
        <v>609</v>
      </c>
      <c r="GA52" s="19">
        <v>0</v>
      </c>
      <c r="GB52" s="19">
        <v>0</v>
      </c>
      <c r="GC52" s="19">
        <v>13.981976310248951</v>
      </c>
      <c r="GD52" s="19">
        <f>DataTable[[#This Row],[Sens_16]]/AVERAGEIF(DataTable[Strålkälla],DataTable[[#This Row],[Strålkälla]],DataTable[Sens_16])</f>
        <v>1.0012552473577074</v>
      </c>
      <c r="GE52" s="19">
        <v>1205</v>
      </c>
      <c r="GF52" s="19">
        <v>1515</v>
      </c>
      <c r="GG52" s="19">
        <v>0.114</v>
      </c>
      <c r="GH52" s="19">
        <v>4.9000000000000002E-2</v>
      </c>
      <c r="GI52" s="19">
        <v>3.1E-2</v>
      </c>
      <c r="GJ52" s="19">
        <v>1410352</v>
      </c>
      <c r="GK52" s="19">
        <v>609</v>
      </c>
      <c r="GL52" s="19">
        <v>1</v>
      </c>
      <c r="GM52" s="19">
        <v>0</v>
      </c>
      <c r="GN52" s="19">
        <v>13.428416144948951</v>
      </c>
      <c r="GO52" s="19">
        <f>DataTable[[#This Row],[Sens_17]]/AVERAGEIF(DataTable[Strålkälla],DataTable[[#This Row],[Strålkälla]],DataTable[Sens_17])</f>
        <v>0.99885509984540344</v>
      </c>
      <c r="GP52" s="19">
        <v>1428</v>
      </c>
      <c r="GQ52" s="19">
        <v>1771</v>
      </c>
      <c r="GR52" s="19">
        <v>0.107</v>
      </c>
      <c r="GS52" s="19">
        <v>3.7999999999999999E-2</v>
      </c>
      <c r="GT52" s="19">
        <v>2.8000000000000001E-2</v>
      </c>
      <c r="GU52" s="19">
        <v>1630533</v>
      </c>
      <c r="GV52" s="19">
        <v>609</v>
      </c>
      <c r="GW52" s="19">
        <v>0</v>
      </c>
      <c r="GX52" s="19">
        <v>0</v>
      </c>
      <c r="GY52" s="19">
        <v>15.52483044096229</v>
      </c>
      <c r="GZ52" s="19">
        <f>DataTable[[#This Row],[Sens_18]]/AVERAGEIF(DataTable[Strålkälla],DataTable[[#This Row],[Strålkälla]],DataTable[Sens_18])</f>
        <v>0.99787758339793675</v>
      </c>
      <c r="HA52" s="19">
        <v>1319</v>
      </c>
      <c r="HB52" s="19">
        <v>1620</v>
      </c>
      <c r="HC52" s="19">
        <v>0.10199999999999999</v>
      </c>
      <c r="HD52" s="19">
        <v>5.0999999999999997E-2</v>
      </c>
      <c r="HE52" s="19">
        <v>0.03</v>
      </c>
      <c r="HF52" s="19">
        <v>1488674</v>
      </c>
      <c r="HG52" s="19">
        <v>609</v>
      </c>
      <c r="HH52" s="19">
        <v>0</v>
      </c>
      <c r="HI52" s="19">
        <v>0</v>
      </c>
      <c r="HJ52" s="19">
        <v>14.174145161041878</v>
      </c>
      <c r="HK52" s="19">
        <f>DataTable[[#This Row],[Sens_19]]/AVERAGEIF(DataTable[Strålkälla],DataTable[[#This Row],[Strålkälla]],DataTable[Sens_19])</f>
        <v>1.0002664451468104</v>
      </c>
      <c r="HL52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0.115</v>
      </c>
      <c r="HM52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9.710526315789475E-2</v>
      </c>
      <c r="HN52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5.0999999999999997E-2</v>
      </c>
      <c r="HO52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4.1526315789473689E-2</v>
      </c>
      <c r="HP52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0.99782108453760454</v>
      </c>
      <c r="HQ52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0.99997571362164661</v>
      </c>
      <c r="HR52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1.0021805106122019</v>
      </c>
      <c r="HS52" s="49"/>
    </row>
    <row r="53" spans="2:227" x14ac:dyDescent="0.25">
      <c r="B53" s="19" t="s">
        <v>43</v>
      </c>
      <c r="C53" s="20">
        <v>42522</v>
      </c>
      <c r="D53" s="21">
        <v>0.32001157407407405</v>
      </c>
      <c r="E53" s="13" t="s">
        <v>217</v>
      </c>
      <c r="F53" s="13">
        <v>109.8</v>
      </c>
      <c r="G53" s="13">
        <v>134.19999999999999</v>
      </c>
      <c r="H53" s="24">
        <v>29.817399999999999</v>
      </c>
      <c r="I53" s="22">
        <f>MATCH(DataTable[[#This Row],[Datum]],Övrigt!$D$10:$M$10,1)</f>
        <v>1</v>
      </c>
      <c r="J53" s="13"/>
      <c r="K53" s="22">
        <v>1831</v>
      </c>
      <c r="L53" s="22">
        <v>2210</v>
      </c>
      <c r="M53" s="23">
        <v>9.4E-2</v>
      </c>
      <c r="N53" s="23">
        <v>4.1000000000000002E-2</v>
      </c>
      <c r="O53" s="23">
        <v>2.7E-2</v>
      </c>
      <c r="P53" s="22">
        <v>2079550</v>
      </c>
      <c r="Q53" s="24">
        <v>593</v>
      </c>
      <c r="R53" s="22">
        <v>0</v>
      </c>
      <c r="S53" s="22">
        <v>0</v>
      </c>
      <c r="T53" s="19">
        <v>20.700638763786124</v>
      </c>
      <c r="U53" s="23">
        <f>DataTable[[#This Row],[Sens_1]]/AVERAGEIF(DataTable[Strålkälla],DataTable[[#This Row],[Strålkälla]],DataTable[Sens_1])</f>
        <v>0.99983829594098583</v>
      </c>
      <c r="V53" s="22">
        <v>2214</v>
      </c>
      <c r="W53" s="22">
        <v>2659</v>
      </c>
      <c r="X53" s="23">
        <v>9.0999999999999998E-2</v>
      </c>
      <c r="Y53" s="23">
        <v>0.03</v>
      </c>
      <c r="Z53" s="23">
        <v>2.4E-2</v>
      </c>
      <c r="AA53" s="22">
        <v>2453727</v>
      </c>
      <c r="AB53" s="24">
        <v>593</v>
      </c>
      <c r="AC53" s="22">
        <v>0</v>
      </c>
      <c r="AD53" s="22">
        <v>1</v>
      </c>
      <c r="AE53" s="19">
        <v>24.425340218772632</v>
      </c>
      <c r="AF53" s="23">
        <f>DataTable[[#This Row],[Sens_2]]/AVERAGEIF(DataTable[Strålkälla],DataTable[[#This Row],[Strålkälla]],DataTable[Sens_2])</f>
        <v>0.99960630745963996</v>
      </c>
      <c r="AG53" s="22">
        <v>1913</v>
      </c>
      <c r="AH53" s="22">
        <v>2302</v>
      </c>
      <c r="AI53" s="23">
        <v>9.1999999999999998E-2</v>
      </c>
      <c r="AJ53" s="23">
        <v>4.2000000000000003E-2</v>
      </c>
      <c r="AK53" s="23">
        <v>2.5000000000000001E-2</v>
      </c>
      <c r="AL53" s="22">
        <v>2176096</v>
      </c>
      <c r="AM53" s="24">
        <v>593</v>
      </c>
      <c r="AN53" s="22">
        <v>0</v>
      </c>
      <c r="AO53" s="22">
        <v>0</v>
      </c>
      <c r="AP53" s="19">
        <v>21.661694699006961</v>
      </c>
      <c r="AQ53" s="23">
        <f>DataTable[[#This Row],[Sens_3]]/AVERAGEIF(DataTable[Strålkälla],DataTable[[#This Row],[Strålkälla]],DataTable[Sens_3])</f>
        <v>1.0011854231202599</v>
      </c>
      <c r="AR53" s="22">
        <v>1806</v>
      </c>
      <c r="AS53" s="22">
        <v>2247</v>
      </c>
      <c r="AT53" s="23">
        <v>0.109</v>
      </c>
      <c r="AU53" s="23">
        <v>4.5999999999999999E-2</v>
      </c>
      <c r="AV53" s="23">
        <v>2.5999999999999999E-2</v>
      </c>
      <c r="AW53" s="22">
        <v>2071858</v>
      </c>
      <c r="AX53" s="24">
        <v>593</v>
      </c>
      <c r="AY53" s="22">
        <v>1</v>
      </c>
      <c r="AZ53" s="22">
        <v>1</v>
      </c>
      <c r="BA53" s="19">
        <v>20.624069643846212</v>
      </c>
      <c r="BB53" s="23">
        <f>DataTable[[#This Row],[Sens_4]]/AVERAGEIF(DataTable[Strålkälla],DataTable[[#This Row],[Strålkälla]],DataTable[Sens_4])</f>
        <v>1.0015592586847488</v>
      </c>
      <c r="BC53" s="22">
        <v>2094</v>
      </c>
      <c r="BD53" s="22">
        <v>2462</v>
      </c>
      <c r="BE53" s="19">
        <v>8.1000000000000003E-2</v>
      </c>
      <c r="BF53" s="19">
        <v>4.4999999999999998E-2</v>
      </c>
      <c r="BG53" s="19">
        <v>2.4E-2</v>
      </c>
      <c r="BH53" s="19">
        <v>2316425</v>
      </c>
      <c r="BI53" s="19">
        <v>593</v>
      </c>
      <c r="BJ53" s="19">
        <v>0</v>
      </c>
      <c r="BK53" s="19">
        <v>0</v>
      </c>
      <c r="BL53" s="19">
        <v>23.058583418721966</v>
      </c>
      <c r="BM53" s="23">
        <f>DataTable[[#This Row],[Sens_5]]/AVERAGEIF(DataTable[Strålkälla],DataTable[[#This Row],[Strålkälla]],DataTable[Sens_5])</f>
        <v>1.0014059973928291</v>
      </c>
      <c r="BN53" s="19">
        <v>2051</v>
      </c>
      <c r="BO53" s="19">
        <v>2436</v>
      </c>
      <c r="BP53" s="19">
        <v>8.5999999999999993E-2</v>
      </c>
      <c r="BQ53" s="19">
        <v>3.2000000000000001E-2</v>
      </c>
      <c r="BR53" s="19">
        <v>2.4E-2</v>
      </c>
      <c r="BS53" s="19">
        <v>2300197</v>
      </c>
      <c r="BT53" s="19">
        <v>593</v>
      </c>
      <c r="BU53" s="19">
        <v>0</v>
      </c>
      <c r="BV53" s="19">
        <v>0</v>
      </c>
      <c r="BW53" s="19">
        <v>22.897043678942342</v>
      </c>
      <c r="BX53" s="23">
        <f>DataTable[[#This Row],[Sens_6]]/AVERAGEIF(DataTable[Strålkälla],DataTable[[#This Row],[Strålkälla]],DataTable[Sens_6])</f>
        <v>0.99762788510728095</v>
      </c>
      <c r="BY53" s="19">
        <v>1888</v>
      </c>
      <c r="BZ53" s="19">
        <v>2243</v>
      </c>
      <c r="CA53" s="19">
        <v>8.5999999999999993E-2</v>
      </c>
      <c r="CB53" s="19">
        <v>3.4000000000000002E-2</v>
      </c>
      <c r="CC53" s="19">
        <v>2.5999999999999999E-2</v>
      </c>
      <c r="CD53" s="19">
        <v>2108722</v>
      </c>
      <c r="CE53" s="19">
        <v>593</v>
      </c>
      <c r="CF53" s="19">
        <v>0</v>
      </c>
      <c r="CG53" s="19">
        <v>0</v>
      </c>
      <c r="CH53" s="19">
        <v>20.991028047052776</v>
      </c>
      <c r="CI53" s="23">
        <f>DataTable[[#This Row],[Sens_7]]/AVERAGEIF(DataTable[Strålkälla],DataTable[[#This Row],[Strålkälla]],DataTable[Sens_7])</f>
        <v>0.99872453612925605</v>
      </c>
      <c r="CJ53" s="19">
        <v>2147</v>
      </c>
      <c r="CK53" s="19">
        <v>2590</v>
      </c>
      <c r="CL53" s="19">
        <v>9.4E-2</v>
      </c>
      <c r="CM53" s="19">
        <v>3.9E-2</v>
      </c>
      <c r="CN53" s="19">
        <v>2.5000000000000001E-2</v>
      </c>
      <c r="CO53" s="19">
        <v>2442812</v>
      </c>
      <c r="CP53" s="19">
        <v>593</v>
      </c>
      <c r="CQ53" s="19">
        <v>0</v>
      </c>
      <c r="CR53" s="19">
        <v>0</v>
      </c>
      <c r="CS53" s="19">
        <v>24.316688119949944</v>
      </c>
      <c r="CT53" s="23">
        <f>DataTable[[#This Row],[Sens_8]]/AVERAGEIF(DataTable[Strålkälla],DataTable[[#This Row],[Strålkälla]],DataTable[Sens_8])</f>
        <v>0.99667178039895743</v>
      </c>
      <c r="CU53" s="19">
        <v>1749</v>
      </c>
      <c r="CV53" s="19">
        <v>2092</v>
      </c>
      <c r="CW53" s="19">
        <v>8.8999999999999996E-2</v>
      </c>
      <c r="CX53" s="19">
        <v>3.9E-2</v>
      </c>
      <c r="CY53" s="19">
        <v>2.5999999999999999E-2</v>
      </c>
      <c r="CZ53" s="19">
        <v>1972846</v>
      </c>
      <c r="DA53" s="19">
        <v>576</v>
      </c>
      <c r="DB53" s="19">
        <v>0</v>
      </c>
      <c r="DC53" s="19">
        <v>0</v>
      </c>
      <c r="DD53" s="19">
        <v>20.218073707578107</v>
      </c>
      <c r="DE53" s="23">
        <f>DataTable[[#This Row],[Sens_9]]/AVERAGEIF(DataTable[Strålkälla],DataTable[[#This Row],[Strålkälla]],DataTable[Sens_9])</f>
        <v>1.0017957201541037</v>
      </c>
      <c r="DF53" s="19">
        <v>1708</v>
      </c>
      <c r="DG53" s="19">
        <v>2017</v>
      </c>
      <c r="DH53" s="19">
        <v>8.3000000000000004E-2</v>
      </c>
      <c r="DI53" s="19">
        <v>3.5000000000000003E-2</v>
      </c>
      <c r="DJ53" s="19">
        <v>2.5000000000000001E-2</v>
      </c>
      <c r="DK53" s="19">
        <v>1903434</v>
      </c>
      <c r="DL53" s="19">
        <v>576</v>
      </c>
      <c r="DM53" s="19">
        <v>0</v>
      </c>
      <c r="DN53" s="19">
        <v>0</v>
      </c>
      <c r="DO53" s="19">
        <v>19.50672729118757</v>
      </c>
      <c r="DP53" s="23">
        <f>DataTable[[#This Row],[Sens_10]]/AVERAGEIF(DataTable[Strålkälla],DataTable[[#This Row],[Strålkälla]],DataTable[Sens_10])</f>
        <v>0.99982198296615055</v>
      </c>
      <c r="DQ53" s="19">
        <v>1489</v>
      </c>
      <c r="DR53" s="19">
        <v>1777</v>
      </c>
      <c r="DS53" s="19">
        <v>8.7999999999999995E-2</v>
      </c>
      <c r="DT53" s="19">
        <v>3.7999999999999999E-2</v>
      </c>
      <c r="DU53" s="19">
        <v>2.7E-2</v>
      </c>
      <c r="DV53" s="19">
        <v>1675306</v>
      </c>
      <c r="DW53" s="19">
        <v>576</v>
      </c>
      <c r="DX53" s="19">
        <v>0</v>
      </c>
      <c r="DY53" s="19">
        <v>0</v>
      </c>
      <c r="DZ53" s="19">
        <v>17.168831318180867</v>
      </c>
      <c r="EA53" s="23">
        <f>DataTable[[#This Row],[Sens_11]]/AVERAGEIF(DataTable[Strålkälla],DataTable[[#This Row],[Strålkälla]],DataTable[Sens_11])</f>
        <v>0.99993256670150288</v>
      </c>
      <c r="EB53" s="19">
        <v>1761</v>
      </c>
      <c r="EC53" s="19">
        <v>2127</v>
      </c>
      <c r="ED53" s="19">
        <v>9.4E-2</v>
      </c>
      <c r="EE53" s="19">
        <v>4.1000000000000002E-2</v>
      </c>
      <c r="EF53" s="19">
        <v>2.5999999999999999E-2</v>
      </c>
      <c r="EG53" s="19">
        <v>1998869</v>
      </c>
      <c r="EH53" s="19">
        <v>576</v>
      </c>
      <c r="EI53" s="19">
        <v>0</v>
      </c>
      <c r="EJ53" s="19">
        <v>0</v>
      </c>
      <c r="EK53" s="19">
        <v>20.484762000578325</v>
      </c>
      <c r="EL53" s="23">
        <f>DataTable[[#This Row],[Sens_12]]/AVERAGEIF(DataTable[Strålkälla],DataTable[[#This Row],[Strålkälla]],DataTable[Sens_12])</f>
        <v>1.0008494031055193</v>
      </c>
      <c r="EM53" s="19">
        <v>1480</v>
      </c>
      <c r="EN53" s="19">
        <v>1814</v>
      </c>
      <c r="EO53" s="19">
        <v>0.10100000000000001</v>
      </c>
      <c r="EP53" s="19">
        <v>4.2999999999999997E-2</v>
      </c>
      <c r="EQ53" s="19">
        <v>2.7E-2</v>
      </c>
      <c r="ER53" s="19">
        <v>1700331</v>
      </c>
      <c r="ES53" s="19">
        <v>620</v>
      </c>
      <c r="ET53" s="19">
        <v>1</v>
      </c>
      <c r="EU53" s="19">
        <v>0</v>
      </c>
      <c r="EV53" s="19">
        <v>16.188658310266614</v>
      </c>
      <c r="EW53" s="19">
        <f>DataTable[[#This Row],[Sens_13]]/AVERAGEIF(DataTable[Strålkälla],DataTable[[#This Row],[Strålkälla]],DataTable[Sens_13])</f>
        <v>0.99724605892754925</v>
      </c>
      <c r="EX53" s="19">
        <v>1215</v>
      </c>
      <c r="EY53" s="19">
        <v>1553</v>
      </c>
      <c r="EZ53" s="19">
        <v>0.122</v>
      </c>
      <c r="FA53" s="19">
        <v>6.7000000000000004E-2</v>
      </c>
      <c r="FB53" s="19">
        <v>0.03</v>
      </c>
      <c r="FC53" s="19">
        <v>1452851</v>
      </c>
      <c r="FD53" s="19">
        <v>620</v>
      </c>
      <c r="FE53" s="19">
        <v>1</v>
      </c>
      <c r="FF53" s="19">
        <v>0</v>
      </c>
      <c r="FG53" s="19">
        <v>13.832429341539477</v>
      </c>
      <c r="FH53" s="19">
        <f>DataTable[[#This Row],[Sens_14]]/AVERAGEIF(DataTable[Strålkälla],DataTable[[#This Row],[Strålkälla]],DataTable[Sens_14])</f>
        <v>0.99851834111652349</v>
      </c>
      <c r="FI53" s="19">
        <v>1464</v>
      </c>
      <c r="FJ53" s="19">
        <v>1718</v>
      </c>
      <c r="FK53" s="19">
        <v>0.08</v>
      </c>
      <c r="FL53" s="19">
        <v>3.5000000000000003E-2</v>
      </c>
      <c r="FM53" s="19">
        <v>2.7E-2</v>
      </c>
      <c r="FN53" s="19">
        <v>1626579</v>
      </c>
      <c r="FO53" s="19">
        <v>620</v>
      </c>
      <c r="FP53" s="19">
        <v>0</v>
      </c>
      <c r="FQ53" s="19">
        <v>0</v>
      </c>
      <c r="FR53" s="19">
        <v>15.486473895762154</v>
      </c>
      <c r="FS53" s="19">
        <f>DataTable[[#This Row],[Sens_15]]/AVERAGEIF(DataTable[Strålkälla],DataTable[[#This Row],[Strålkälla]],DataTable[Sens_15])</f>
        <v>1.0012836721612468</v>
      </c>
      <c r="FT53" s="19">
        <v>1316</v>
      </c>
      <c r="FU53" s="19">
        <v>1561</v>
      </c>
      <c r="FV53" s="19">
        <v>8.5000000000000006E-2</v>
      </c>
      <c r="FW53" s="19">
        <v>4.2999999999999997E-2</v>
      </c>
      <c r="FX53" s="19">
        <v>2.8000000000000001E-2</v>
      </c>
      <c r="FY53" s="19">
        <v>1469278</v>
      </c>
      <c r="FZ53" s="19">
        <v>620</v>
      </c>
      <c r="GA53" s="19">
        <v>0</v>
      </c>
      <c r="GB53" s="19">
        <v>0</v>
      </c>
      <c r="GC53" s="19">
        <v>13.988828942595243</v>
      </c>
      <c r="GD53" s="19">
        <f>DataTable[[#This Row],[Sens_16]]/AVERAGEIF(DataTable[Strålkälla],DataTable[[#This Row],[Strålkälla]],DataTable[Sens_16])</f>
        <v>1.0017459672632982</v>
      </c>
      <c r="GE53" s="19">
        <v>1235</v>
      </c>
      <c r="GF53" s="19">
        <v>1518</v>
      </c>
      <c r="GG53" s="19">
        <v>0.10299999999999999</v>
      </c>
      <c r="GH53" s="19">
        <v>5.0999999999999997E-2</v>
      </c>
      <c r="GI53" s="19">
        <v>0.03</v>
      </c>
      <c r="GJ53" s="19">
        <v>1410217</v>
      </c>
      <c r="GK53" s="19">
        <v>620</v>
      </c>
      <c r="GL53" s="19">
        <v>0</v>
      </c>
      <c r="GM53" s="19">
        <v>0</v>
      </c>
      <c r="GN53" s="19">
        <v>13.426515870338925</v>
      </c>
      <c r="GO53" s="19">
        <f>DataTable[[#This Row],[Sens_17]]/AVERAGEIF(DataTable[Strålkälla],DataTable[[#This Row],[Strålkälla]],DataTable[Sens_17])</f>
        <v>0.99871375041410471</v>
      </c>
      <c r="GP53" s="19">
        <v>1424</v>
      </c>
      <c r="GQ53" s="19">
        <v>1756</v>
      </c>
      <c r="GR53" s="19">
        <v>0.104</v>
      </c>
      <c r="GS53" s="19">
        <v>4.8000000000000001E-2</v>
      </c>
      <c r="GT53" s="19">
        <v>2.9000000000000001E-2</v>
      </c>
      <c r="GU53" s="19">
        <v>1631403</v>
      </c>
      <c r="GV53" s="19">
        <v>620</v>
      </c>
      <c r="GW53" s="19">
        <v>0</v>
      </c>
      <c r="GX53" s="19">
        <v>0</v>
      </c>
      <c r="GY53" s="19">
        <v>15.532402651803611</v>
      </c>
      <c r="GZ53" s="19">
        <f>DataTable[[#This Row],[Sens_18]]/AVERAGEIF(DataTable[Strålkälla],DataTable[[#This Row],[Strålkälla]],DataTable[Sens_18])</f>
        <v>0.99836429656907577</v>
      </c>
      <c r="HA53" s="19">
        <v>1311</v>
      </c>
      <c r="HB53" s="19">
        <v>1595</v>
      </c>
      <c r="HC53" s="19">
        <v>9.8000000000000004E-2</v>
      </c>
      <c r="HD53" s="19">
        <v>5.1999999999999998E-2</v>
      </c>
      <c r="HE53" s="19">
        <v>2.9000000000000001E-2</v>
      </c>
      <c r="HF53" s="19">
        <v>1486569</v>
      </c>
      <c r="HG53" s="19">
        <v>620</v>
      </c>
      <c r="HH53" s="19">
        <v>0</v>
      </c>
      <c r="HI53" s="19">
        <v>0</v>
      </c>
      <c r="HJ53" s="19">
        <v>14.153454589509179</v>
      </c>
      <c r="HK53" s="19">
        <f>DataTable[[#This Row],[Sens_19]]/AVERAGEIF(DataTable[Strålkälla],DataTable[[#This Row],[Strålkälla]],DataTable[Sens_19])</f>
        <v>0.99880631586212154</v>
      </c>
      <c r="HL53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0.122</v>
      </c>
      <c r="HM53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9.36842105263158E-2</v>
      </c>
      <c r="HN53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6.7000000000000004E-2</v>
      </c>
      <c r="HO53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4.2157894736842116E-2</v>
      </c>
      <c r="HP53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0.99667178039895743</v>
      </c>
      <c r="HQ53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0.99966829260395551</v>
      </c>
      <c r="HR53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1.0017957201541037</v>
      </c>
      <c r="HS53" s="49"/>
    </row>
    <row r="54" spans="2:227" x14ac:dyDescent="0.25">
      <c r="B54" s="19" t="s">
        <v>43</v>
      </c>
      <c r="C54" s="20">
        <v>42528</v>
      </c>
      <c r="D54" s="21">
        <v>0.30472222222222223</v>
      </c>
      <c r="E54" s="13" t="s">
        <v>217</v>
      </c>
      <c r="F54" s="13">
        <v>109.8</v>
      </c>
      <c r="G54" s="13">
        <v>134.19999999999999</v>
      </c>
      <c r="H54" s="24">
        <v>30.304300000000001</v>
      </c>
      <c r="I54" s="22">
        <f>MATCH(DataTable[[#This Row],[Datum]],Övrigt!$D$10:$M$10,1)</f>
        <v>1</v>
      </c>
      <c r="J54" s="13"/>
      <c r="K54" s="22">
        <v>1708</v>
      </c>
      <c r="L54" s="22">
        <v>2222</v>
      </c>
      <c r="M54" s="23">
        <v>0.13100000000000001</v>
      </c>
      <c r="N54" s="23">
        <v>6.2E-2</v>
      </c>
      <c r="O54" s="23">
        <v>2.5999999999999999E-2</v>
      </c>
      <c r="P54" s="22">
        <v>2079732</v>
      </c>
      <c r="Q54" s="24">
        <v>602</v>
      </c>
      <c r="R54" s="22">
        <v>2</v>
      </c>
      <c r="S54" s="22">
        <v>0</v>
      </c>
      <c r="T54" s="19">
        <v>20.707452663216461</v>
      </c>
      <c r="U54" s="23">
        <f>DataTable[[#This Row],[Sens_1]]/AVERAGEIF(DataTable[Strålkälla],DataTable[[#This Row],[Strålkälla]],DataTable[Sens_1])</f>
        <v>1.0001674064420134</v>
      </c>
      <c r="V54" s="22">
        <v>2084</v>
      </c>
      <c r="W54" s="22">
        <v>2625</v>
      </c>
      <c r="X54" s="23">
        <v>0.115</v>
      </c>
      <c r="Y54" s="23">
        <v>4.5999999999999999E-2</v>
      </c>
      <c r="Z54" s="23">
        <v>2.4E-2</v>
      </c>
      <c r="AA54" s="22">
        <v>2450222</v>
      </c>
      <c r="AB54" s="24">
        <v>602</v>
      </c>
      <c r="AC54" s="22">
        <v>1</v>
      </c>
      <c r="AD54" s="22">
        <v>1</v>
      </c>
      <c r="AE54" s="19">
        <v>24.396343413176105</v>
      </c>
      <c r="AF54" s="23">
        <f>DataTable[[#This Row],[Sens_2]]/AVERAGEIF(DataTable[Strålkälla],DataTable[[#This Row],[Strålkälla]],DataTable[Sens_2])</f>
        <v>0.99841961407028068</v>
      </c>
      <c r="AG54" s="22">
        <v>1931</v>
      </c>
      <c r="AH54" s="22">
        <v>2355</v>
      </c>
      <c r="AI54" s="23">
        <v>9.9000000000000005E-2</v>
      </c>
      <c r="AJ54" s="23">
        <v>4.3999999999999997E-2</v>
      </c>
      <c r="AK54" s="23">
        <v>2.4E-2</v>
      </c>
      <c r="AL54" s="22">
        <v>2178843</v>
      </c>
      <c r="AM54" s="24">
        <v>602</v>
      </c>
      <c r="AN54" s="22">
        <v>0</v>
      </c>
      <c r="AO54" s="22">
        <v>2</v>
      </c>
      <c r="AP54" s="19">
        <v>21.694279976016404</v>
      </c>
      <c r="AQ54" s="23">
        <f>DataTable[[#This Row],[Sens_3]]/AVERAGEIF(DataTable[Strålkälla],DataTable[[#This Row],[Strålkälla]],DataTable[Sens_3])</f>
        <v>1.0026914873873223</v>
      </c>
      <c r="AR54" s="22">
        <v>1854</v>
      </c>
      <c r="AS54" s="22">
        <v>2191</v>
      </c>
      <c r="AT54" s="23">
        <v>8.3000000000000004E-2</v>
      </c>
      <c r="AU54" s="23">
        <v>3.4000000000000002E-2</v>
      </c>
      <c r="AV54" s="23">
        <v>2.5000000000000001E-2</v>
      </c>
      <c r="AW54" s="22">
        <v>2071869</v>
      </c>
      <c r="AX54" s="24">
        <v>602</v>
      </c>
      <c r="AY54" s="22">
        <v>0</v>
      </c>
      <c r="AZ54" s="22">
        <v>0</v>
      </c>
      <c r="BA54" s="19">
        <v>20.629162431450602</v>
      </c>
      <c r="BB54" s="23">
        <f>DataTable[[#This Row],[Sens_4]]/AVERAGEIF(DataTable[Strålkälla],DataTable[[#This Row],[Strålkälla]],DataTable[Sens_4])</f>
        <v>1.0018065778931193</v>
      </c>
      <c r="BC54" s="22">
        <v>2000</v>
      </c>
      <c r="BD54" s="22">
        <v>2463</v>
      </c>
      <c r="BE54" s="19">
        <v>0.104</v>
      </c>
      <c r="BF54" s="19">
        <v>4.2000000000000003E-2</v>
      </c>
      <c r="BG54" s="19">
        <v>2.4E-2</v>
      </c>
      <c r="BH54" s="19">
        <v>2316847</v>
      </c>
      <c r="BI54" s="19">
        <v>602</v>
      </c>
      <c r="BJ54" s="19">
        <v>1</v>
      </c>
      <c r="BK54" s="19">
        <v>0</v>
      </c>
      <c r="BL54" s="19">
        <v>23.068356682695207</v>
      </c>
      <c r="BM54" s="23">
        <f>DataTable[[#This Row],[Sens_5]]/AVERAGEIF(DataTable[Strålkälla],DataTable[[#This Row],[Strålkälla]],DataTable[Sens_5])</f>
        <v>1.0018304382606475</v>
      </c>
      <c r="BN54" s="19">
        <v>2066</v>
      </c>
      <c r="BO54" s="19">
        <v>2455</v>
      </c>
      <c r="BP54" s="19">
        <v>8.5999999999999993E-2</v>
      </c>
      <c r="BQ54" s="19">
        <v>0.04</v>
      </c>
      <c r="BR54" s="19">
        <v>2.4E-2</v>
      </c>
      <c r="BS54" s="19">
        <v>2296455</v>
      </c>
      <c r="BT54" s="19">
        <v>602</v>
      </c>
      <c r="BU54" s="19">
        <v>0</v>
      </c>
      <c r="BV54" s="19">
        <v>0</v>
      </c>
      <c r="BW54" s="19">
        <v>22.865317841773248</v>
      </c>
      <c r="BX54" s="23">
        <f>DataTable[[#This Row],[Sens_6]]/AVERAGEIF(DataTable[Strålkälla],DataTable[[#This Row],[Strålkälla]],DataTable[Sens_6])</f>
        <v>0.99624558526621587</v>
      </c>
      <c r="BY54" s="19">
        <v>1868</v>
      </c>
      <c r="BZ54" s="19">
        <v>2258</v>
      </c>
      <c r="CA54" s="19">
        <v>9.5000000000000001E-2</v>
      </c>
      <c r="CB54" s="19">
        <v>3.9E-2</v>
      </c>
      <c r="CC54" s="19">
        <v>2.7E-2</v>
      </c>
      <c r="CD54" s="19">
        <v>2110341</v>
      </c>
      <c r="CE54" s="19">
        <v>602</v>
      </c>
      <c r="CF54" s="19">
        <v>0</v>
      </c>
      <c r="CG54" s="19">
        <v>0</v>
      </c>
      <c r="CH54" s="19">
        <v>21.012220017168026</v>
      </c>
      <c r="CI54" s="23">
        <f>DataTable[[#This Row],[Sens_7]]/AVERAGEIF(DataTable[Strålkälla],DataTable[[#This Row],[Strålkälla]],DataTable[Sens_7])</f>
        <v>0.99973282121541651</v>
      </c>
      <c r="CJ54" s="19">
        <v>2155</v>
      </c>
      <c r="CK54" s="19">
        <v>2638</v>
      </c>
      <c r="CL54" s="19">
        <v>0.10100000000000001</v>
      </c>
      <c r="CM54" s="19">
        <v>3.9E-2</v>
      </c>
      <c r="CN54" s="19">
        <v>2.5000000000000001E-2</v>
      </c>
      <c r="CO54" s="19">
        <v>2444645</v>
      </c>
      <c r="CP54" s="19">
        <v>602</v>
      </c>
      <c r="CQ54" s="19">
        <v>0</v>
      </c>
      <c r="CR54" s="19">
        <v>1</v>
      </c>
      <c r="CS54" s="19">
        <v>24.340814401023213</v>
      </c>
      <c r="CT54" s="23">
        <f>DataTable[[#This Row],[Sens_8]]/AVERAGEIF(DataTable[Strålkälla],DataTable[[#This Row],[Strålkälla]],DataTable[Sens_8])</f>
        <v>0.9976606479368838</v>
      </c>
      <c r="CU54" s="19">
        <v>1738</v>
      </c>
      <c r="CV54" s="19">
        <v>2079</v>
      </c>
      <c r="CW54" s="19">
        <v>8.8999999999999996E-2</v>
      </c>
      <c r="CX54" s="19">
        <v>4.2000000000000003E-2</v>
      </c>
      <c r="CY54" s="19">
        <v>2.5999999999999999E-2</v>
      </c>
      <c r="CZ54" s="19">
        <v>1971965</v>
      </c>
      <c r="DA54" s="19">
        <v>586</v>
      </c>
      <c r="DB54" s="19">
        <v>0</v>
      </c>
      <c r="DC54" s="19">
        <v>0</v>
      </c>
      <c r="DD54" s="19">
        <v>20.170533293110434</v>
      </c>
      <c r="DE54" s="23">
        <f>DataTable[[#This Row],[Sens_9]]/AVERAGEIF(DataTable[Strålkälla],DataTable[[#This Row],[Strålkälla]],DataTable[Sens_9])</f>
        <v>0.99944011573615077</v>
      </c>
      <c r="DF54" s="19">
        <v>1641</v>
      </c>
      <c r="DG54" s="19">
        <v>2044</v>
      </c>
      <c r="DH54" s="19">
        <v>0.109</v>
      </c>
      <c r="DI54" s="19">
        <v>4.7E-2</v>
      </c>
      <c r="DJ54" s="19">
        <v>2.7E-2</v>
      </c>
      <c r="DK54" s="19">
        <v>1901796</v>
      </c>
      <c r="DL54" s="19">
        <v>586</v>
      </c>
      <c r="DM54" s="19">
        <v>2</v>
      </c>
      <c r="DN54" s="19">
        <v>0</v>
      </c>
      <c r="DO54" s="19">
        <v>19.452799382699109</v>
      </c>
      <c r="DP54" s="23">
        <f>DataTable[[#This Row],[Sens_10]]/AVERAGEIF(DataTable[Strålkälla],DataTable[[#This Row],[Strålkälla]],DataTable[Sens_10])</f>
        <v>0.99705789509034837</v>
      </c>
      <c r="DQ54" s="19">
        <v>1453</v>
      </c>
      <c r="DR54" s="19">
        <v>1792</v>
      </c>
      <c r="DS54" s="19">
        <v>0.104</v>
      </c>
      <c r="DT54" s="19">
        <v>3.9E-2</v>
      </c>
      <c r="DU54" s="19">
        <v>2.8000000000000001E-2</v>
      </c>
      <c r="DV54" s="19">
        <v>1676801</v>
      </c>
      <c r="DW54" s="19">
        <v>586</v>
      </c>
      <c r="DX54" s="19">
        <v>1</v>
      </c>
      <c r="DY54" s="19">
        <v>0</v>
      </c>
      <c r="DZ54" s="19">
        <v>17.151405018050962</v>
      </c>
      <c r="EA54" s="23">
        <f>DataTable[[#This Row],[Sens_11]]/AVERAGEIF(DataTable[Strålkälla],DataTable[[#This Row],[Strålkälla]],DataTable[Sens_11])</f>
        <v>0.99891763885381912</v>
      </c>
      <c r="EB54" s="19">
        <v>1732</v>
      </c>
      <c r="EC54" s="19">
        <v>2133</v>
      </c>
      <c r="ED54" s="19">
        <v>0.104</v>
      </c>
      <c r="EE54" s="19">
        <v>4.3999999999999997E-2</v>
      </c>
      <c r="EF54" s="19">
        <v>2.5999999999999999E-2</v>
      </c>
      <c r="EG54" s="19">
        <v>1999821</v>
      </c>
      <c r="EH54" s="19">
        <v>586</v>
      </c>
      <c r="EI54" s="19">
        <v>1</v>
      </c>
      <c r="EJ54" s="19">
        <v>0</v>
      </c>
      <c r="EK54" s="19">
        <v>20.455462475632885</v>
      </c>
      <c r="EL54" s="23">
        <f>DataTable[[#This Row],[Sens_12]]/AVERAGEIF(DataTable[Strålkälla],DataTable[[#This Row],[Strålkälla]],DataTable[Sens_12])</f>
        <v>0.99941787990539166</v>
      </c>
      <c r="EM54" s="19">
        <v>1506</v>
      </c>
      <c r="EN54" s="19">
        <v>1845</v>
      </c>
      <c r="EO54" s="19">
        <v>0.10100000000000001</v>
      </c>
      <c r="EP54" s="19">
        <v>5.2999999999999999E-2</v>
      </c>
      <c r="EQ54" s="19">
        <v>2.8000000000000001E-2</v>
      </c>
      <c r="ER54" s="19">
        <v>1704273</v>
      </c>
      <c r="ES54" s="19">
        <v>630</v>
      </c>
      <c r="ET54" s="19">
        <v>0</v>
      </c>
      <c r="EU54" s="19">
        <v>0</v>
      </c>
      <c r="EV54" s="19">
        <v>16.214905000858124</v>
      </c>
      <c r="EW54" s="19">
        <f>DataTable[[#This Row],[Sens_13]]/AVERAGEIF(DataTable[Strålkälla],DataTable[[#This Row],[Strålkälla]],DataTable[Sens_13])</f>
        <v>0.99886289512549864</v>
      </c>
      <c r="EX54" s="19">
        <v>1263</v>
      </c>
      <c r="EY54" s="19">
        <v>1547</v>
      </c>
      <c r="EZ54" s="19">
        <v>0.10100000000000001</v>
      </c>
      <c r="FA54" s="19">
        <v>4.2999999999999997E-2</v>
      </c>
      <c r="FB54" s="19">
        <v>3.1E-2</v>
      </c>
      <c r="FC54" s="19">
        <v>1452433</v>
      </c>
      <c r="FD54" s="19">
        <v>630</v>
      </c>
      <c r="FE54" s="19">
        <v>0</v>
      </c>
      <c r="FF54" s="19">
        <v>0</v>
      </c>
      <c r="FG54" s="19">
        <v>13.818832496384891</v>
      </c>
      <c r="FH54" s="19">
        <f>DataTable[[#This Row],[Sens_14]]/AVERAGEIF(DataTable[Strålkälla],DataTable[[#This Row],[Strålkälla]],DataTable[Sens_14])</f>
        <v>0.99753682883600137</v>
      </c>
      <c r="FI54" s="19">
        <v>1383</v>
      </c>
      <c r="FJ54" s="19">
        <v>1737</v>
      </c>
      <c r="FK54" s="19">
        <v>0.113</v>
      </c>
      <c r="FL54" s="19">
        <v>3.6999999999999998E-2</v>
      </c>
      <c r="FM54" s="19">
        <v>2.7E-2</v>
      </c>
      <c r="FN54" s="19">
        <v>1625201</v>
      </c>
      <c r="FO54" s="19">
        <v>630</v>
      </c>
      <c r="FP54" s="19">
        <v>1</v>
      </c>
      <c r="FQ54" s="19">
        <v>0</v>
      </c>
      <c r="FR54" s="19">
        <v>15.462593036620087</v>
      </c>
      <c r="FS54" s="19">
        <f>DataTable[[#This Row],[Sens_15]]/AVERAGEIF(DataTable[Strålkälla],DataTable[[#This Row],[Strålkälla]],DataTable[Sens_15])</f>
        <v>0.99973964642000446</v>
      </c>
      <c r="FT54" s="19">
        <v>1284</v>
      </c>
      <c r="FU54" s="19">
        <v>1580</v>
      </c>
      <c r="FV54" s="19">
        <v>0.10299999999999999</v>
      </c>
      <c r="FW54" s="19">
        <v>4.2000000000000003E-2</v>
      </c>
      <c r="FX54" s="19">
        <v>2.9000000000000001E-2</v>
      </c>
      <c r="FY54" s="19">
        <v>1469919</v>
      </c>
      <c r="FZ54" s="19">
        <v>630</v>
      </c>
      <c r="GA54" s="19">
        <v>0</v>
      </c>
      <c r="GB54" s="19">
        <v>0</v>
      </c>
      <c r="GC54" s="19">
        <v>13.98519893465212</v>
      </c>
      <c r="GD54" s="19">
        <f>DataTable[[#This Row],[Sens_16]]/AVERAGEIF(DataTable[Strålkälla],DataTable[[#This Row],[Strålkälla]],DataTable[Sens_16])</f>
        <v>1.0014860208565561</v>
      </c>
      <c r="GE54" s="19">
        <v>1190</v>
      </c>
      <c r="GF54" s="19">
        <v>1517</v>
      </c>
      <c r="GG54" s="19">
        <v>0.121</v>
      </c>
      <c r="GH54" s="19">
        <v>5.3999999999999999E-2</v>
      </c>
      <c r="GI54" s="19">
        <v>3.1E-2</v>
      </c>
      <c r="GJ54" s="19">
        <v>1411810</v>
      </c>
      <c r="GK54" s="19">
        <v>630</v>
      </c>
      <c r="GL54" s="19">
        <v>1</v>
      </c>
      <c r="GM54" s="19">
        <v>0</v>
      </c>
      <c r="GN54" s="19">
        <v>13.432334508181206</v>
      </c>
      <c r="GO54" s="19">
        <f>DataTable[[#This Row],[Sens_17]]/AVERAGEIF(DataTable[Strålkälla],DataTable[[#This Row],[Strålkälla]],DataTable[Sens_17])</f>
        <v>0.99914656214857733</v>
      </c>
      <c r="GP54" s="19">
        <v>1459</v>
      </c>
      <c r="GQ54" s="19">
        <v>1736</v>
      </c>
      <c r="GR54" s="19">
        <v>8.6999999999999994E-2</v>
      </c>
      <c r="GS54" s="19">
        <v>3.5000000000000003E-2</v>
      </c>
      <c r="GT54" s="19">
        <v>2.8000000000000001E-2</v>
      </c>
      <c r="GU54" s="19">
        <v>1629949</v>
      </c>
      <c r="GV54" s="19">
        <v>630</v>
      </c>
      <c r="GW54" s="19">
        <v>0</v>
      </c>
      <c r="GX54" s="19">
        <v>0</v>
      </c>
      <c r="GY54" s="19">
        <v>15.507766766969668</v>
      </c>
      <c r="GZ54" s="19">
        <f>DataTable[[#This Row],[Sens_18]]/AVERAGEIF(DataTable[Strålkälla],DataTable[[#This Row],[Strålkälla]],DataTable[Sens_18])</f>
        <v>0.99678079475136183</v>
      </c>
      <c r="HA54" s="19">
        <v>1249</v>
      </c>
      <c r="HB54" s="19">
        <v>1599</v>
      </c>
      <c r="HC54" s="19">
        <v>0.123</v>
      </c>
      <c r="HD54" s="19">
        <v>4.7E-2</v>
      </c>
      <c r="HE54" s="19">
        <v>3.1E-2</v>
      </c>
      <c r="HF54" s="19">
        <v>1483169</v>
      </c>
      <c r="HG54" s="19">
        <v>630</v>
      </c>
      <c r="HH54" s="19">
        <v>1</v>
      </c>
      <c r="HI54" s="19">
        <v>0</v>
      </c>
      <c r="HJ54" s="19">
        <v>14.111262946263739</v>
      </c>
      <c r="HK54" s="19">
        <f>DataTable[[#This Row],[Sens_19]]/AVERAGEIF(DataTable[Strålkälla],DataTable[[#This Row],[Strålkälla]],DataTable[Sens_19])</f>
        <v>0.99582886046537467</v>
      </c>
      <c r="HL54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0.13100000000000001</v>
      </c>
      <c r="HM54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0.10363157894736842</v>
      </c>
      <c r="HN54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6.2E-2</v>
      </c>
      <c r="HO54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4.3631578947368431E-2</v>
      </c>
      <c r="HP54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0.99582886046537467</v>
      </c>
      <c r="HQ54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0.99909314298215679</v>
      </c>
      <c r="HR54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1.0026914873873223</v>
      </c>
      <c r="HS54" s="49"/>
    </row>
    <row r="55" spans="2:227" x14ac:dyDescent="0.25">
      <c r="B55" s="19" t="s">
        <v>43</v>
      </c>
      <c r="C55" s="20">
        <v>42530</v>
      </c>
      <c r="D55" s="21">
        <v>0.34817129629629634</v>
      </c>
      <c r="E55" s="13" t="s">
        <v>217</v>
      </c>
      <c r="F55" s="13">
        <v>109.8</v>
      </c>
      <c r="G55" s="13">
        <v>134.19999999999999</v>
      </c>
      <c r="H55" s="24">
        <v>30.414200000000001</v>
      </c>
      <c r="I55" s="22">
        <f>MATCH(DataTable[[#This Row],[Datum]],Övrigt!$D$10:$M$10,1)</f>
        <v>1</v>
      </c>
      <c r="J55" s="13"/>
      <c r="K55" s="22">
        <v>1831</v>
      </c>
      <c r="L55" s="22">
        <v>2256</v>
      </c>
      <c r="M55" s="23">
        <v>0.104</v>
      </c>
      <c r="N55" s="23">
        <v>4.2999999999999997E-2</v>
      </c>
      <c r="O55" s="23">
        <v>2.7E-2</v>
      </c>
      <c r="P55" s="22">
        <v>2082875</v>
      </c>
      <c r="Q55" s="24">
        <v>604</v>
      </c>
      <c r="R55" s="22">
        <v>0</v>
      </c>
      <c r="S55" s="22">
        <v>1</v>
      </c>
      <c r="T55" s="19">
        <v>20.775794299316619</v>
      </c>
      <c r="U55" s="23">
        <f>DataTable[[#This Row],[Sens_1]]/AVERAGEIF(DataTable[Strålkälla],DataTable[[#This Row],[Strålkälla]],DataTable[Sens_1])</f>
        <v>1.0034682990260499</v>
      </c>
      <c r="V55" s="22">
        <v>2186</v>
      </c>
      <c r="W55" s="22">
        <v>2653</v>
      </c>
      <c r="X55" s="23">
        <v>9.7000000000000003E-2</v>
      </c>
      <c r="Y55" s="23">
        <v>4.3999999999999997E-2</v>
      </c>
      <c r="Z55" s="23">
        <v>2.5000000000000001E-2</v>
      </c>
      <c r="AA55" s="22">
        <v>2454498</v>
      </c>
      <c r="AB55" s="24">
        <v>604</v>
      </c>
      <c r="AC55" s="22">
        <v>0</v>
      </c>
      <c r="AD55" s="22">
        <v>1</v>
      </c>
      <c r="AE55" s="19">
        <v>24.482576033647742</v>
      </c>
      <c r="AF55" s="23">
        <f>DataTable[[#This Row],[Sens_2]]/AVERAGEIF(DataTable[Strålkälla],DataTable[[#This Row],[Strålkälla]],DataTable[Sens_2])</f>
        <v>1.001948681447036</v>
      </c>
      <c r="AG55" s="22">
        <v>1897</v>
      </c>
      <c r="AH55" s="22">
        <v>2337</v>
      </c>
      <c r="AI55" s="23">
        <v>0.104</v>
      </c>
      <c r="AJ55" s="23">
        <v>4.3999999999999997E-2</v>
      </c>
      <c r="AK55" s="23">
        <v>2.5999999999999999E-2</v>
      </c>
      <c r="AL55" s="22">
        <v>2178716</v>
      </c>
      <c r="AM55" s="24">
        <v>604</v>
      </c>
      <c r="AN55" s="22">
        <v>1</v>
      </c>
      <c r="AO55" s="22">
        <v>0</v>
      </c>
      <c r="AP55" s="19">
        <v>21.731767606135705</v>
      </c>
      <c r="AQ55" s="23">
        <f>DataTable[[#This Row],[Sens_3]]/AVERAGEIF(DataTable[Strålkälla],DataTable[[#This Row],[Strålkälla]],DataTable[Sens_3])</f>
        <v>1.004424134317504</v>
      </c>
      <c r="AR55" s="22">
        <v>1784</v>
      </c>
      <c r="AS55" s="22">
        <v>2209</v>
      </c>
      <c r="AT55" s="23">
        <v>0.106</v>
      </c>
      <c r="AU55" s="23">
        <v>4.7E-2</v>
      </c>
      <c r="AV55" s="23">
        <v>2.7E-2</v>
      </c>
      <c r="AW55" s="22">
        <v>2070910</v>
      </c>
      <c r="AX55" s="24">
        <v>604</v>
      </c>
      <c r="AY55" s="22">
        <v>2</v>
      </c>
      <c r="AZ55" s="22">
        <v>0</v>
      </c>
      <c r="BA55" s="19">
        <v>20.656448501421245</v>
      </c>
      <c r="BB55" s="23">
        <f>DataTable[[#This Row],[Sens_4]]/AVERAGEIF(DataTable[Strålkälla],DataTable[[#This Row],[Strålkälla]],DataTable[Sens_4])</f>
        <v>1.003131661471877</v>
      </c>
      <c r="BC55" s="22">
        <v>2075</v>
      </c>
      <c r="BD55" s="22">
        <v>2468</v>
      </c>
      <c r="BE55" s="19">
        <v>8.6999999999999994E-2</v>
      </c>
      <c r="BF55" s="19">
        <v>3.3000000000000002E-2</v>
      </c>
      <c r="BG55" s="19">
        <v>2.4E-2</v>
      </c>
      <c r="BH55" s="19">
        <v>2314326</v>
      </c>
      <c r="BI55" s="19">
        <v>604</v>
      </c>
      <c r="BJ55" s="19">
        <v>0</v>
      </c>
      <c r="BK55" s="19">
        <v>0</v>
      </c>
      <c r="BL55" s="19">
        <v>23.084419812787726</v>
      </c>
      <c r="BM55" s="23">
        <f>DataTable[[#This Row],[Sens_5]]/AVERAGEIF(DataTable[Strålkälla],DataTable[[#This Row],[Strålkälla]],DataTable[Sens_5])</f>
        <v>1.0025280402997427</v>
      </c>
      <c r="BN55" s="19">
        <v>2049</v>
      </c>
      <c r="BO55" s="19">
        <v>2418</v>
      </c>
      <c r="BP55" s="19">
        <v>8.3000000000000004E-2</v>
      </c>
      <c r="BQ55" s="19">
        <v>3.2000000000000001E-2</v>
      </c>
      <c r="BR55" s="19">
        <v>2.3E-2</v>
      </c>
      <c r="BS55" s="19">
        <v>2297676</v>
      </c>
      <c r="BT55" s="19">
        <v>604</v>
      </c>
      <c r="BU55" s="19">
        <v>0</v>
      </c>
      <c r="BV55" s="19">
        <v>0</v>
      </c>
      <c r="BW55" s="19">
        <v>22.918343127876906</v>
      </c>
      <c r="BX55" s="23">
        <f>DataTable[[#This Row],[Sens_6]]/AVERAGEIF(DataTable[Strålkälla],DataTable[[#This Row],[Strålkälla]],DataTable[Sens_6])</f>
        <v>0.99855590553177265</v>
      </c>
      <c r="BY55" s="19">
        <v>1888</v>
      </c>
      <c r="BZ55" s="19">
        <v>2249</v>
      </c>
      <c r="CA55" s="19">
        <v>8.6999999999999994E-2</v>
      </c>
      <c r="CB55" s="19">
        <v>0.04</v>
      </c>
      <c r="CC55" s="19">
        <v>2.5999999999999999E-2</v>
      </c>
      <c r="CD55" s="19">
        <v>2107615</v>
      </c>
      <c r="CE55" s="19">
        <v>604</v>
      </c>
      <c r="CF55" s="19">
        <v>0</v>
      </c>
      <c r="CG55" s="19">
        <v>0</v>
      </c>
      <c r="CH55" s="19">
        <v>21.022565301400324</v>
      </c>
      <c r="CI55" s="23">
        <f>DataTable[[#This Row],[Sens_7]]/AVERAGEIF(DataTable[Strålkälla],DataTable[[#This Row],[Strålkälla]],DataTable[Sens_7])</f>
        <v>1.0002250357545457</v>
      </c>
      <c r="CJ55" s="19">
        <v>2164</v>
      </c>
      <c r="CK55" s="19">
        <v>2587</v>
      </c>
      <c r="CL55" s="19">
        <v>8.8999999999999996E-2</v>
      </c>
      <c r="CM55" s="19">
        <v>4.2999999999999997E-2</v>
      </c>
      <c r="CN55" s="19">
        <v>2.4E-2</v>
      </c>
      <c r="CO55" s="19">
        <v>2444746</v>
      </c>
      <c r="CP55" s="19">
        <v>604</v>
      </c>
      <c r="CQ55" s="19">
        <v>0</v>
      </c>
      <c r="CR55" s="19">
        <v>0</v>
      </c>
      <c r="CS55" s="19">
        <v>24.385303971710787</v>
      </c>
      <c r="CT55" s="23">
        <f>DataTable[[#This Row],[Sens_8]]/AVERAGEIF(DataTable[Strålkälla],DataTable[[#This Row],[Strålkälla]],DataTable[Sens_8])</f>
        <v>0.9994841487116457</v>
      </c>
      <c r="CU55" s="19">
        <v>1747</v>
      </c>
      <c r="CV55" s="19">
        <v>2114</v>
      </c>
      <c r="CW55" s="19">
        <v>9.5000000000000001E-2</v>
      </c>
      <c r="CX55" s="19">
        <v>4.1000000000000002E-2</v>
      </c>
      <c r="CY55" s="19">
        <v>2.7E-2</v>
      </c>
      <c r="CZ55" s="19">
        <v>1972149</v>
      </c>
      <c r="DA55" s="19">
        <v>588</v>
      </c>
      <c r="DB55" s="19">
        <v>0</v>
      </c>
      <c r="DC55" s="19">
        <v>0</v>
      </c>
      <c r="DD55" s="19">
        <v>20.206624248165777</v>
      </c>
      <c r="DE55" s="23">
        <f>DataTable[[#This Row],[Sens_9]]/AVERAGEIF(DataTable[Strålkälla],DataTable[[#This Row],[Strålkälla]],DataTable[Sens_9])</f>
        <v>1.0012284050080988</v>
      </c>
      <c r="DF55" s="19">
        <v>1692</v>
      </c>
      <c r="DG55" s="19">
        <v>2027</v>
      </c>
      <c r="DH55" s="19">
        <v>0.09</v>
      </c>
      <c r="DI55" s="19">
        <v>3.5999999999999997E-2</v>
      </c>
      <c r="DJ55" s="19">
        <v>2.5999999999999999E-2</v>
      </c>
      <c r="DK55" s="19">
        <v>1901416</v>
      </c>
      <c r="DL55" s="19">
        <v>588</v>
      </c>
      <c r="DM55" s="19">
        <v>0</v>
      </c>
      <c r="DN55" s="19">
        <v>0</v>
      </c>
      <c r="DO55" s="19">
        <v>19.481894446844727</v>
      </c>
      <c r="DP55" s="23">
        <f>DataTable[[#This Row],[Sens_10]]/AVERAGEIF(DataTable[Strålkälla],DataTable[[#This Row],[Strålkälla]],DataTable[Sens_10])</f>
        <v>0.99854916957706052</v>
      </c>
      <c r="DQ55" s="19">
        <v>1497</v>
      </c>
      <c r="DR55" s="19">
        <v>1811</v>
      </c>
      <c r="DS55" s="19">
        <v>9.5000000000000001E-2</v>
      </c>
      <c r="DT55" s="19">
        <v>4.2999999999999997E-2</v>
      </c>
      <c r="DU55" s="19">
        <v>2.7E-2</v>
      </c>
      <c r="DV55" s="19">
        <v>1677491</v>
      </c>
      <c r="DW55" s="19">
        <v>588</v>
      </c>
      <c r="DX55" s="19">
        <v>0</v>
      </c>
      <c r="DY55" s="19">
        <v>0</v>
      </c>
      <c r="DZ55" s="19">
        <v>17.187560532535755</v>
      </c>
      <c r="EA55" s="23">
        <f>DataTable[[#This Row],[Sens_11]]/AVERAGEIF(DataTable[Strålkälla],DataTable[[#This Row],[Strålkälla]],DataTable[Sens_11])</f>
        <v>1.0010233777785711</v>
      </c>
      <c r="EB55" s="19">
        <v>1695</v>
      </c>
      <c r="EC55" s="19">
        <v>2124</v>
      </c>
      <c r="ED55" s="19">
        <v>0.112</v>
      </c>
      <c r="EE55" s="19">
        <v>3.9E-2</v>
      </c>
      <c r="EF55" s="19">
        <v>2.5999999999999999E-2</v>
      </c>
      <c r="EG55" s="19">
        <v>1999533</v>
      </c>
      <c r="EH55" s="19">
        <v>588</v>
      </c>
      <c r="EI55" s="19">
        <v>1</v>
      </c>
      <c r="EJ55" s="19">
        <v>0</v>
      </c>
      <c r="EK55" s="19">
        <v>20.487200512135573</v>
      </c>
      <c r="EL55" s="23">
        <f>DataTable[[#This Row],[Sens_12]]/AVERAGEIF(DataTable[Strålkälla],DataTable[[#This Row],[Strålkälla]],DataTable[Sens_12])</f>
        <v>1.000968544486633</v>
      </c>
      <c r="EM55" s="19">
        <v>1516</v>
      </c>
      <c r="EN55" s="19">
        <v>1811</v>
      </c>
      <c r="EO55" s="19">
        <v>8.8999999999999996E-2</v>
      </c>
      <c r="EP55" s="19">
        <v>3.5999999999999997E-2</v>
      </c>
      <c r="EQ55" s="19">
        <v>2.8000000000000001E-2</v>
      </c>
      <c r="ER55" s="19">
        <v>1702124</v>
      </c>
      <c r="ES55" s="19">
        <v>632</v>
      </c>
      <c r="ET55" s="19">
        <v>0</v>
      </c>
      <c r="EU55" s="19">
        <v>0</v>
      </c>
      <c r="EV55" s="19">
        <v>16.225776331508161</v>
      </c>
      <c r="EW55" s="19">
        <f>DataTable[[#This Row],[Sens_13]]/AVERAGEIF(DataTable[Strålkälla],DataTable[[#This Row],[Strålkälla]],DataTable[Sens_13])</f>
        <v>0.99953258568528836</v>
      </c>
      <c r="EX55" s="19">
        <v>1280</v>
      </c>
      <c r="EY55" s="19">
        <v>1590</v>
      </c>
      <c r="EZ55" s="19">
        <v>0.108</v>
      </c>
      <c r="FA55" s="19">
        <v>4.1000000000000002E-2</v>
      </c>
      <c r="FB55" s="19">
        <v>0.03</v>
      </c>
      <c r="FC55" s="19">
        <v>1454020</v>
      </c>
      <c r="FD55" s="19">
        <v>632</v>
      </c>
      <c r="FE55" s="19">
        <v>0</v>
      </c>
      <c r="FF55" s="19">
        <v>0</v>
      </c>
      <c r="FG55" s="19">
        <v>13.860684240125572</v>
      </c>
      <c r="FH55" s="19">
        <f>DataTable[[#This Row],[Sens_14]]/AVERAGEIF(DataTable[Strålkälla],DataTable[[#This Row],[Strålkälla]],DataTable[Sens_14])</f>
        <v>1.00055797087121</v>
      </c>
      <c r="FI55" s="19">
        <v>1436</v>
      </c>
      <c r="FJ55" s="19">
        <v>1746</v>
      </c>
      <c r="FK55" s="19">
        <v>9.7000000000000003E-2</v>
      </c>
      <c r="FL55" s="19">
        <v>3.7999999999999999E-2</v>
      </c>
      <c r="FM55" s="19">
        <v>2.7E-2</v>
      </c>
      <c r="FN55" s="19">
        <v>1623828</v>
      </c>
      <c r="FO55" s="19">
        <v>632</v>
      </c>
      <c r="FP55" s="19">
        <v>0</v>
      </c>
      <c r="FQ55" s="19">
        <v>0</v>
      </c>
      <c r="FR55" s="19">
        <v>15.479406863918397</v>
      </c>
      <c r="FS55" s="19">
        <f>DataTable[[#This Row],[Sens_15]]/AVERAGEIF(DataTable[Strålkälla],DataTable[[#This Row],[Strålkälla]],DataTable[Sens_15])</f>
        <v>1.0008267506151656</v>
      </c>
      <c r="FT55" s="19">
        <v>1308</v>
      </c>
      <c r="FU55" s="19">
        <v>1572</v>
      </c>
      <c r="FV55" s="19">
        <v>9.1999999999999998E-2</v>
      </c>
      <c r="FW55" s="19">
        <v>3.9E-2</v>
      </c>
      <c r="FX55" s="19">
        <v>0.03</v>
      </c>
      <c r="FY55" s="19">
        <v>1467288</v>
      </c>
      <c r="FZ55" s="19">
        <v>632</v>
      </c>
      <c r="GA55" s="19">
        <v>0</v>
      </c>
      <c r="GB55" s="19">
        <v>0</v>
      </c>
      <c r="GC55" s="19">
        <v>13.987163627271544</v>
      </c>
      <c r="GD55" s="19">
        <f>DataTable[[#This Row],[Sens_16]]/AVERAGEIF(DataTable[Strålkälla],DataTable[[#This Row],[Strålkälla]],DataTable[Sens_16])</f>
        <v>1.0016267133274197</v>
      </c>
      <c r="GE55" s="19">
        <v>1247</v>
      </c>
      <c r="GF55" s="19">
        <v>1517</v>
      </c>
      <c r="GG55" s="19">
        <v>9.8000000000000004E-2</v>
      </c>
      <c r="GH55" s="19">
        <v>4.2000000000000003E-2</v>
      </c>
      <c r="GI55" s="19">
        <v>2.9000000000000001E-2</v>
      </c>
      <c r="GJ55" s="19">
        <v>1412639</v>
      </c>
      <c r="GK55" s="19">
        <v>632</v>
      </c>
      <c r="GL55" s="19">
        <v>0</v>
      </c>
      <c r="GM55" s="19">
        <v>0</v>
      </c>
      <c r="GN55" s="19">
        <v>13.466213067417744</v>
      </c>
      <c r="GO55" s="19">
        <f>DataTable[[#This Row],[Sens_17]]/AVERAGEIF(DataTable[Strålkälla],DataTable[[#This Row],[Strålkälla]],DataTable[Sens_17])</f>
        <v>1.0016665742857913</v>
      </c>
      <c r="GP55" s="19">
        <v>1455</v>
      </c>
      <c r="GQ55" s="19">
        <v>1736</v>
      </c>
      <c r="GR55" s="19">
        <v>8.7999999999999995E-2</v>
      </c>
      <c r="GS55" s="19">
        <v>3.6999999999999998E-2</v>
      </c>
      <c r="GT55" s="19">
        <v>2.8000000000000001E-2</v>
      </c>
      <c r="GU55" s="19">
        <v>1629627</v>
      </c>
      <c r="GV55" s="19">
        <v>632</v>
      </c>
      <c r="GW55" s="19">
        <v>0</v>
      </c>
      <c r="GX55" s="19">
        <v>0</v>
      </c>
      <c r="GY55" s="19">
        <v>15.534686782976241</v>
      </c>
      <c r="GZ55" s="19">
        <f>DataTable[[#This Row],[Sens_18]]/AVERAGEIF(DataTable[Strålkälla],DataTable[[#This Row],[Strålkälla]],DataTable[Sens_18])</f>
        <v>0.99851111191133513</v>
      </c>
      <c r="HA55" s="19">
        <v>1282</v>
      </c>
      <c r="HB55" s="19">
        <v>1628</v>
      </c>
      <c r="HC55" s="19">
        <v>0.11899999999999999</v>
      </c>
      <c r="HD55" s="19">
        <v>4.1000000000000002E-2</v>
      </c>
      <c r="HE55" s="19">
        <v>0.03</v>
      </c>
      <c r="HF55" s="19">
        <v>1487631</v>
      </c>
      <c r="HG55" s="19">
        <v>632</v>
      </c>
      <c r="HH55" s="19">
        <v>0</v>
      </c>
      <c r="HI55" s="19">
        <v>0</v>
      </c>
      <c r="HJ55" s="19">
        <v>14.181086612854186</v>
      </c>
      <c r="HK55" s="19">
        <f>DataTable[[#This Row],[Sens_19]]/AVERAGEIF(DataTable[Strålkälla],DataTable[[#This Row],[Strålkälla]],DataTable[Sens_19])</f>
        <v>1.0007563019423751</v>
      </c>
      <c r="HL55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0.11899999999999999</v>
      </c>
      <c r="HM55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9.684210526315791E-2</v>
      </c>
      <c r="HN55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4.7E-2</v>
      </c>
      <c r="HO55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3.9947368421052641E-2</v>
      </c>
      <c r="HP55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0.99851111191133513</v>
      </c>
      <c r="HQ55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1.0010007058973223</v>
      </c>
      <c r="HR55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1.004424134317504</v>
      </c>
      <c r="HS55" s="49"/>
    </row>
    <row r="56" spans="2:227" x14ac:dyDescent="0.25">
      <c r="B56" s="19" t="s">
        <v>43</v>
      </c>
      <c r="C56" s="20">
        <v>42531</v>
      </c>
      <c r="D56" s="21">
        <v>0.32074074074074072</v>
      </c>
      <c r="E56" s="13" t="s">
        <v>217</v>
      </c>
      <c r="F56" s="13">
        <v>109.8</v>
      </c>
      <c r="G56" s="13">
        <v>134.19999999999999</v>
      </c>
      <c r="H56" s="24">
        <v>30.5076</v>
      </c>
      <c r="I56" s="22">
        <f>MATCH(DataTable[[#This Row],[Datum]],Övrigt!$D$10:$M$10,1)</f>
        <v>1</v>
      </c>
      <c r="J56" s="13"/>
      <c r="K56" s="22">
        <v>1862</v>
      </c>
      <c r="L56" s="22">
        <v>2228</v>
      </c>
      <c r="M56" s="23">
        <v>8.8999999999999996E-2</v>
      </c>
      <c r="N56" s="23">
        <v>3.6999999999999998E-2</v>
      </c>
      <c r="O56" s="23">
        <v>2.5000000000000001E-2</v>
      </c>
      <c r="P56" s="22">
        <v>2076812</v>
      </c>
      <c r="Q56" s="24">
        <v>607</v>
      </c>
      <c r="R56" s="22">
        <v>0</v>
      </c>
      <c r="S56" s="22">
        <v>0</v>
      </c>
      <c r="T56" s="19">
        <v>20.665582359467439</v>
      </c>
      <c r="U56" s="23">
        <f>DataTable[[#This Row],[Sens_1]]/AVERAGEIF(DataTable[Strålkälla],DataTable[[#This Row],[Strålkälla]],DataTable[Sens_1])</f>
        <v>0.99814507594155621</v>
      </c>
      <c r="V56" s="22">
        <v>2198</v>
      </c>
      <c r="W56" s="22">
        <v>2597</v>
      </c>
      <c r="X56" s="23">
        <v>8.3000000000000004E-2</v>
      </c>
      <c r="Y56" s="23">
        <v>3.9E-2</v>
      </c>
      <c r="Z56" s="23">
        <v>2.5000000000000001E-2</v>
      </c>
      <c r="AA56" s="22">
        <v>2450252</v>
      </c>
      <c r="AB56" s="24">
        <v>607</v>
      </c>
      <c r="AC56" s="22">
        <v>0</v>
      </c>
      <c r="AD56" s="22">
        <v>0</v>
      </c>
      <c r="AE56" s="19">
        <v>24.381544649900817</v>
      </c>
      <c r="AF56" s="23">
        <f>DataTable[[#This Row],[Sens_2]]/AVERAGEIF(DataTable[Strålkälla],DataTable[[#This Row],[Strålkälla]],DataTable[Sens_2])</f>
        <v>0.99781397513219083</v>
      </c>
      <c r="AG56" s="22">
        <v>1946</v>
      </c>
      <c r="AH56" s="22">
        <v>2291</v>
      </c>
      <c r="AI56" s="23">
        <v>8.1000000000000003E-2</v>
      </c>
      <c r="AJ56" s="23">
        <v>3.5000000000000003E-2</v>
      </c>
      <c r="AK56" s="23">
        <v>2.5999999999999999E-2</v>
      </c>
      <c r="AL56" s="22">
        <v>2176979</v>
      </c>
      <c r="AM56" s="24">
        <v>607</v>
      </c>
      <c r="AN56" s="22">
        <v>0</v>
      </c>
      <c r="AO56" s="22">
        <v>0</v>
      </c>
      <c r="AP56" s="19">
        <v>21.66230685268145</v>
      </c>
      <c r="AQ56" s="23">
        <f>DataTable[[#This Row],[Sens_3]]/AVERAGEIF(DataTable[Strålkälla],DataTable[[#This Row],[Strålkälla]],DataTable[Sens_3])</f>
        <v>1.0012137163514279</v>
      </c>
      <c r="AR56" s="22">
        <v>1845</v>
      </c>
      <c r="AS56" s="22">
        <v>2211</v>
      </c>
      <c r="AT56" s="23">
        <v>0.09</v>
      </c>
      <c r="AU56" s="23">
        <v>3.5999999999999997E-2</v>
      </c>
      <c r="AV56" s="23">
        <v>2.5000000000000001E-2</v>
      </c>
      <c r="AW56" s="22">
        <v>2068639</v>
      </c>
      <c r="AX56" s="24">
        <v>607</v>
      </c>
      <c r="AY56" s="22">
        <v>0</v>
      </c>
      <c r="AZ56" s="22">
        <v>0</v>
      </c>
      <c r="BA56" s="19">
        <v>20.584255881854673</v>
      </c>
      <c r="BB56" s="23">
        <f>DataTable[[#This Row],[Sens_4]]/AVERAGEIF(DataTable[Strålkälla],DataTable[[#This Row],[Strålkälla]],DataTable[Sens_4])</f>
        <v>0.99962579731488799</v>
      </c>
      <c r="BC56" s="22">
        <v>2085</v>
      </c>
      <c r="BD56" s="22">
        <v>2450</v>
      </c>
      <c r="BE56" s="19">
        <v>0.08</v>
      </c>
      <c r="BF56" s="19">
        <v>4.5999999999999999E-2</v>
      </c>
      <c r="BG56" s="19">
        <v>2.4E-2</v>
      </c>
      <c r="BH56" s="19">
        <v>2315384</v>
      </c>
      <c r="BI56" s="19">
        <v>607</v>
      </c>
      <c r="BJ56" s="19">
        <v>0</v>
      </c>
      <c r="BK56" s="19">
        <v>0</v>
      </c>
      <c r="BL56" s="19">
        <v>23.03952343582046</v>
      </c>
      <c r="BM56" s="23">
        <f>DataTable[[#This Row],[Sens_5]]/AVERAGEIF(DataTable[Strålkälla],DataTable[[#This Row],[Strålkälla]],DataTable[Sens_5])</f>
        <v>1.0005782457117662</v>
      </c>
      <c r="BN56" s="19">
        <v>2055</v>
      </c>
      <c r="BO56" s="19">
        <v>2427</v>
      </c>
      <c r="BP56" s="19">
        <v>8.3000000000000004E-2</v>
      </c>
      <c r="BQ56" s="19">
        <v>3.3000000000000002E-2</v>
      </c>
      <c r="BR56" s="19">
        <v>2.3E-2</v>
      </c>
      <c r="BS56" s="19">
        <v>2306924</v>
      </c>
      <c r="BT56" s="19">
        <v>607</v>
      </c>
      <c r="BU56" s="19">
        <v>0</v>
      </c>
      <c r="BV56" s="19">
        <v>0</v>
      </c>
      <c r="BW56" s="19">
        <v>22.955341128148365</v>
      </c>
      <c r="BX56" s="23">
        <f>DataTable[[#This Row],[Sens_6]]/AVERAGEIF(DataTable[Strålkälla],DataTable[[#This Row],[Strålkälla]],DataTable[Sens_6])</f>
        <v>1.0001679143693136</v>
      </c>
      <c r="BY56" s="19">
        <v>1865</v>
      </c>
      <c r="BZ56" s="19">
        <v>2274</v>
      </c>
      <c r="CA56" s="19">
        <v>9.9000000000000005E-2</v>
      </c>
      <c r="CB56" s="19">
        <v>4.4999999999999998E-2</v>
      </c>
      <c r="CC56" s="19">
        <v>2.7E-2</v>
      </c>
      <c r="CD56" s="19">
        <v>2108754</v>
      </c>
      <c r="CE56" s="19">
        <v>607</v>
      </c>
      <c r="CF56" s="19">
        <v>0</v>
      </c>
      <c r="CG56" s="19">
        <v>0</v>
      </c>
      <c r="CH56" s="19">
        <v>20.983425299380205</v>
      </c>
      <c r="CI56" s="23">
        <f>DataTable[[#This Row],[Sens_7]]/AVERAGEIF(DataTable[Strålkälla],DataTable[[#This Row],[Strålkälla]],DataTable[Sens_7])</f>
        <v>0.99836280774579733</v>
      </c>
      <c r="CJ56" s="19">
        <v>2176</v>
      </c>
      <c r="CK56" s="19">
        <v>2606</v>
      </c>
      <c r="CL56" s="19">
        <v>0.09</v>
      </c>
      <c r="CM56" s="19">
        <v>3.2000000000000001E-2</v>
      </c>
      <c r="CN56" s="19">
        <v>2.4E-2</v>
      </c>
      <c r="CO56" s="19">
        <v>2447311</v>
      </c>
      <c r="CP56" s="19">
        <v>607</v>
      </c>
      <c r="CQ56" s="19">
        <v>0</v>
      </c>
      <c r="CR56" s="19">
        <v>0</v>
      </c>
      <c r="CS56" s="19">
        <v>24.352279854763271</v>
      </c>
      <c r="CT56" s="23">
        <f>DataTable[[#This Row],[Sens_8]]/AVERAGEIF(DataTable[Strålkälla],DataTable[[#This Row],[Strålkälla]],DataTable[Sens_8])</f>
        <v>0.99813058422655521</v>
      </c>
      <c r="CU56" s="19">
        <v>1685</v>
      </c>
      <c r="CV56" s="19">
        <v>2089</v>
      </c>
      <c r="CW56" s="19">
        <v>0.107</v>
      </c>
      <c r="CX56" s="19">
        <v>0.05</v>
      </c>
      <c r="CY56" s="19">
        <v>2.5999999999999999E-2</v>
      </c>
      <c r="CZ56" s="19">
        <v>1970199</v>
      </c>
      <c r="DA56" s="19">
        <v>590</v>
      </c>
      <c r="DB56" s="19">
        <v>1</v>
      </c>
      <c r="DC56" s="19">
        <v>0</v>
      </c>
      <c r="DD56" s="19">
        <v>20.169597773110265</v>
      </c>
      <c r="DE56" s="23">
        <f>DataTable[[#This Row],[Sens_9]]/AVERAGEIF(DataTable[Strålkälla],DataTable[[#This Row],[Strålkälla]],DataTable[Sens_9])</f>
        <v>0.99939376117508605</v>
      </c>
      <c r="DF56" s="19">
        <v>1678</v>
      </c>
      <c r="DG56" s="19">
        <v>2147</v>
      </c>
      <c r="DH56" s="19">
        <v>0.123</v>
      </c>
      <c r="DI56" s="19">
        <v>4.4999999999999998E-2</v>
      </c>
      <c r="DJ56" s="19">
        <v>2.7E-2</v>
      </c>
      <c r="DK56" s="19">
        <v>1901021</v>
      </c>
      <c r="DL56" s="19">
        <v>590</v>
      </c>
      <c r="DM56" s="19">
        <v>0</v>
      </c>
      <c r="DN56" s="19">
        <v>1</v>
      </c>
      <c r="DO56" s="19">
        <v>19.461399040521211</v>
      </c>
      <c r="DP56" s="23">
        <f>DataTable[[#This Row],[Sens_10]]/AVERAGEIF(DataTable[Strålkälla],DataTable[[#This Row],[Strålkälla]],DataTable[Sens_10])</f>
        <v>0.99749867261331138</v>
      </c>
      <c r="DQ56" s="19">
        <v>1492</v>
      </c>
      <c r="DR56" s="19">
        <v>1805</v>
      </c>
      <c r="DS56" s="19">
        <v>9.5000000000000001E-2</v>
      </c>
      <c r="DT56" s="19">
        <v>3.5999999999999997E-2</v>
      </c>
      <c r="DU56" s="19">
        <v>2.7E-2</v>
      </c>
      <c r="DV56" s="19">
        <v>1677895</v>
      </c>
      <c r="DW56" s="19">
        <v>590</v>
      </c>
      <c r="DX56" s="19">
        <v>0</v>
      </c>
      <c r="DY56" s="19">
        <v>0</v>
      </c>
      <c r="DZ56" s="19">
        <v>17.177182231598355</v>
      </c>
      <c r="EA56" s="23">
        <f>DataTable[[#This Row],[Sens_11]]/AVERAGEIF(DataTable[Strålkälla],DataTable[[#This Row],[Strålkälla]],DataTable[Sens_11])</f>
        <v>1.0004189335445977</v>
      </c>
      <c r="EB56" s="19">
        <v>1763</v>
      </c>
      <c r="EC56" s="19">
        <v>2163</v>
      </c>
      <c r="ED56" s="19">
        <v>0.10199999999999999</v>
      </c>
      <c r="EE56" s="19">
        <v>4.3999999999999997E-2</v>
      </c>
      <c r="EF56" s="19">
        <v>2.7E-2</v>
      </c>
      <c r="EG56" s="19">
        <v>2003251</v>
      </c>
      <c r="EH56" s="19">
        <v>590</v>
      </c>
      <c r="EI56" s="19">
        <v>0</v>
      </c>
      <c r="EJ56" s="19">
        <v>0</v>
      </c>
      <c r="EK56" s="19">
        <v>20.507962347245588</v>
      </c>
      <c r="EL56" s="23">
        <f>DataTable[[#This Row],[Sens_12]]/AVERAGEIF(DataTable[Strålkälla],DataTable[[#This Row],[Strålkälla]],DataTable[Sens_12])</f>
        <v>1.0019829311940134</v>
      </c>
      <c r="EM56" s="19">
        <v>1491</v>
      </c>
      <c r="EN56" s="19">
        <v>1831</v>
      </c>
      <c r="EO56" s="19">
        <v>0.10199999999999999</v>
      </c>
      <c r="EP56" s="19">
        <v>4.1000000000000002E-2</v>
      </c>
      <c r="EQ56" s="19">
        <v>2.8000000000000001E-2</v>
      </c>
      <c r="ER56" s="19">
        <v>1704371</v>
      </c>
      <c r="ES56" s="19">
        <v>634</v>
      </c>
      <c r="ET56" s="19">
        <v>0</v>
      </c>
      <c r="EU56" s="19">
        <v>0</v>
      </c>
      <c r="EV56" s="19">
        <v>16.237308158825222</v>
      </c>
      <c r="EW56" s="19">
        <f>DataTable[[#This Row],[Sens_13]]/AVERAGEIF(DataTable[Strålkälla],DataTable[[#This Row],[Strålkälla]],DataTable[Sens_13])</f>
        <v>1.0002429638478121</v>
      </c>
      <c r="EX56" s="19">
        <v>1289</v>
      </c>
      <c r="EY56" s="19">
        <v>1642</v>
      </c>
      <c r="EZ56" s="19">
        <v>0.12</v>
      </c>
      <c r="FA56" s="19">
        <v>4.9000000000000002E-2</v>
      </c>
      <c r="FB56" s="19">
        <v>0.03</v>
      </c>
      <c r="FC56" s="19">
        <v>1453999</v>
      </c>
      <c r="FD56" s="19">
        <v>634</v>
      </c>
      <c r="FE56" s="19">
        <v>0</v>
      </c>
      <c r="FF56" s="19">
        <v>2</v>
      </c>
      <c r="FG56" s="19">
        <v>13.85204854202736</v>
      </c>
      <c r="FH56" s="19">
        <f>DataTable[[#This Row],[Sens_14]]/AVERAGEIF(DataTable[Strålkälla],DataTable[[#This Row],[Strålkälla]],DataTable[Sens_14])</f>
        <v>0.99993458775270638</v>
      </c>
      <c r="FI56" s="19">
        <v>1429</v>
      </c>
      <c r="FJ56" s="19">
        <v>1742</v>
      </c>
      <c r="FK56" s="19">
        <v>9.9000000000000005E-2</v>
      </c>
      <c r="FL56" s="19">
        <v>0.04</v>
      </c>
      <c r="FM56" s="19">
        <v>2.9000000000000001E-2</v>
      </c>
      <c r="FN56" s="19">
        <v>1625144</v>
      </c>
      <c r="FO56" s="19">
        <v>634</v>
      </c>
      <c r="FP56" s="19">
        <v>0</v>
      </c>
      <c r="FQ56" s="19">
        <v>0</v>
      </c>
      <c r="FR56" s="19">
        <v>15.482523423870656</v>
      </c>
      <c r="FS56" s="19">
        <f>DataTable[[#This Row],[Sens_15]]/AVERAGEIF(DataTable[Strålkälla],DataTable[[#This Row],[Strålkälla]],DataTable[Sens_15])</f>
        <v>1.0010282529464589</v>
      </c>
      <c r="FT56" s="19">
        <v>1285</v>
      </c>
      <c r="FU56" s="19">
        <v>1598</v>
      </c>
      <c r="FV56" s="19">
        <v>0.109</v>
      </c>
      <c r="FW56" s="19">
        <v>4.8000000000000001E-2</v>
      </c>
      <c r="FX56" s="19">
        <v>2.9000000000000001E-2</v>
      </c>
      <c r="FY56" s="19">
        <v>1465834</v>
      </c>
      <c r="FZ56" s="19">
        <v>634</v>
      </c>
      <c r="GA56" s="19">
        <v>0</v>
      </c>
      <c r="GB56" s="19">
        <v>0</v>
      </c>
      <c r="GC56" s="19">
        <v>13.964798959665124</v>
      </c>
      <c r="GD56" s="19">
        <f>DataTable[[#This Row],[Sens_16]]/AVERAGEIF(DataTable[Strålkälla],DataTable[[#This Row],[Strålkälla]],DataTable[Sens_16])</f>
        <v>1.0000251700048262</v>
      </c>
      <c r="GE56" s="19">
        <v>1240</v>
      </c>
      <c r="GF56" s="19">
        <v>1528</v>
      </c>
      <c r="GG56" s="19">
        <v>0.104</v>
      </c>
      <c r="GH56" s="19">
        <v>4.4999999999999998E-2</v>
      </c>
      <c r="GI56" s="19">
        <v>2.9000000000000001E-2</v>
      </c>
      <c r="GJ56" s="19">
        <v>1410867</v>
      </c>
      <c r="GK56" s="19">
        <v>634</v>
      </c>
      <c r="GL56" s="19">
        <v>0</v>
      </c>
      <c r="GM56" s="19">
        <v>0</v>
      </c>
      <c r="GN56" s="19">
        <v>13.441135908858612</v>
      </c>
      <c r="GO56" s="19">
        <f>DataTable[[#This Row],[Sens_17]]/AVERAGEIF(DataTable[Strålkälla],DataTable[[#This Row],[Strålkälla]],DataTable[Sens_17])</f>
        <v>0.99980124277937665</v>
      </c>
      <c r="GP56" s="19">
        <v>1383</v>
      </c>
      <c r="GQ56" s="19">
        <v>1764</v>
      </c>
      <c r="GR56" s="19">
        <v>0.121</v>
      </c>
      <c r="GS56" s="19">
        <v>3.6999999999999998E-2</v>
      </c>
      <c r="GT56" s="19">
        <v>2.9000000000000001E-2</v>
      </c>
      <c r="GU56" s="19">
        <v>1631515</v>
      </c>
      <c r="GV56" s="19">
        <v>634</v>
      </c>
      <c r="GW56" s="19">
        <v>1</v>
      </c>
      <c r="GX56" s="19">
        <v>0</v>
      </c>
      <c r="GY56" s="19">
        <v>15.543219064831383</v>
      </c>
      <c r="GZ56" s="19">
        <f>DataTable[[#This Row],[Sens_18]]/AVERAGEIF(DataTable[Strålkälla],DataTable[[#This Row],[Strålkälla]],DataTable[Sens_18])</f>
        <v>0.99905953482847143</v>
      </c>
      <c r="HA56" s="19">
        <v>1282</v>
      </c>
      <c r="HB56" s="19">
        <v>1680</v>
      </c>
      <c r="HC56" s="19">
        <v>0.13400000000000001</v>
      </c>
      <c r="HD56" s="19">
        <v>4.2000000000000003E-2</v>
      </c>
      <c r="HE56" s="19">
        <v>0.03</v>
      </c>
      <c r="HF56" s="19">
        <v>1485540</v>
      </c>
      <c r="HG56" s="19">
        <v>634</v>
      </c>
      <c r="HH56" s="19">
        <v>0</v>
      </c>
      <c r="HI56" s="19">
        <v>1</v>
      </c>
      <c r="HJ56" s="19">
        <v>14.152535312007315</v>
      </c>
      <c r="HK56" s="19">
        <f>DataTable[[#This Row],[Sens_19]]/AVERAGEIF(DataTable[Strålkälla],DataTable[[#This Row],[Strålkälla]],DataTable[Sens_19])</f>
        <v>0.99874144264201226</v>
      </c>
      <c r="HL56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0.13400000000000001</v>
      </c>
      <c r="HM56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0.10057894736842107</v>
      </c>
      <c r="HN56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0.05</v>
      </c>
      <c r="HO56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4.1052631578947382E-2</v>
      </c>
      <c r="HP56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0.99749867261331138</v>
      </c>
      <c r="HQ56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0.99958766369064045</v>
      </c>
      <c r="HR56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1.0019829311940134</v>
      </c>
      <c r="HS56" s="49"/>
    </row>
    <row r="57" spans="2:227" x14ac:dyDescent="0.25">
      <c r="B57" s="19" t="s">
        <v>43</v>
      </c>
      <c r="C57" s="20">
        <v>42564</v>
      </c>
      <c r="D57" s="21">
        <v>0.31489583333333332</v>
      </c>
      <c r="E57" s="13" t="s">
        <v>217</v>
      </c>
      <c r="F57" s="13">
        <v>109.8</v>
      </c>
      <c r="G57" s="13">
        <v>134.19999999999999</v>
      </c>
      <c r="H57" s="24">
        <v>6.8131000000000004</v>
      </c>
      <c r="I57" s="22">
        <f>MATCH(DataTable[[#This Row],[Datum]],Övrigt!$D$10:$M$10,1)</f>
        <v>2</v>
      </c>
      <c r="J57" s="13"/>
      <c r="K57" s="22">
        <v>1764</v>
      </c>
      <c r="L57" s="22">
        <v>2208</v>
      </c>
      <c r="M57" s="23">
        <v>0.112</v>
      </c>
      <c r="N57" s="23">
        <v>3.4000000000000002E-2</v>
      </c>
      <c r="O57" s="23">
        <v>2.7E-2</v>
      </c>
      <c r="P57" s="22">
        <v>2021678</v>
      </c>
      <c r="Q57" s="24">
        <v>136</v>
      </c>
      <c r="R57" s="22">
        <v>1</v>
      </c>
      <c r="S57" s="22">
        <v>2</v>
      </c>
      <c r="T57" s="19">
        <v>22.359825207965695</v>
      </c>
      <c r="U57" s="23">
        <f>DataTable[[#This Row],[Sens_1]]/AVERAGEIF(DataTable[Strålkälla],DataTable[[#This Row],[Strålkälla]],DataTable[Sens_1])</f>
        <v>0.99777958282332246</v>
      </c>
      <c r="V57" s="22">
        <v>2145</v>
      </c>
      <c r="W57" s="22">
        <v>2624</v>
      </c>
      <c r="X57" s="23">
        <v>0.1</v>
      </c>
      <c r="Y57" s="23">
        <v>0.03</v>
      </c>
      <c r="Z57" s="23">
        <v>2.5000000000000001E-2</v>
      </c>
      <c r="AA57" s="22">
        <v>2445521</v>
      </c>
      <c r="AB57" s="24">
        <v>136</v>
      </c>
      <c r="AC57" s="22">
        <v>1</v>
      </c>
      <c r="AD57" s="22">
        <v>0</v>
      </c>
      <c r="AE57" s="19">
        <v>27.047542735494709</v>
      </c>
      <c r="AF57" s="23">
        <f>DataTable[[#This Row],[Sens_2]]/AVERAGEIF(DataTable[Strålkälla],DataTable[[#This Row],[Strålkälla]],DataTable[Sens_2])</f>
        <v>1.000208473116692</v>
      </c>
      <c r="AG57" s="22">
        <v>1865</v>
      </c>
      <c r="AH57" s="22">
        <v>2243</v>
      </c>
      <c r="AI57" s="23">
        <v>9.1999999999999998E-2</v>
      </c>
      <c r="AJ57" s="23">
        <v>3.7999999999999999E-2</v>
      </c>
      <c r="AK57" s="23">
        <v>2.5000000000000001E-2</v>
      </c>
      <c r="AL57" s="22">
        <v>2134058</v>
      </c>
      <c r="AM57" s="24">
        <v>136</v>
      </c>
      <c r="AN57" s="22">
        <v>1</v>
      </c>
      <c r="AO57" s="22">
        <v>0</v>
      </c>
      <c r="AP57" s="19">
        <v>23.602751706088139</v>
      </c>
      <c r="AQ57" s="23">
        <f>DataTable[[#This Row],[Sens_3]]/AVERAGEIF(DataTable[Strålkälla],DataTable[[#This Row],[Strålkälla]],DataTable[Sens_3])</f>
        <v>0.99955067888872984</v>
      </c>
      <c r="AR57" s="22">
        <v>1866</v>
      </c>
      <c r="AS57" s="22">
        <v>2212</v>
      </c>
      <c r="AT57" s="23">
        <v>8.5000000000000006E-2</v>
      </c>
      <c r="AU57" s="23">
        <v>0.04</v>
      </c>
      <c r="AV57" s="23">
        <v>2.5000000000000001E-2</v>
      </c>
      <c r="AW57" s="22">
        <v>2074179</v>
      </c>
      <c r="AX57" s="24">
        <v>136</v>
      </c>
      <c r="AY57" s="22">
        <v>0</v>
      </c>
      <c r="AZ57" s="22">
        <v>0</v>
      </c>
      <c r="BA57" s="19">
        <v>22.940487995631884</v>
      </c>
      <c r="BB57" s="23">
        <f>DataTable[[#This Row],[Sens_4]]/AVERAGEIF(DataTable[Strålkälla],DataTable[[#This Row],[Strålkälla]],DataTable[Sens_4])</f>
        <v>1.0039881930613328</v>
      </c>
      <c r="BC57" s="22">
        <v>2114</v>
      </c>
      <c r="BD57" s="22">
        <v>2496</v>
      </c>
      <c r="BE57" s="19">
        <v>8.3000000000000004E-2</v>
      </c>
      <c r="BF57" s="19">
        <v>3.1E-2</v>
      </c>
      <c r="BG57" s="19">
        <v>2.4E-2</v>
      </c>
      <c r="BH57" s="19">
        <v>2340331</v>
      </c>
      <c r="BI57" s="19">
        <v>136</v>
      </c>
      <c r="BJ57" s="19">
        <v>0</v>
      </c>
      <c r="BK57" s="19">
        <v>0</v>
      </c>
      <c r="BL57" s="19">
        <v>25.884137873975757</v>
      </c>
      <c r="BM57" s="23">
        <f>DataTable[[#This Row],[Sens_5]]/AVERAGEIF(DataTable[Strålkälla],DataTable[[#This Row],[Strålkälla]],DataTable[Sens_5])</f>
        <v>1.005849450999442</v>
      </c>
      <c r="BN57" s="19">
        <v>2096</v>
      </c>
      <c r="BO57" s="19">
        <v>2451</v>
      </c>
      <c r="BP57" s="19">
        <v>7.8E-2</v>
      </c>
      <c r="BQ57" s="19">
        <v>3.2000000000000001E-2</v>
      </c>
      <c r="BR57" s="19">
        <v>2.4E-2</v>
      </c>
      <c r="BS57" s="19">
        <v>2326605</v>
      </c>
      <c r="BT57" s="19">
        <v>136</v>
      </c>
      <c r="BU57" s="19">
        <v>0</v>
      </c>
      <c r="BV57" s="19">
        <v>0</v>
      </c>
      <c r="BW57" s="19">
        <v>25.732327862290148</v>
      </c>
      <c r="BX57" s="23">
        <f>DataTable[[#This Row],[Sens_6]]/AVERAGEIF(DataTable[Strålkälla],DataTable[[#This Row],[Strålkälla]],DataTable[Sens_6])</f>
        <v>1.0003053104294357</v>
      </c>
      <c r="BY57" s="19">
        <v>1826</v>
      </c>
      <c r="BZ57" s="19">
        <v>2208</v>
      </c>
      <c r="CA57" s="19">
        <v>9.5000000000000001E-2</v>
      </c>
      <c r="CB57" s="19">
        <v>4.2000000000000003E-2</v>
      </c>
      <c r="CC57" s="19">
        <v>2.5000000000000001E-2</v>
      </c>
      <c r="CD57" s="19">
        <v>2071373</v>
      </c>
      <c r="CE57" s="19">
        <v>136</v>
      </c>
      <c r="CF57" s="19">
        <v>0</v>
      </c>
      <c r="CG57" s="19">
        <v>0</v>
      </c>
      <c r="CH57" s="19">
        <v>22.909453543293999</v>
      </c>
      <c r="CI57" s="23">
        <f>DataTable[[#This Row],[Sens_7]]/AVERAGEIF(DataTable[Strålkälla],DataTable[[#This Row],[Strålkälla]],DataTable[Sens_7])</f>
        <v>1.0019241061809439</v>
      </c>
      <c r="CJ57" s="19">
        <v>2228</v>
      </c>
      <c r="CK57" s="19">
        <v>2633</v>
      </c>
      <c r="CL57" s="19">
        <v>8.3000000000000004E-2</v>
      </c>
      <c r="CM57" s="19">
        <v>4.1000000000000002E-2</v>
      </c>
      <c r="CN57" s="19">
        <v>2.5000000000000001E-2</v>
      </c>
      <c r="CO57" s="19">
        <v>2455919</v>
      </c>
      <c r="CP57" s="19">
        <v>136</v>
      </c>
      <c r="CQ57" s="19">
        <v>0</v>
      </c>
      <c r="CR57" s="19">
        <v>0</v>
      </c>
      <c r="CS57" s="19">
        <v>27.162544957664821</v>
      </c>
      <c r="CT57" s="23">
        <f>DataTable[[#This Row],[Sens_8]]/AVERAGEIF(DataTable[Strålkälla],DataTable[[#This Row],[Strålkälla]],DataTable[Sens_8])</f>
        <v>1.0053370564151778</v>
      </c>
      <c r="CU57" s="19">
        <v>1746</v>
      </c>
      <c r="CV57" s="19">
        <v>2093</v>
      </c>
      <c r="CW57" s="19">
        <v>0.09</v>
      </c>
      <c r="CX57" s="19">
        <v>3.2000000000000001E-2</v>
      </c>
      <c r="CY57" s="19">
        <v>2.5999999999999999E-2</v>
      </c>
      <c r="CZ57" s="19">
        <v>1960718</v>
      </c>
      <c r="DA57" s="19">
        <v>132</v>
      </c>
      <c r="DB57" s="19">
        <v>0</v>
      </c>
      <c r="DC57" s="19">
        <v>0</v>
      </c>
      <c r="DD57" s="19">
        <v>22.342745165631701</v>
      </c>
      <c r="DE57" s="23">
        <f>DataTable[[#This Row],[Sens_9]]/AVERAGEIF(DataTable[Strålkälla],DataTable[[#This Row],[Strålkälla]],DataTable[Sens_9])</f>
        <v>0.99883507167295016</v>
      </c>
      <c r="DF57" s="19">
        <v>1684</v>
      </c>
      <c r="DG57" s="19">
        <v>2040</v>
      </c>
      <c r="DH57" s="19">
        <v>9.6000000000000002E-2</v>
      </c>
      <c r="DI57" s="19">
        <v>3.6999999999999998E-2</v>
      </c>
      <c r="DJ57" s="19">
        <v>2.5999999999999999E-2</v>
      </c>
      <c r="DK57" s="19">
        <v>1904433</v>
      </c>
      <c r="DL57" s="19">
        <v>132</v>
      </c>
      <c r="DM57" s="19">
        <v>0</v>
      </c>
      <c r="DN57" s="19">
        <v>0</v>
      </c>
      <c r="DO57" s="19">
        <v>21.701367154287091</v>
      </c>
      <c r="DP57" s="23">
        <f>DataTable[[#This Row],[Sens_10]]/AVERAGEIF(DataTable[Strålkälla],DataTable[[#This Row],[Strålkälla]],DataTable[Sens_10])</f>
        <v>1.0002417320684656</v>
      </c>
      <c r="DQ57" s="19">
        <v>1463</v>
      </c>
      <c r="DR57" s="19">
        <v>1782</v>
      </c>
      <c r="DS57" s="19">
        <v>9.8000000000000004E-2</v>
      </c>
      <c r="DT57" s="19">
        <v>4.4999999999999998E-2</v>
      </c>
      <c r="DU57" s="19">
        <v>2.7E-2</v>
      </c>
      <c r="DV57" s="19">
        <v>1673791</v>
      </c>
      <c r="DW57" s="19">
        <v>132</v>
      </c>
      <c r="DX57" s="19">
        <v>0</v>
      </c>
      <c r="DY57" s="19">
        <v>0</v>
      </c>
      <c r="DZ57" s="19">
        <v>19.073158798729775</v>
      </c>
      <c r="EA57" s="23">
        <f>DataTable[[#This Row],[Sens_11]]/AVERAGEIF(DataTable[Strålkälla],DataTable[[#This Row],[Strålkälla]],DataTable[Sens_11])</f>
        <v>0.99954677405857995</v>
      </c>
      <c r="EB57" s="19">
        <v>1758</v>
      </c>
      <c r="EC57" s="19">
        <v>2126</v>
      </c>
      <c r="ED57" s="19">
        <v>9.5000000000000001E-2</v>
      </c>
      <c r="EE57" s="19">
        <v>4.2999999999999997E-2</v>
      </c>
      <c r="EF57" s="19">
        <v>2.5999999999999999E-2</v>
      </c>
      <c r="EG57" s="19">
        <v>1991893</v>
      </c>
      <c r="EH57" s="19">
        <v>132</v>
      </c>
      <c r="EI57" s="19">
        <v>0</v>
      </c>
      <c r="EJ57" s="19">
        <v>0</v>
      </c>
      <c r="EK57" s="19">
        <v>22.697990071089073</v>
      </c>
      <c r="EL57" s="23">
        <f>DataTable[[#This Row],[Sens_12]]/AVERAGEIF(DataTable[Strålkälla],DataTable[[#This Row],[Strålkälla]],DataTable[Sens_12])</f>
        <v>0.99980091442813546</v>
      </c>
      <c r="EM57" s="19">
        <v>1511</v>
      </c>
      <c r="EN57" s="19">
        <v>1866</v>
      </c>
      <c r="EO57" s="19">
        <v>0.105</v>
      </c>
      <c r="EP57" s="19">
        <v>3.7999999999999999E-2</v>
      </c>
      <c r="EQ57" s="19">
        <v>2.7E-2</v>
      </c>
      <c r="ER57" s="19">
        <v>1701793</v>
      </c>
      <c r="ES57" s="19">
        <v>141</v>
      </c>
      <c r="ET57" s="19">
        <v>0</v>
      </c>
      <c r="EU57" s="19">
        <v>1</v>
      </c>
      <c r="EV57" s="19">
        <v>18.15444379483888</v>
      </c>
      <c r="EW57" s="19">
        <f>DataTable[[#This Row],[Sens_13]]/AVERAGEIF(DataTable[Strålkälla],DataTable[[#This Row],[Strålkälla]],DataTable[Sens_13])</f>
        <v>1.0076845287356841</v>
      </c>
      <c r="EX57" s="19">
        <v>1237</v>
      </c>
      <c r="EY57" s="19">
        <v>1542</v>
      </c>
      <c r="EZ57" s="19">
        <v>0.11</v>
      </c>
      <c r="FA57" s="19">
        <v>3.7999999999999999E-2</v>
      </c>
      <c r="FB57" s="19">
        <v>3.1E-2</v>
      </c>
      <c r="FC57" s="19">
        <v>1438490</v>
      </c>
      <c r="FD57" s="19">
        <v>141</v>
      </c>
      <c r="FE57" s="19">
        <v>0</v>
      </c>
      <c r="FF57" s="19">
        <v>0</v>
      </c>
      <c r="FG57" s="19">
        <v>15.345571320623471</v>
      </c>
      <c r="FH57" s="19">
        <f>DataTable[[#This Row],[Sens_14]]/AVERAGEIF(DataTable[Strålkälla],DataTable[[#This Row],[Strålkälla]],DataTable[Sens_14])</f>
        <v>1.0051086349867855</v>
      </c>
      <c r="FI57" s="19">
        <v>1436</v>
      </c>
      <c r="FJ57" s="19">
        <v>1745</v>
      </c>
      <c r="FK57" s="19">
        <v>9.7000000000000003E-2</v>
      </c>
      <c r="FL57" s="19">
        <v>4.1000000000000002E-2</v>
      </c>
      <c r="FM57" s="19">
        <v>2.5999999999999999E-2</v>
      </c>
      <c r="FN57" s="19">
        <v>1635008</v>
      </c>
      <c r="FO57" s="19">
        <v>141</v>
      </c>
      <c r="FP57" s="19">
        <v>0</v>
      </c>
      <c r="FQ57" s="19">
        <v>0</v>
      </c>
      <c r="FR57" s="19">
        <v>17.441992557327435</v>
      </c>
      <c r="FS57" s="19">
        <f>DataTable[[#This Row],[Sens_15]]/AVERAGEIF(DataTable[Strålkälla],DataTable[[#This Row],[Strålkälla]],DataTable[Sens_15])</f>
        <v>1.0096762225288984</v>
      </c>
      <c r="FT57" s="19">
        <v>1316</v>
      </c>
      <c r="FU57" s="19">
        <v>1589</v>
      </c>
      <c r="FV57" s="19">
        <v>9.4E-2</v>
      </c>
      <c r="FW57" s="19">
        <v>4.2999999999999997E-2</v>
      </c>
      <c r="FX57" s="19">
        <v>2.8000000000000001E-2</v>
      </c>
      <c r="FY57" s="19">
        <v>1469472</v>
      </c>
      <c r="FZ57" s="19">
        <v>141</v>
      </c>
      <c r="GA57" s="19">
        <v>0</v>
      </c>
      <c r="GB57" s="19">
        <v>0</v>
      </c>
      <c r="GC57" s="19">
        <v>15.67608212754987</v>
      </c>
      <c r="GD57" s="19">
        <f>DataTable[[#This Row],[Sens_16]]/AVERAGEIF(DataTable[Strålkälla],DataTable[[#This Row],[Strålkälla]],DataTable[Sens_16])</f>
        <v>1.0086136353425672</v>
      </c>
      <c r="GE57" s="19">
        <v>1223</v>
      </c>
      <c r="GF57" s="19">
        <v>1570</v>
      </c>
      <c r="GG57" s="19">
        <v>0.124</v>
      </c>
      <c r="GH57" s="19">
        <v>4.1000000000000002E-2</v>
      </c>
      <c r="GI57" s="19">
        <v>0.03</v>
      </c>
      <c r="GJ57" s="19">
        <v>1408499</v>
      </c>
      <c r="GK57" s="19">
        <v>141</v>
      </c>
      <c r="GL57" s="19">
        <v>0</v>
      </c>
      <c r="GM57" s="19">
        <v>1</v>
      </c>
      <c r="GN57" s="19">
        <v>15.025632336357457</v>
      </c>
      <c r="GO57" s="19">
        <f>DataTable[[#This Row],[Sens_17]]/AVERAGEIF(DataTable[Strålkälla],DataTable[[#This Row],[Strålkälla]],DataTable[Sens_17])</f>
        <v>1.0069344625248164</v>
      </c>
      <c r="GP57" s="19">
        <v>1426</v>
      </c>
      <c r="GQ57" s="19">
        <v>1756</v>
      </c>
      <c r="GR57" s="19">
        <v>0.104</v>
      </c>
      <c r="GS57" s="19">
        <v>4.2000000000000003E-2</v>
      </c>
      <c r="GT57" s="19">
        <v>2.9000000000000001E-2</v>
      </c>
      <c r="GU57" s="19">
        <v>1629079</v>
      </c>
      <c r="GV57" s="19">
        <v>141</v>
      </c>
      <c r="GW57" s="19">
        <v>0</v>
      </c>
      <c r="GX57" s="19">
        <v>0</v>
      </c>
      <c r="GY57" s="19">
        <v>17.378742974528819</v>
      </c>
      <c r="GZ57" s="19">
        <f>DataTable[[#This Row],[Sens_18]]/AVERAGEIF(DataTable[Strålkälla],DataTable[[#This Row],[Strålkälla]],DataTable[Sens_18])</f>
        <v>1.0064859090115628</v>
      </c>
      <c r="HA57" s="19">
        <v>1263</v>
      </c>
      <c r="HB57" s="19">
        <v>1636</v>
      </c>
      <c r="HC57" s="19">
        <v>0.129</v>
      </c>
      <c r="HD57" s="19">
        <v>4.2999999999999997E-2</v>
      </c>
      <c r="HE57" s="19">
        <v>3.1E-2</v>
      </c>
      <c r="HF57" s="19">
        <v>1474438</v>
      </c>
      <c r="HG57" s="19">
        <v>141</v>
      </c>
      <c r="HH57" s="19">
        <v>0</v>
      </c>
      <c r="HI57" s="19">
        <v>2</v>
      </c>
      <c r="HJ57" s="19">
        <v>15.729058587016544</v>
      </c>
      <c r="HK57" s="19">
        <f>DataTable[[#This Row],[Sens_19]]/AVERAGEIF(DataTable[Strålkälla],DataTable[[#This Row],[Strålkälla]],DataTable[Sens_19])</f>
        <v>1.0052471719184355</v>
      </c>
      <c r="HL57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0.129</v>
      </c>
      <c r="HM57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9.8421052631578951E-2</v>
      </c>
      <c r="HN57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4.4999999999999998E-2</v>
      </c>
      <c r="HO57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3.8473684210526327E-2</v>
      </c>
      <c r="HP57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0.99777958282332246</v>
      </c>
      <c r="HQ57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1.0033219952206291</v>
      </c>
      <c r="HR57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1.0096762225288984</v>
      </c>
      <c r="HS57" s="49" t="s">
        <v>289</v>
      </c>
    </row>
    <row r="58" spans="2:227" x14ac:dyDescent="0.25">
      <c r="B58" s="19" t="s">
        <v>43</v>
      </c>
      <c r="C58" s="20">
        <v>42565</v>
      </c>
      <c r="D58" s="21">
        <v>0.3170486111111111</v>
      </c>
      <c r="E58" s="13" t="s">
        <v>217</v>
      </c>
      <c r="F58" s="13">
        <v>109.8</v>
      </c>
      <c r="G58" s="13">
        <v>134.19999999999999</v>
      </c>
      <c r="H58" s="24">
        <v>6.8259999999999996</v>
      </c>
      <c r="I58" s="22">
        <f>MATCH(DataTable[[#This Row],[Datum]],Övrigt!$D$10:$M$10,1)</f>
        <v>2</v>
      </c>
      <c r="J58" s="13"/>
      <c r="K58" s="22">
        <v>1785</v>
      </c>
      <c r="L58" s="22">
        <v>2171</v>
      </c>
      <c r="M58" s="23">
        <v>9.8000000000000004E-2</v>
      </c>
      <c r="N58" s="23">
        <v>3.7999999999999999E-2</v>
      </c>
      <c r="O58" s="23">
        <v>2.7E-2</v>
      </c>
      <c r="P58" s="22">
        <v>2025533</v>
      </c>
      <c r="Q58" s="24">
        <v>136</v>
      </c>
      <c r="R58" s="22">
        <v>0</v>
      </c>
      <c r="S58" s="22">
        <v>0</v>
      </c>
      <c r="T58" s="19">
        <v>22.459678181646183</v>
      </c>
      <c r="U58" s="23">
        <f>DataTable[[#This Row],[Sens_1]]/AVERAGEIF(DataTable[Strålkälla],DataTable[[#This Row],[Strålkälla]],DataTable[Sens_1])</f>
        <v>1.0022353984433432</v>
      </c>
      <c r="V58" s="22">
        <v>2191</v>
      </c>
      <c r="W58" s="22">
        <v>2640</v>
      </c>
      <c r="X58" s="23">
        <v>9.2999999999999999E-2</v>
      </c>
      <c r="Y58" s="23">
        <v>3.5999999999999997E-2</v>
      </c>
      <c r="Z58" s="23">
        <v>2.4E-2</v>
      </c>
      <c r="AA58" s="22">
        <v>2457621</v>
      </c>
      <c r="AB58" s="24">
        <v>136</v>
      </c>
      <c r="AC58" s="22">
        <v>0</v>
      </c>
      <c r="AD58" s="22">
        <v>1</v>
      </c>
      <c r="AE58" s="19">
        <v>27.250791150998516</v>
      </c>
      <c r="AF58" s="23">
        <f>DataTable[[#This Row],[Sens_2]]/AVERAGEIF(DataTable[Strålkälla],DataTable[[#This Row],[Strålkälla]],DataTable[Sens_2])</f>
        <v>1.0077245269528017</v>
      </c>
      <c r="AG58" s="22">
        <v>1883</v>
      </c>
      <c r="AH58" s="22">
        <v>2273</v>
      </c>
      <c r="AI58" s="23">
        <v>9.4E-2</v>
      </c>
      <c r="AJ58" s="23">
        <v>3.5999999999999997E-2</v>
      </c>
      <c r="AK58" s="23">
        <v>2.5000000000000001E-2</v>
      </c>
      <c r="AL58" s="22">
        <v>2135021</v>
      </c>
      <c r="AM58" s="24">
        <v>136</v>
      </c>
      <c r="AN58" s="22">
        <v>0</v>
      </c>
      <c r="AO58" s="22">
        <v>0</v>
      </c>
      <c r="AP58" s="19">
        <v>23.673711843280962</v>
      </c>
      <c r="AQ58" s="23">
        <f>DataTable[[#This Row],[Sens_3]]/AVERAGEIF(DataTable[Strålkälla],DataTable[[#This Row],[Strålkälla]],DataTable[Sens_3])</f>
        <v>1.0025557629648729</v>
      </c>
      <c r="AR58" s="22">
        <v>1843</v>
      </c>
      <c r="AS58" s="22">
        <v>2239</v>
      </c>
      <c r="AT58" s="23">
        <v>9.7000000000000003E-2</v>
      </c>
      <c r="AU58" s="23">
        <v>3.2000000000000001E-2</v>
      </c>
      <c r="AV58" s="23">
        <v>2.5000000000000001E-2</v>
      </c>
      <c r="AW58" s="22">
        <v>2076336</v>
      </c>
      <c r="AX58" s="24">
        <v>136</v>
      </c>
      <c r="AY58" s="22">
        <v>0</v>
      </c>
      <c r="AZ58" s="22">
        <v>1</v>
      </c>
      <c r="BA58" s="19">
        <v>23.022996098788077</v>
      </c>
      <c r="BB58" s="23">
        <f>DataTable[[#This Row],[Sens_4]]/AVERAGEIF(DataTable[Strålkälla],DataTable[[#This Row],[Strålkälla]],DataTable[Sens_4])</f>
        <v>1.0075991520529846</v>
      </c>
      <c r="BC58" s="22">
        <v>2097</v>
      </c>
      <c r="BD58" s="22">
        <v>2459</v>
      </c>
      <c r="BE58" s="19">
        <v>7.9000000000000001E-2</v>
      </c>
      <c r="BF58" s="19">
        <v>3.1E-2</v>
      </c>
      <c r="BG58" s="19">
        <v>2.4E-2</v>
      </c>
      <c r="BH58" s="19">
        <v>2336909</v>
      </c>
      <c r="BI58" s="19">
        <v>136</v>
      </c>
      <c r="BJ58" s="19">
        <v>0</v>
      </c>
      <c r="BK58" s="19">
        <v>0</v>
      </c>
      <c r="BL58" s="19">
        <v>25.912302628390947</v>
      </c>
      <c r="BM58" s="23">
        <f>DataTable[[#This Row],[Sens_5]]/AVERAGEIF(DataTable[Strålkälla],DataTable[[#This Row],[Strålkälla]],DataTable[Sens_5])</f>
        <v>1.0069439244914309</v>
      </c>
      <c r="BN58" s="19">
        <v>2091</v>
      </c>
      <c r="BO58" s="19">
        <v>2464</v>
      </c>
      <c r="BP58" s="19">
        <v>8.2000000000000003E-2</v>
      </c>
      <c r="BQ58" s="19">
        <v>0.04</v>
      </c>
      <c r="BR58" s="19">
        <v>2.4E-2</v>
      </c>
      <c r="BS58" s="19">
        <v>2330280</v>
      </c>
      <c r="BT58" s="19">
        <v>136</v>
      </c>
      <c r="BU58" s="19">
        <v>0</v>
      </c>
      <c r="BV58" s="19">
        <v>0</v>
      </c>
      <c r="BW58" s="19">
        <v>25.83879841657799</v>
      </c>
      <c r="BX58" s="23">
        <f>DataTable[[#This Row],[Sens_6]]/AVERAGEIF(DataTable[Strålkälla],DataTable[[#This Row],[Strålkälla]],DataTable[Sens_6])</f>
        <v>1.0044441921283034</v>
      </c>
      <c r="BY58" s="19">
        <v>1796</v>
      </c>
      <c r="BZ58" s="19">
        <v>2178</v>
      </c>
      <c r="CA58" s="19">
        <v>9.6000000000000002E-2</v>
      </c>
      <c r="CB58" s="19">
        <v>4.4999999999999998E-2</v>
      </c>
      <c r="CC58" s="19">
        <v>2.5999999999999999E-2</v>
      </c>
      <c r="CD58" s="19">
        <v>2059590</v>
      </c>
      <c r="CE58" s="19">
        <v>136</v>
      </c>
      <c r="CF58" s="19">
        <v>1</v>
      </c>
      <c r="CG58" s="19">
        <v>0</v>
      </c>
      <c r="CH58" s="19">
        <v>22.83731175257903</v>
      </c>
      <c r="CI58" s="23">
        <f>DataTable[[#This Row],[Sens_7]]/AVERAGEIF(DataTable[Strålkälla],DataTable[[#This Row],[Strålkälla]],DataTable[Sens_7])</f>
        <v>0.99876905060339405</v>
      </c>
      <c r="CJ58" s="19">
        <v>2171</v>
      </c>
      <c r="CK58" s="19">
        <v>2617</v>
      </c>
      <c r="CL58" s="19">
        <v>9.2999999999999999E-2</v>
      </c>
      <c r="CM58" s="19">
        <v>3.9E-2</v>
      </c>
      <c r="CN58" s="19">
        <v>2.5000000000000001E-2</v>
      </c>
      <c r="CO58" s="19">
        <v>2448112</v>
      </c>
      <c r="CP58" s="19">
        <v>136</v>
      </c>
      <c r="CQ58" s="19">
        <v>0</v>
      </c>
      <c r="CR58" s="19">
        <v>0</v>
      </c>
      <c r="CS58" s="19">
        <v>27.145352691181138</v>
      </c>
      <c r="CT58" s="23">
        <f>DataTable[[#This Row],[Sens_8]]/AVERAGEIF(DataTable[Strålkälla],DataTable[[#This Row],[Strålkälla]],DataTable[Sens_8])</f>
        <v>1.0047007381833351</v>
      </c>
      <c r="CU58" s="19">
        <v>1678</v>
      </c>
      <c r="CV58" s="19">
        <v>2228</v>
      </c>
      <c r="CW58" s="19">
        <v>0.14099999999999999</v>
      </c>
      <c r="CX58" s="19">
        <v>5.6000000000000001E-2</v>
      </c>
      <c r="CY58" s="19">
        <v>2.7E-2</v>
      </c>
      <c r="CZ58" s="19">
        <v>1959816</v>
      </c>
      <c r="DA58" s="19">
        <v>132</v>
      </c>
      <c r="DB58" s="19">
        <v>1</v>
      </c>
      <c r="DC58" s="19">
        <v>2</v>
      </c>
      <c r="DD58" s="19">
        <v>22.389504486102371</v>
      </c>
      <c r="DE58" s="23">
        <f>DataTable[[#This Row],[Sens_9]]/AVERAGEIF(DataTable[Strålkälla],DataTable[[#This Row],[Strålkälla]],DataTable[Sens_9])</f>
        <v>1.0009254526385596</v>
      </c>
      <c r="DF58" s="19">
        <v>1707</v>
      </c>
      <c r="DG58" s="19">
        <v>2041</v>
      </c>
      <c r="DH58" s="19">
        <v>8.8999999999999996E-2</v>
      </c>
      <c r="DI58" s="19">
        <v>4.2000000000000003E-2</v>
      </c>
      <c r="DJ58" s="19">
        <v>2.5999999999999999E-2</v>
      </c>
      <c r="DK58" s="19">
        <v>1905153</v>
      </c>
      <c r="DL58" s="19">
        <v>132</v>
      </c>
      <c r="DM58" s="19">
        <v>0</v>
      </c>
      <c r="DN58" s="19">
        <v>0</v>
      </c>
      <c r="DO58" s="19">
        <v>21.765018573280038</v>
      </c>
      <c r="DP58" s="23">
        <f>DataTable[[#This Row],[Sens_10]]/AVERAGEIF(DataTable[Strålkälla],DataTable[[#This Row],[Strålkälla]],DataTable[Sens_10])</f>
        <v>1.0031755014079491</v>
      </c>
      <c r="DQ58" s="19">
        <v>1495</v>
      </c>
      <c r="DR58" s="19">
        <v>1777</v>
      </c>
      <c r="DS58" s="19">
        <v>8.5999999999999993E-2</v>
      </c>
      <c r="DT58" s="19">
        <v>3.4000000000000002E-2</v>
      </c>
      <c r="DU58" s="19">
        <v>2.7E-2</v>
      </c>
      <c r="DV58" s="19">
        <v>1676268</v>
      </c>
      <c r="DW58" s="19">
        <v>132</v>
      </c>
      <c r="DX58" s="19">
        <v>0</v>
      </c>
      <c r="DY58" s="19">
        <v>0</v>
      </c>
      <c r="DZ58" s="19">
        <v>19.150170172051791</v>
      </c>
      <c r="EA58" s="23">
        <f>DataTable[[#This Row],[Sens_11]]/AVERAGEIF(DataTable[Strålkälla],DataTable[[#This Row],[Strålkälla]],DataTable[Sens_11])</f>
        <v>1.0035826273004127</v>
      </c>
      <c r="EB58" s="19">
        <v>1764</v>
      </c>
      <c r="EC58" s="19">
        <v>2254</v>
      </c>
      <c r="ED58" s="19">
        <v>0.122</v>
      </c>
      <c r="EE58" s="19">
        <v>4.1000000000000002E-2</v>
      </c>
      <c r="EF58" s="19">
        <v>2.5999999999999999E-2</v>
      </c>
      <c r="EG58" s="19">
        <v>1990431</v>
      </c>
      <c r="EH58" s="19">
        <v>132</v>
      </c>
      <c r="EI58" s="19">
        <v>0</v>
      </c>
      <c r="EJ58" s="19">
        <v>1</v>
      </c>
      <c r="EK58" s="19">
        <v>22.739259095638179</v>
      </c>
      <c r="EL58" s="23">
        <f>DataTable[[#This Row],[Sens_12]]/AVERAGEIF(DataTable[Strålkälla],DataTable[[#This Row],[Strålkälla]],DataTable[Sens_12])</f>
        <v>1.0016187321447054</v>
      </c>
      <c r="EM58" s="19">
        <v>1505</v>
      </c>
      <c r="EN58" s="19">
        <v>1820</v>
      </c>
      <c r="EO58" s="19">
        <v>9.5000000000000001E-2</v>
      </c>
      <c r="EP58" s="19">
        <v>3.5000000000000003E-2</v>
      </c>
      <c r="EQ58" s="19">
        <v>2.7E-2</v>
      </c>
      <c r="ER58" s="19">
        <v>1698755</v>
      </c>
      <c r="ES58" s="19">
        <v>142</v>
      </c>
      <c r="ET58" s="19">
        <v>0</v>
      </c>
      <c r="EU58" s="19">
        <v>0</v>
      </c>
      <c r="EV58" s="19">
        <v>18.040373219264158</v>
      </c>
      <c r="EW58" s="19">
        <f>DataTable[[#This Row],[Sens_13]]/AVERAGEIF(DataTable[Strålkälla],DataTable[[#This Row],[Strålkälla]],DataTable[Sens_13])</f>
        <v>1.001352902413797</v>
      </c>
      <c r="EX58" s="19">
        <v>1278</v>
      </c>
      <c r="EY58" s="19">
        <v>1616</v>
      </c>
      <c r="EZ58" s="19">
        <v>0.11700000000000001</v>
      </c>
      <c r="FA58" s="19">
        <v>0.05</v>
      </c>
      <c r="FB58" s="19">
        <v>2.9000000000000001E-2</v>
      </c>
      <c r="FC58" s="19">
        <v>1437220</v>
      </c>
      <c r="FD58" s="19">
        <v>142</v>
      </c>
      <c r="FE58" s="19">
        <v>0</v>
      </c>
      <c r="FF58" s="19">
        <v>1</v>
      </c>
      <c r="FG58" s="19">
        <v>15.262933853434328</v>
      </c>
      <c r="FH58" s="19">
        <f>DataTable[[#This Row],[Sens_14]]/AVERAGEIF(DataTable[Strålkälla],DataTable[[#This Row],[Strålkälla]],DataTable[Sens_14])</f>
        <v>0.99969602244145672</v>
      </c>
      <c r="FI58" s="19">
        <v>1470</v>
      </c>
      <c r="FJ58" s="19">
        <v>1775</v>
      </c>
      <c r="FK58" s="19">
        <v>9.4E-2</v>
      </c>
      <c r="FL58" s="19">
        <v>3.9E-2</v>
      </c>
      <c r="FM58" s="19">
        <v>2.8000000000000001E-2</v>
      </c>
      <c r="FN58" s="19">
        <v>1633084</v>
      </c>
      <c r="FO58" s="19">
        <v>142</v>
      </c>
      <c r="FP58" s="19">
        <v>0</v>
      </c>
      <c r="FQ58" s="19">
        <v>1</v>
      </c>
      <c r="FR58" s="19">
        <v>17.342962851269775</v>
      </c>
      <c r="FS58" s="19">
        <f>DataTable[[#This Row],[Sens_15]]/AVERAGEIF(DataTable[Strålkälla],DataTable[[#This Row],[Strålkälla]],DataTable[Sens_15])</f>
        <v>1.0039436240770983</v>
      </c>
      <c r="FT58" s="19">
        <v>1272</v>
      </c>
      <c r="FU58" s="19">
        <v>1576</v>
      </c>
      <c r="FV58" s="19">
        <v>0.107</v>
      </c>
      <c r="FW58" s="19">
        <v>5.3999999999999999E-2</v>
      </c>
      <c r="FX58" s="19">
        <v>2.8000000000000001E-2</v>
      </c>
      <c r="FY58" s="19">
        <v>1470639</v>
      </c>
      <c r="FZ58" s="19">
        <v>142</v>
      </c>
      <c r="GA58" s="19">
        <v>1</v>
      </c>
      <c r="GB58" s="19">
        <v>0</v>
      </c>
      <c r="GC58" s="19">
        <v>15.617835668360311</v>
      </c>
      <c r="GD58" s="19">
        <f>DataTable[[#This Row],[Sens_16]]/AVERAGEIF(DataTable[Strålkälla],DataTable[[#This Row],[Strålkälla]],DataTable[Sens_16])</f>
        <v>1.00486600423991</v>
      </c>
      <c r="GE58" s="19">
        <v>1249</v>
      </c>
      <c r="GF58" s="19">
        <v>1542</v>
      </c>
      <c r="GG58" s="19">
        <v>0.105</v>
      </c>
      <c r="GH58" s="19">
        <v>5.5E-2</v>
      </c>
      <c r="GI58" s="19">
        <v>3.1E-2</v>
      </c>
      <c r="GJ58" s="19">
        <v>1408566</v>
      </c>
      <c r="GK58" s="19">
        <v>142</v>
      </c>
      <c r="GL58" s="19">
        <v>0</v>
      </c>
      <c r="GM58" s="19">
        <v>0</v>
      </c>
      <c r="GN58" s="19">
        <v>14.958635202819734</v>
      </c>
      <c r="GO58" s="19">
        <f>DataTable[[#This Row],[Sens_17]]/AVERAGEIF(DataTable[Strålkälla],DataTable[[#This Row],[Strålkälla]],DataTable[Sens_17])</f>
        <v>1.0024446865779983</v>
      </c>
      <c r="GP58" s="19">
        <v>1450</v>
      </c>
      <c r="GQ58" s="19">
        <v>1766</v>
      </c>
      <c r="GR58" s="19">
        <v>9.8000000000000004E-2</v>
      </c>
      <c r="GS58" s="19">
        <v>4.7E-2</v>
      </c>
      <c r="GT58" s="19">
        <v>2.8000000000000001E-2</v>
      </c>
      <c r="GU58" s="19">
        <v>1634190</v>
      </c>
      <c r="GV58" s="19">
        <v>142</v>
      </c>
      <c r="GW58" s="19">
        <v>0</v>
      </c>
      <c r="GX58" s="19">
        <v>0</v>
      </c>
      <c r="GY58" s="19">
        <v>17.35470830766608</v>
      </c>
      <c r="GZ58" s="19">
        <f>DataTable[[#This Row],[Sens_18]]/AVERAGEIF(DataTable[Strålkälla],DataTable[[#This Row],[Strålkälla]],DataTable[Sens_18])</f>
        <v>1.0050939467988418</v>
      </c>
      <c r="HA58" s="19">
        <v>1283</v>
      </c>
      <c r="HB58" s="19">
        <v>1616</v>
      </c>
      <c r="HC58" s="19">
        <v>0.115</v>
      </c>
      <c r="HD58" s="19">
        <v>6.7000000000000004E-2</v>
      </c>
      <c r="HE58" s="19">
        <v>0.03</v>
      </c>
      <c r="HF58" s="19">
        <v>1474354</v>
      </c>
      <c r="HG58" s="19">
        <v>142</v>
      </c>
      <c r="HH58" s="19">
        <v>0</v>
      </c>
      <c r="HI58" s="19">
        <v>1</v>
      </c>
      <c r="HJ58" s="19">
        <v>15.657288082928371</v>
      </c>
      <c r="HK58" s="19">
        <f>DataTable[[#This Row],[Sens_19]]/AVERAGEIF(DataTable[Strålkälla],DataTable[[#This Row],[Strålkälla]],DataTable[Sens_19])</f>
        <v>1.0006603051417202</v>
      </c>
      <c r="HL58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0.14099999999999999</v>
      </c>
      <c r="HM58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0.10005263157894737</v>
      </c>
      <c r="HN58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6.7000000000000004E-2</v>
      </c>
      <c r="HO58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4.300000000000001E-2</v>
      </c>
      <c r="HP58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0.99876905060339405</v>
      </c>
      <c r="HQ58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1.0032806605791009</v>
      </c>
      <c r="HR58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1.0077245269528017</v>
      </c>
      <c r="HS58" s="49"/>
    </row>
    <row r="59" spans="2:227" x14ac:dyDescent="0.25">
      <c r="B59" s="19" t="s">
        <v>43</v>
      </c>
      <c r="C59" s="20">
        <v>42583</v>
      </c>
      <c r="D59" s="21">
        <v>0.3172800925925926</v>
      </c>
      <c r="E59" s="13" t="s">
        <v>217</v>
      </c>
      <c r="F59" s="13">
        <v>109.8</v>
      </c>
      <c r="G59" s="13">
        <v>134.19999999999999</v>
      </c>
      <c r="H59" s="24">
        <v>7.1521999999999997</v>
      </c>
      <c r="I59" s="22">
        <f>MATCH(DataTable[[#This Row],[Datum]],Övrigt!$D$10:$M$10,1)</f>
        <v>2</v>
      </c>
      <c r="J59" s="13"/>
      <c r="K59" s="22">
        <v>1799</v>
      </c>
      <c r="L59" s="22">
        <v>2170</v>
      </c>
      <c r="M59" s="23">
        <v>9.2999999999999999E-2</v>
      </c>
      <c r="N59" s="23">
        <v>4.7E-2</v>
      </c>
      <c r="O59" s="23">
        <v>2.8000000000000001E-2</v>
      </c>
      <c r="P59" s="22">
        <v>2027111</v>
      </c>
      <c r="Q59" s="24">
        <v>142</v>
      </c>
      <c r="R59" s="22">
        <v>0</v>
      </c>
      <c r="S59" s="22">
        <v>0</v>
      </c>
      <c r="T59" s="19">
        <v>22.538886854311816</v>
      </c>
      <c r="U59" s="23">
        <f>DataTable[[#This Row],[Sens_1]]/AVERAGEIF(DataTable[Strålkälla],DataTable[[#This Row],[Strålkälla]],DataTable[Sens_1])</f>
        <v>1.0057699876287787</v>
      </c>
      <c r="V59" s="22">
        <v>2185</v>
      </c>
      <c r="W59" s="22">
        <v>2637</v>
      </c>
      <c r="X59" s="23">
        <v>9.4E-2</v>
      </c>
      <c r="Y59" s="23">
        <v>3.7999999999999999E-2</v>
      </c>
      <c r="Z59" s="23">
        <v>2.4E-2</v>
      </c>
      <c r="AA59" s="22">
        <v>2453180</v>
      </c>
      <c r="AB59" s="24">
        <v>142</v>
      </c>
      <c r="AC59" s="22">
        <v>0</v>
      </c>
      <c r="AD59" s="22">
        <v>1</v>
      </c>
      <c r="AE59" s="19">
        <v>27.276230286975238</v>
      </c>
      <c r="AF59" s="23">
        <f>DataTable[[#This Row],[Sens_2]]/AVERAGEIF(DataTable[Strålkälla],DataTable[[#This Row],[Strålkälla]],DataTable[Sens_2])</f>
        <v>1.0086652571182555</v>
      </c>
      <c r="AG59" s="22">
        <v>1920</v>
      </c>
      <c r="AH59" s="22">
        <v>2305</v>
      </c>
      <c r="AI59" s="23">
        <v>9.0999999999999998E-2</v>
      </c>
      <c r="AJ59" s="23">
        <v>3.7999999999999999E-2</v>
      </c>
      <c r="AK59" s="23">
        <v>2.5999999999999999E-2</v>
      </c>
      <c r="AL59" s="22">
        <v>2135457</v>
      </c>
      <c r="AM59" s="24">
        <v>142</v>
      </c>
      <c r="AN59" s="22">
        <v>0</v>
      </c>
      <c r="AO59" s="22">
        <v>1</v>
      </c>
      <c r="AP59" s="19">
        <v>23.743556078205952</v>
      </c>
      <c r="AQ59" s="23">
        <f>DataTable[[#This Row],[Sens_3]]/AVERAGEIF(DataTable[Strålkälla],DataTable[[#This Row],[Strålkälla]],DataTable[Sens_3])</f>
        <v>1.0055135898023992</v>
      </c>
      <c r="AR59" s="22">
        <v>1826</v>
      </c>
      <c r="AS59" s="22">
        <v>2203</v>
      </c>
      <c r="AT59" s="23">
        <v>9.4E-2</v>
      </c>
      <c r="AU59" s="23">
        <v>4.2000000000000003E-2</v>
      </c>
      <c r="AV59" s="23">
        <v>2.5999999999999999E-2</v>
      </c>
      <c r="AW59" s="22">
        <v>2075356</v>
      </c>
      <c r="AX59" s="24">
        <v>142</v>
      </c>
      <c r="AY59" s="22">
        <v>0</v>
      </c>
      <c r="AZ59" s="22">
        <v>0</v>
      </c>
      <c r="BA59" s="19">
        <v>23.075309672937077</v>
      </c>
      <c r="BB59" s="23">
        <f>DataTable[[#This Row],[Sens_4]]/AVERAGEIF(DataTable[Strålkälla],DataTable[[#This Row],[Strålkälla]],DataTable[Sens_4])</f>
        <v>1.0098886504626277</v>
      </c>
      <c r="BC59" s="22">
        <v>2097</v>
      </c>
      <c r="BD59" s="22">
        <v>2593</v>
      </c>
      <c r="BE59" s="19">
        <v>0.106</v>
      </c>
      <c r="BF59" s="19">
        <v>0.04</v>
      </c>
      <c r="BG59" s="19">
        <v>2.4E-2</v>
      </c>
      <c r="BH59" s="19">
        <v>2335047</v>
      </c>
      <c r="BI59" s="19">
        <v>142</v>
      </c>
      <c r="BJ59" s="19">
        <v>0</v>
      </c>
      <c r="BK59" s="19">
        <v>1</v>
      </c>
      <c r="BL59" s="19">
        <v>25.962742115503417</v>
      </c>
      <c r="BM59" s="23">
        <f>DataTable[[#This Row],[Sens_5]]/AVERAGEIF(DataTable[Strålkälla],DataTable[[#This Row],[Strålkälla]],DataTable[Sens_5])</f>
        <v>1.0089039870852783</v>
      </c>
      <c r="BN59" s="19">
        <v>2128</v>
      </c>
      <c r="BO59" s="19">
        <v>2466</v>
      </c>
      <c r="BP59" s="19">
        <v>7.3999999999999996E-2</v>
      </c>
      <c r="BQ59" s="19">
        <v>0.04</v>
      </c>
      <c r="BR59" s="19">
        <v>2.3E-2</v>
      </c>
      <c r="BS59" s="19">
        <v>2329489</v>
      </c>
      <c r="BT59" s="19">
        <v>142</v>
      </c>
      <c r="BU59" s="19">
        <v>0</v>
      </c>
      <c r="BV59" s="19">
        <v>0</v>
      </c>
      <c r="BW59" s="19">
        <v>25.900944249902437</v>
      </c>
      <c r="BX59" s="23">
        <f>DataTable[[#This Row],[Sens_6]]/AVERAGEIF(DataTable[Strålkälla],DataTable[[#This Row],[Strålkälla]],DataTable[Sens_6])</f>
        <v>1.0068600173668201</v>
      </c>
      <c r="BY59" s="19">
        <v>1766</v>
      </c>
      <c r="BZ59" s="19">
        <v>2198</v>
      </c>
      <c r="CA59" s="19">
        <v>0.109</v>
      </c>
      <c r="CB59" s="19">
        <v>0.04</v>
      </c>
      <c r="CC59" s="19">
        <v>2.8000000000000001E-2</v>
      </c>
      <c r="CD59" s="19">
        <v>2065776</v>
      </c>
      <c r="CE59" s="19">
        <v>142</v>
      </c>
      <c r="CF59" s="19">
        <v>1</v>
      </c>
      <c r="CG59" s="19">
        <v>0</v>
      </c>
      <c r="CH59" s="19">
        <v>22.968792301138343</v>
      </c>
      <c r="CI59" s="23">
        <f>DataTable[[#This Row],[Sens_7]]/AVERAGEIF(DataTable[Strålkälla],DataTable[[#This Row],[Strålkälla]],DataTable[Sens_7])</f>
        <v>1.0045192327649424</v>
      </c>
      <c r="CJ59" s="19">
        <v>2096</v>
      </c>
      <c r="CK59" s="19">
        <v>2590</v>
      </c>
      <c r="CL59" s="19">
        <v>0.105</v>
      </c>
      <c r="CM59" s="19">
        <v>3.7999999999999999E-2</v>
      </c>
      <c r="CN59" s="19">
        <v>2.4E-2</v>
      </c>
      <c r="CO59" s="19">
        <v>2446361</v>
      </c>
      <c r="CP59" s="19">
        <v>142</v>
      </c>
      <c r="CQ59" s="19">
        <v>1</v>
      </c>
      <c r="CR59" s="19">
        <v>0</v>
      </c>
      <c r="CS59" s="19">
        <v>27.200411710952736</v>
      </c>
      <c r="CT59" s="23">
        <f>DataTable[[#This Row],[Sens_8]]/AVERAGEIF(DataTable[Strålkälla],DataTable[[#This Row],[Strålkälla]],DataTable[Sens_8])</f>
        <v>1.0067385764253904</v>
      </c>
      <c r="CU59" s="19">
        <v>1731</v>
      </c>
      <c r="CV59" s="19">
        <v>2079</v>
      </c>
      <c r="CW59" s="19">
        <v>9.0999999999999998E-2</v>
      </c>
      <c r="CX59" s="19">
        <v>4.3999999999999997E-2</v>
      </c>
      <c r="CY59" s="19">
        <v>2.7E-2</v>
      </c>
      <c r="CZ59" s="19">
        <v>1960885</v>
      </c>
      <c r="DA59" s="19">
        <v>138</v>
      </c>
      <c r="DB59" s="19">
        <v>0</v>
      </c>
      <c r="DC59" s="19">
        <v>0</v>
      </c>
      <c r="DD59" s="19">
        <v>22.434495898110573</v>
      </c>
      <c r="DE59" s="23">
        <f>DataTable[[#This Row],[Sens_9]]/AVERAGEIF(DataTable[Strålkälla],DataTable[[#This Row],[Strålkälla]],DataTable[Sens_9])</f>
        <v>1.0029367990467444</v>
      </c>
      <c r="DF59" s="19">
        <v>1683</v>
      </c>
      <c r="DG59" s="19">
        <v>2081</v>
      </c>
      <c r="DH59" s="19">
        <v>0.106</v>
      </c>
      <c r="DI59" s="19">
        <v>3.5999999999999997E-2</v>
      </c>
      <c r="DJ59" s="19">
        <v>2.5999999999999999E-2</v>
      </c>
      <c r="DK59" s="19">
        <v>1906905</v>
      </c>
      <c r="DL59" s="19">
        <v>138</v>
      </c>
      <c r="DM59" s="19">
        <v>0</v>
      </c>
      <c r="DN59" s="19">
        <v>1</v>
      </c>
      <c r="DO59" s="19">
        <v>21.816910425948766</v>
      </c>
      <c r="DP59" s="23">
        <f>DataTable[[#This Row],[Sens_10]]/AVERAGEIF(DataTable[Strålkälla],DataTable[[#This Row],[Strålkälla]],DataTable[Sens_10])</f>
        <v>1.0055672583984001</v>
      </c>
      <c r="DQ59" s="19">
        <v>1494</v>
      </c>
      <c r="DR59" s="19">
        <v>1794</v>
      </c>
      <c r="DS59" s="19">
        <v>9.0999999999999998E-2</v>
      </c>
      <c r="DT59" s="19">
        <v>3.5000000000000003E-2</v>
      </c>
      <c r="DU59" s="19">
        <v>2.8000000000000001E-2</v>
      </c>
      <c r="DV59" s="19">
        <v>1676416</v>
      </c>
      <c r="DW59" s="19">
        <v>138</v>
      </c>
      <c r="DX59" s="19">
        <v>0</v>
      </c>
      <c r="DY59" s="19">
        <v>0</v>
      </c>
      <c r="DZ59" s="19">
        <v>19.179884529448149</v>
      </c>
      <c r="EA59" s="23">
        <f>DataTable[[#This Row],[Sens_11]]/AVERAGEIF(DataTable[Strålkälla],DataTable[[#This Row],[Strålkälla]],DataTable[Sens_11])</f>
        <v>1.0051398360665207</v>
      </c>
      <c r="EB59" s="19">
        <v>1780</v>
      </c>
      <c r="EC59" s="19">
        <v>2159</v>
      </c>
      <c r="ED59" s="19">
        <v>9.6000000000000002E-2</v>
      </c>
      <c r="EE59" s="19">
        <v>4.4999999999999998E-2</v>
      </c>
      <c r="EF59" s="19">
        <v>2.7E-2</v>
      </c>
      <c r="EG59" s="19">
        <v>1993772</v>
      </c>
      <c r="EH59" s="19">
        <v>138</v>
      </c>
      <c r="EI59" s="19">
        <v>0</v>
      </c>
      <c r="EJ59" s="19">
        <v>0</v>
      </c>
      <c r="EK59" s="19">
        <v>22.81075624310845</v>
      </c>
      <c r="EL59" s="23">
        <f>DataTable[[#This Row],[Sens_12]]/AVERAGEIF(DataTable[Strålkälla],DataTable[[#This Row],[Strålkälla]],DataTable[Sens_12])</f>
        <v>1.004768038016983</v>
      </c>
      <c r="EM59" s="19">
        <v>1504</v>
      </c>
      <c r="EN59" s="19">
        <v>1823</v>
      </c>
      <c r="EO59" s="19">
        <v>9.6000000000000002E-2</v>
      </c>
      <c r="EP59" s="19">
        <v>4.2000000000000003E-2</v>
      </c>
      <c r="EQ59" s="19">
        <v>2.7E-2</v>
      </c>
      <c r="ER59" s="19">
        <v>1699728</v>
      </c>
      <c r="ES59" s="19">
        <v>148</v>
      </c>
      <c r="ET59" s="19">
        <v>0</v>
      </c>
      <c r="EU59" s="19">
        <v>0</v>
      </c>
      <c r="EV59" s="19">
        <v>18.13263797413423</v>
      </c>
      <c r="EW59" s="19">
        <f>DataTable[[#This Row],[Sens_13]]/AVERAGEIF(DataTable[Strålkälla],DataTable[[#This Row],[Strålkälla]],DataTable[Sens_13])</f>
        <v>1.0064741700814188</v>
      </c>
      <c r="EX59" s="19">
        <v>1272</v>
      </c>
      <c r="EY59" s="19">
        <v>1589</v>
      </c>
      <c r="EZ59" s="19">
        <v>0.111</v>
      </c>
      <c r="FA59" s="19">
        <v>4.4999999999999998E-2</v>
      </c>
      <c r="FB59" s="19">
        <v>0.03</v>
      </c>
      <c r="FC59" s="19">
        <v>1442199</v>
      </c>
      <c r="FD59" s="19">
        <v>148</v>
      </c>
      <c r="FE59" s="19">
        <v>0</v>
      </c>
      <c r="FF59" s="19">
        <v>2</v>
      </c>
      <c r="FG59" s="19">
        <v>15.385327742826155</v>
      </c>
      <c r="FH59" s="19">
        <f>DataTable[[#This Row],[Sens_14]]/AVERAGEIF(DataTable[Strålkälla],DataTable[[#This Row],[Strålkälla]],DataTable[Sens_14])</f>
        <v>1.0077126125394749</v>
      </c>
      <c r="FI59" s="19">
        <v>1439</v>
      </c>
      <c r="FJ59" s="19">
        <v>1763</v>
      </c>
      <c r="FK59" s="19">
        <v>0.10100000000000001</v>
      </c>
      <c r="FL59" s="19">
        <v>4.4999999999999998E-2</v>
      </c>
      <c r="FM59" s="19">
        <v>2.9000000000000001E-2</v>
      </c>
      <c r="FN59" s="19">
        <v>1634393</v>
      </c>
      <c r="FO59" s="19">
        <v>148</v>
      </c>
      <c r="FP59" s="19">
        <v>0</v>
      </c>
      <c r="FQ59" s="19">
        <v>0</v>
      </c>
      <c r="FR59" s="19">
        <v>17.435646513123963</v>
      </c>
      <c r="FS59" s="19">
        <f>DataTable[[#This Row],[Sens_15]]/AVERAGEIF(DataTable[Strålkälla],DataTable[[#This Row],[Strålkälla]],DataTable[Sens_15])</f>
        <v>1.0093088648478132</v>
      </c>
      <c r="FT59" s="19">
        <v>1272</v>
      </c>
      <c r="FU59" s="19">
        <v>1593</v>
      </c>
      <c r="FV59" s="19">
        <v>0.112</v>
      </c>
      <c r="FW59" s="19">
        <v>3.9E-2</v>
      </c>
      <c r="FX59" s="19">
        <v>0.03</v>
      </c>
      <c r="FY59" s="19">
        <v>1469850</v>
      </c>
      <c r="FZ59" s="19">
        <v>148</v>
      </c>
      <c r="GA59" s="19">
        <v>0</v>
      </c>
      <c r="GB59" s="19">
        <v>0</v>
      </c>
      <c r="GC59" s="19">
        <v>15.680307629386112</v>
      </c>
      <c r="GD59" s="19">
        <f>DataTable[[#This Row],[Sens_16]]/AVERAGEIF(DataTable[Strålkälla],DataTable[[#This Row],[Strålkälla]],DataTable[Sens_16])</f>
        <v>1.008885508042233</v>
      </c>
      <c r="GE59" s="19">
        <v>1230</v>
      </c>
      <c r="GF59" s="19">
        <v>1536</v>
      </c>
      <c r="GG59" s="19">
        <v>0.111</v>
      </c>
      <c r="GH59" s="19">
        <v>4.8000000000000001E-2</v>
      </c>
      <c r="GI59" s="19">
        <v>3.1E-2</v>
      </c>
      <c r="GJ59" s="19">
        <v>1409477</v>
      </c>
      <c r="GK59" s="19">
        <v>148</v>
      </c>
      <c r="GL59" s="19">
        <v>0</v>
      </c>
      <c r="GM59" s="19">
        <v>0</v>
      </c>
      <c r="GN59" s="19">
        <v>15.036250608255434</v>
      </c>
      <c r="GO59" s="19">
        <f>DataTable[[#This Row],[Sens_17]]/AVERAGEIF(DataTable[Strålkälla],DataTable[[#This Row],[Strålkälla]],DataTable[Sens_17])</f>
        <v>1.0076460401587681</v>
      </c>
      <c r="GP59" s="19">
        <v>1442</v>
      </c>
      <c r="GQ59" s="19">
        <v>1792</v>
      </c>
      <c r="GR59" s="19">
        <v>0.108</v>
      </c>
      <c r="GS59" s="19">
        <v>4.3999999999999997E-2</v>
      </c>
      <c r="GT59" s="19">
        <v>2.8000000000000001E-2</v>
      </c>
      <c r="GU59" s="19">
        <v>1624873</v>
      </c>
      <c r="GV59" s="19">
        <v>148</v>
      </c>
      <c r="GW59" s="19">
        <v>0</v>
      </c>
      <c r="GX59" s="19">
        <v>1</v>
      </c>
      <c r="GY59" s="19">
        <v>17.334087491025276</v>
      </c>
      <c r="GZ59" s="19">
        <f>DataTable[[#This Row],[Sens_18]]/AVERAGEIF(DataTable[Strålkälla],DataTable[[#This Row],[Strålkälla]],DataTable[Sens_18])</f>
        <v>1.0038996969378651</v>
      </c>
      <c r="HA59" s="19">
        <v>1291</v>
      </c>
      <c r="HB59" s="19">
        <v>1688</v>
      </c>
      <c r="HC59" s="19">
        <v>0.13300000000000001</v>
      </c>
      <c r="HD59" s="19">
        <v>8.3000000000000004E-2</v>
      </c>
      <c r="HE59" s="19">
        <v>3.3000000000000002E-2</v>
      </c>
      <c r="HF59" s="19">
        <v>1474763</v>
      </c>
      <c r="HG59" s="19">
        <v>148</v>
      </c>
      <c r="HH59" s="19">
        <v>0</v>
      </c>
      <c r="HI59" s="19">
        <v>2</v>
      </c>
      <c r="HJ59" s="19">
        <v>15.7327193390049</v>
      </c>
      <c r="HK59" s="19">
        <f>DataTable[[#This Row],[Sens_19]]/AVERAGEIF(DataTable[Strålkälla],DataTable[[#This Row],[Strålkälla]],DataTable[Sens_19])</f>
        <v>1.0054811312849818</v>
      </c>
      <c r="HL59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0.13300000000000001</v>
      </c>
      <c r="HM59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0.10115789473684211</v>
      </c>
      <c r="HN59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8.3000000000000004E-2</v>
      </c>
      <c r="HO59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4.3631578947368424E-2</v>
      </c>
      <c r="HP59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1.0029367990467444</v>
      </c>
      <c r="HQ59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1.006562066003984</v>
      </c>
      <c r="HR59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1.0098886504626277</v>
      </c>
      <c r="HS59" s="49"/>
    </row>
    <row r="60" spans="2:227" x14ac:dyDescent="0.25">
      <c r="B60" s="19" t="s">
        <v>43</v>
      </c>
      <c r="C60" s="20">
        <v>42585</v>
      </c>
      <c r="D60" s="21">
        <v>0.31199074074074074</v>
      </c>
      <c r="E60" s="13" t="s">
        <v>217</v>
      </c>
      <c r="F60" s="13">
        <v>109.8</v>
      </c>
      <c r="G60" s="13">
        <v>134.19999999999999</v>
      </c>
      <c r="H60" s="24">
        <v>7.1920000000000002</v>
      </c>
      <c r="I60" s="22">
        <f>MATCH(DataTable[[#This Row],[Datum]],Övrigt!$D$10:$M$10,1)</f>
        <v>2</v>
      </c>
      <c r="J60" s="13"/>
      <c r="K60" s="22">
        <v>1817</v>
      </c>
      <c r="L60" s="22">
        <v>2191</v>
      </c>
      <c r="M60" s="23">
        <v>9.2999999999999999E-2</v>
      </c>
      <c r="N60" s="23">
        <v>3.7999999999999999E-2</v>
      </c>
      <c r="O60" s="23">
        <v>2.5999999999999999E-2</v>
      </c>
      <c r="P60" s="22">
        <v>2030350</v>
      </c>
      <c r="Q60" s="24">
        <v>143</v>
      </c>
      <c r="R60" s="22">
        <v>0</v>
      </c>
      <c r="S60" s="22">
        <v>0</v>
      </c>
      <c r="T60" s="19">
        <v>22.531687721352533</v>
      </c>
      <c r="U60" s="23">
        <f>DataTable[[#This Row],[Sens_1]]/AVERAGEIF(DataTable[Strålkälla],DataTable[[#This Row],[Strålkälla]],DataTable[Sens_1])</f>
        <v>1.0054487352122685</v>
      </c>
      <c r="V60" s="22">
        <v>2154</v>
      </c>
      <c r="W60" s="22">
        <v>2627</v>
      </c>
      <c r="X60" s="23">
        <v>9.9000000000000005E-2</v>
      </c>
      <c r="Y60" s="23">
        <v>3.5999999999999997E-2</v>
      </c>
      <c r="Z60" s="23">
        <v>2.5999999999999999E-2</v>
      </c>
      <c r="AA60" s="22">
        <v>2452680</v>
      </c>
      <c r="AB60" s="24">
        <v>143</v>
      </c>
      <c r="AC60" s="22">
        <v>0</v>
      </c>
      <c r="AD60" s="22">
        <v>0</v>
      </c>
      <c r="AE60" s="19">
        <v>27.218469643365395</v>
      </c>
      <c r="AF60" s="23">
        <f>DataTable[[#This Row],[Sens_2]]/AVERAGEIF(DataTable[Strålkälla],DataTable[[#This Row],[Strålkälla]],DataTable[Sens_2])</f>
        <v>1.0065292891408237</v>
      </c>
      <c r="AG60" s="22">
        <v>1876</v>
      </c>
      <c r="AH60" s="22">
        <v>2259</v>
      </c>
      <c r="AI60" s="23">
        <v>9.2999999999999999E-2</v>
      </c>
      <c r="AJ60" s="23">
        <v>3.6999999999999998E-2</v>
      </c>
      <c r="AK60" s="23">
        <v>2.5999999999999999E-2</v>
      </c>
      <c r="AL60" s="22">
        <v>2136662</v>
      </c>
      <c r="AM60" s="24">
        <v>143</v>
      </c>
      <c r="AN60" s="22">
        <v>0</v>
      </c>
      <c r="AO60" s="22">
        <v>0</v>
      </c>
      <c r="AP60" s="19">
        <v>23.711478784485703</v>
      </c>
      <c r="AQ60" s="23">
        <f>DataTable[[#This Row],[Sens_3]]/AVERAGEIF(DataTable[Strålkälla],DataTable[[#This Row],[Strålkälla]],DataTable[Sens_3])</f>
        <v>1.0041551515527303</v>
      </c>
      <c r="AR60" s="22">
        <v>1818</v>
      </c>
      <c r="AS60" s="22">
        <v>2215</v>
      </c>
      <c r="AT60" s="23">
        <v>9.8000000000000004E-2</v>
      </c>
      <c r="AU60" s="23">
        <v>4.1000000000000002E-2</v>
      </c>
      <c r="AV60" s="23">
        <v>2.5000000000000001E-2</v>
      </c>
      <c r="AW60" s="22">
        <v>2073338</v>
      </c>
      <c r="AX60" s="24">
        <v>143</v>
      </c>
      <c r="AY60" s="22">
        <v>1</v>
      </c>
      <c r="AZ60" s="22">
        <v>0</v>
      </c>
      <c r="BA60" s="19">
        <v>23.008744480909016</v>
      </c>
      <c r="BB60" s="23">
        <f>DataTable[[#This Row],[Sens_4]]/AVERAGEIF(DataTable[Strålkälla],DataTable[[#This Row],[Strålkälla]],DataTable[Sens_4])</f>
        <v>1.0069754314030435</v>
      </c>
      <c r="BC60" s="22">
        <v>2074</v>
      </c>
      <c r="BD60" s="22">
        <v>2452</v>
      </c>
      <c r="BE60" s="19">
        <v>8.4000000000000005E-2</v>
      </c>
      <c r="BF60" s="19">
        <v>3.6999999999999998E-2</v>
      </c>
      <c r="BG60" s="19">
        <v>2.4E-2</v>
      </c>
      <c r="BH60" s="19">
        <v>2333712</v>
      </c>
      <c r="BI60" s="19">
        <v>143</v>
      </c>
      <c r="BJ60" s="19">
        <v>0</v>
      </c>
      <c r="BK60" s="19">
        <v>0</v>
      </c>
      <c r="BL60" s="19">
        <v>25.898229376990699</v>
      </c>
      <c r="BM60" s="23">
        <f>DataTable[[#This Row],[Sens_5]]/AVERAGEIF(DataTable[Strålkälla],DataTable[[#This Row],[Strålkälla]],DataTable[Sens_5])</f>
        <v>1.0063970423714377</v>
      </c>
      <c r="BN60" s="19">
        <v>2115</v>
      </c>
      <c r="BO60" s="19">
        <v>2484</v>
      </c>
      <c r="BP60" s="19">
        <v>0.08</v>
      </c>
      <c r="BQ60" s="19">
        <v>3.6999999999999998E-2</v>
      </c>
      <c r="BR60" s="19">
        <v>2.5000000000000001E-2</v>
      </c>
      <c r="BS60" s="19">
        <v>2331281</v>
      </c>
      <c r="BT60" s="19">
        <v>143</v>
      </c>
      <c r="BU60" s="19">
        <v>0</v>
      </c>
      <c r="BV60" s="19">
        <v>0</v>
      </c>
      <c r="BW60" s="19">
        <v>25.871251499850988</v>
      </c>
      <c r="BX60" s="23">
        <f>DataTable[[#This Row],[Sens_6]]/AVERAGEIF(DataTable[Strålkälla],DataTable[[#This Row],[Strålkälla]],DataTable[Sens_6])</f>
        <v>1.0057057566362451</v>
      </c>
      <c r="BY60" s="19">
        <v>1822</v>
      </c>
      <c r="BZ60" s="19">
        <v>2193</v>
      </c>
      <c r="CA60" s="19">
        <v>9.1999999999999998E-2</v>
      </c>
      <c r="CB60" s="19">
        <v>3.5000000000000003E-2</v>
      </c>
      <c r="CC60" s="19">
        <v>2.5000000000000001E-2</v>
      </c>
      <c r="CD60" s="19">
        <v>2064530</v>
      </c>
      <c r="CE60" s="19">
        <v>143</v>
      </c>
      <c r="CF60" s="19">
        <v>0</v>
      </c>
      <c r="CG60" s="19">
        <v>0</v>
      </c>
      <c r="CH60" s="19">
        <v>22.910998227578471</v>
      </c>
      <c r="CI60" s="23">
        <f>DataTable[[#This Row],[Sens_7]]/AVERAGEIF(DataTable[Strålkälla],DataTable[[#This Row],[Strålkälla]],DataTable[Sens_7])</f>
        <v>1.0019916615426694</v>
      </c>
      <c r="CJ60" s="19">
        <v>2188</v>
      </c>
      <c r="CK60" s="19">
        <v>2625</v>
      </c>
      <c r="CL60" s="19">
        <v>9.0999999999999998E-2</v>
      </c>
      <c r="CM60" s="19">
        <v>4.1000000000000002E-2</v>
      </c>
      <c r="CN60" s="19">
        <v>2.5999999999999999E-2</v>
      </c>
      <c r="CO60" s="19">
        <v>2447228</v>
      </c>
      <c r="CP60" s="19">
        <v>143</v>
      </c>
      <c r="CQ60" s="19">
        <v>0</v>
      </c>
      <c r="CR60" s="19">
        <v>0</v>
      </c>
      <c r="CS60" s="19">
        <v>27.1579663993647</v>
      </c>
      <c r="CT60" s="23">
        <f>DataTable[[#This Row],[Sens_8]]/AVERAGEIF(DataTable[Strålkälla],DataTable[[#This Row],[Strålkälla]],DataTable[Sens_8])</f>
        <v>1.0051675953307602</v>
      </c>
      <c r="CU60" s="19">
        <v>1760</v>
      </c>
      <c r="CV60" s="19">
        <v>2121</v>
      </c>
      <c r="CW60" s="19">
        <v>9.2999999999999999E-2</v>
      </c>
      <c r="CX60" s="19">
        <v>3.6999999999999998E-2</v>
      </c>
      <c r="CY60" s="19">
        <v>2.7E-2</v>
      </c>
      <c r="CZ60" s="19">
        <v>1962418</v>
      </c>
      <c r="DA60" s="19">
        <v>139</v>
      </c>
      <c r="DB60" s="19">
        <v>0</v>
      </c>
      <c r="DC60" s="19">
        <v>0</v>
      </c>
      <c r="DD60" s="19">
        <v>22.404516166209607</v>
      </c>
      <c r="DE60" s="23">
        <f>DataTable[[#This Row],[Sens_9]]/AVERAGEIF(DataTable[Strålkälla],DataTable[[#This Row],[Strålkälla]],DataTable[Sens_9])</f>
        <v>1.0015965515775973</v>
      </c>
      <c r="DF60" s="19">
        <v>1668</v>
      </c>
      <c r="DG60" s="19">
        <v>2011</v>
      </c>
      <c r="DH60" s="19">
        <v>9.2999999999999999E-2</v>
      </c>
      <c r="DI60" s="19">
        <v>3.7999999999999999E-2</v>
      </c>
      <c r="DJ60" s="19">
        <v>2.5999999999999999E-2</v>
      </c>
      <c r="DK60" s="19">
        <v>1905339</v>
      </c>
      <c r="DL60" s="19">
        <v>139</v>
      </c>
      <c r="DM60" s="19">
        <v>0</v>
      </c>
      <c r="DN60" s="19">
        <v>0</v>
      </c>
      <c r="DO60" s="19">
        <v>21.752857152558548</v>
      </c>
      <c r="DP60" s="23">
        <f>DataTable[[#This Row],[Sens_10]]/AVERAGEIF(DataTable[Strålkälla],DataTable[[#This Row],[Strålkälla]],DataTable[Sens_10])</f>
        <v>1.0026149671134785</v>
      </c>
      <c r="DQ60" s="19">
        <v>1512</v>
      </c>
      <c r="DR60" s="19">
        <v>1803</v>
      </c>
      <c r="DS60" s="19">
        <v>8.7999999999999995E-2</v>
      </c>
      <c r="DT60" s="19">
        <v>3.5000000000000003E-2</v>
      </c>
      <c r="DU60" s="19">
        <v>2.7E-2</v>
      </c>
      <c r="DV60" s="19">
        <v>1676866</v>
      </c>
      <c r="DW60" s="19">
        <v>139</v>
      </c>
      <c r="DX60" s="19">
        <v>0</v>
      </c>
      <c r="DY60" s="19">
        <v>0</v>
      </c>
      <c r="DZ60" s="19">
        <v>19.144428661766881</v>
      </c>
      <c r="EA60" s="23">
        <f>DataTable[[#This Row],[Sens_11]]/AVERAGEIF(DataTable[Strålkälla],DataTable[[#This Row],[Strålkälla]],DataTable[Sens_11])</f>
        <v>1.0032817380694223</v>
      </c>
      <c r="EB60" s="19">
        <v>1740</v>
      </c>
      <c r="EC60" s="19">
        <v>2189</v>
      </c>
      <c r="ED60" s="19">
        <v>0.114</v>
      </c>
      <c r="EE60" s="19">
        <v>0.04</v>
      </c>
      <c r="EF60" s="19">
        <v>2.8000000000000001E-2</v>
      </c>
      <c r="EG60" s="19">
        <v>1993283</v>
      </c>
      <c r="EH60" s="19">
        <v>139</v>
      </c>
      <c r="EI60" s="19">
        <v>0</v>
      </c>
      <c r="EJ60" s="19">
        <v>1</v>
      </c>
      <c r="EK60" s="19">
        <v>22.756895420512237</v>
      </c>
      <c r="EL60" s="23">
        <f>DataTable[[#This Row],[Sens_12]]/AVERAGEIF(DataTable[Strålkälla],DataTable[[#This Row],[Strålkälla]],DataTable[Sens_12])</f>
        <v>1.0023955768644806</v>
      </c>
      <c r="EM60" s="19">
        <v>1486</v>
      </c>
      <c r="EN60" s="19">
        <v>1840</v>
      </c>
      <c r="EO60" s="19">
        <v>0.106</v>
      </c>
      <c r="EP60" s="19">
        <v>3.7999999999999999E-2</v>
      </c>
      <c r="EQ60" s="19">
        <v>2.8000000000000001E-2</v>
      </c>
      <c r="ER60" s="19">
        <v>1700675</v>
      </c>
      <c r="ES60" s="19">
        <v>149</v>
      </c>
      <c r="ET60" s="19">
        <v>0</v>
      </c>
      <c r="EU60" s="19">
        <v>0</v>
      </c>
      <c r="EV60" s="19">
        <v>18.113146942192841</v>
      </c>
      <c r="EW60" s="19">
        <f>DataTable[[#This Row],[Sens_13]]/AVERAGEIF(DataTable[Strålkälla],DataTable[[#This Row],[Strålkälla]],DataTable[Sens_13])</f>
        <v>1.0053922965986291</v>
      </c>
      <c r="EX60" s="19">
        <v>1241</v>
      </c>
      <c r="EY60" s="19">
        <v>1564</v>
      </c>
      <c r="EZ60" s="19">
        <v>0.115</v>
      </c>
      <c r="FA60" s="19">
        <v>4.5999999999999999E-2</v>
      </c>
      <c r="FB60" s="19">
        <v>0.03</v>
      </c>
      <c r="FC60" s="19">
        <v>1442242</v>
      </c>
      <c r="FD60" s="19">
        <v>149</v>
      </c>
      <c r="FE60" s="19">
        <v>0</v>
      </c>
      <c r="FF60" s="19">
        <v>0</v>
      </c>
      <c r="FG60" s="19">
        <v>15.360689886193477</v>
      </c>
      <c r="FH60" s="19">
        <f>DataTable[[#This Row],[Sens_14]]/AVERAGEIF(DataTable[Strålkälla],DataTable[[#This Row],[Strålkälla]],DataTable[Sens_14])</f>
        <v>1.006098875133961</v>
      </c>
      <c r="FI60" s="19">
        <v>1452</v>
      </c>
      <c r="FJ60" s="19">
        <v>1752</v>
      </c>
      <c r="FK60" s="19">
        <v>9.4E-2</v>
      </c>
      <c r="FL60" s="19">
        <v>3.6999999999999998E-2</v>
      </c>
      <c r="FM60" s="19">
        <v>2.8000000000000001E-2</v>
      </c>
      <c r="FN60" s="19">
        <v>1631225</v>
      </c>
      <c r="FO60" s="19">
        <v>149</v>
      </c>
      <c r="FP60" s="19">
        <v>0</v>
      </c>
      <c r="FQ60" s="19">
        <v>0</v>
      </c>
      <c r="FR60" s="19">
        <v>17.373465312760239</v>
      </c>
      <c r="FS60" s="19">
        <f>DataTable[[#This Row],[Sens_15]]/AVERAGEIF(DataTable[Strålkälla],DataTable[[#This Row],[Strålkälla]],DataTable[Sens_15])</f>
        <v>1.0057093403502992</v>
      </c>
      <c r="FT60" s="19">
        <v>1314</v>
      </c>
      <c r="FU60" s="19">
        <v>1577</v>
      </c>
      <c r="FV60" s="19">
        <v>9.0999999999999998E-2</v>
      </c>
      <c r="FW60" s="19">
        <v>4.2999999999999997E-2</v>
      </c>
      <c r="FX60" s="19">
        <v>2.8000000000000001E-2</v>
      </c>
      <c r="FY60" s="19">
        <v>1470593</v>
      </c>
      <c r="FZ60" s="19">
        <v>149</v>
      </c>
      <c r="GA60" s="19">
        <v>0</v>
      </c>
      <c r="GB60" s="19">
        <v>0</v>
      </c>
      <c r="GC60" s="19">
        <v>15.662644009678628</v>
      </c>
      <c r="GD60" s="19">
        <f>DataTable[[#This Row],[Sens_16]]/AVERAGEIF(DataTable[Strålkälla],DataTable[[#This Row],[Strålkälla]],DataTable[Sens_16])</f>
        <v>1.0077490143991457</v>
      </c>
      <c r="GE60" s="19">
        <v>1179</v>
      </c>
      <c r="GF60" s="19">
        <v>1534</v>
      </c>
      <c r="GG60" s="19">
        <v>0.13100000000000001</v>
      </c>
      <c r="GH60" s="19">
        <v>4.2999999999999997E-2</v>
      </c>
      <c r="GI60" s="19">
        <v>3.1E-2</v>
      </c>
      <c r="GJ60" s="19">
        <v>1409715</v>
      </c>
      <c r="GK60" s="19">
        <v>149</v>
      </c>
      <c r="GL60" s="19">
        <v>1</v>
      </c>
      <c r="GM60" s="19">
        <v>0</v>
      </c>
      <c r="GN60" s="19">
        <v>15.0142590098716</v>
      </c>
      <c r="GO60" s="19">
        <f>DataTable[[#This Row],[Sens_17]]/AVERAGEIF(DataTable[Strålkälla],DataTable[[#This Row],[Strålkälla]],DataTable[Sens_17])</f>
        <v>1.0061722853241641</v>
      </c>
      <c r="GP60" s="19">
        <v>1422</v>
      </c>
      <c r="GQ60" s="19">
        <v>1771</v>
      </c>
      <c r="GR60" s="19">
        <v>0.109</v>
      </c>
      <c r="GS60" s="19">
        <v>3.9E-2</v>
      </c>
      <c r="GT60" s="19">
        <v>2.9000000000000001E-2</v>
      </c>
      <c r="GU60" s="19">
        <v>1625661</v>
      </c>
      <c r="GV60" s="19">
        <v>149</v>
      </c>
      <c r="GW60" s="19">
        <v>0</v>
      </c>
      <c r="GX60" s="19">
        <v>0</v>
      </c>
      <c r="GY60" s="19">
        <v>17.314205577898282</v>
      </c>
      <c r="GZ60" s="19">
        <f>DataTable[[#This Row],[Sens_18]]/AVERAGEIF(DataTable[Strålkälla],DataTable[[#This Row],[Strålkälla]],DataTable[Sens_18])</f>
        <v>1.0027482405042301</v>
      </c>
      <c r="HA60" s="19">
        <v>1250</v>
      </c>
      <c r="HB60" s="19">
        <v>1650</v>
      </c>
      <c r="HC60" s="19">
        <v>0.13800000000000001</v>
      </c>
      <c r="HD60" s="19">
        <v>8.1000000000000003E-2</v>
      </c>
      <c r="HE60" s="19">
        <v>3.2000000000000001E-2</v>
      </c>
      <c r="HF60" s="19">
        <v>1475174</v>
      </c>
      <c r="HG60" s="19">
        <v>149</v>
      </c>
      <c r="HH60" s="19">
        <v>1</v>
      </c>
      <c r="HI60" s="19">
        <v>1</v>
      </c>
      <c r="HJ60" s="19">
        <v>15.711434240699948</v>
      </c>
      <c r="HK60" s="19">
        <f>DataTable[[#This Row],[Sens_19]]/AVERAGEIF(DataTable[Strålkälla],DataTable[[#This Row],[Strålkälla]],DataTable[Sens_19])</f>
        <v>1.0041207965416985</v>
      </c>
      <c r="HL60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0.13800000000000001</v>
      </c>
      <c r="HM60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0.10010526315789474</v>
      </c>
      <c r="HN60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8.1000000000000003E-2</v>
      </c>
      <c r="HO60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4.1000000000000002E-2</v>
      </c>
      <c r="HP60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1.0015965515775973</v>
      </c>
      <c r="HQ60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1.0047500181930047</v>
      </c>
      <c r="HR60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1.0077490143991457</v>
      </c>
      <c r="HS60" s="49" t="s">
        <v>285</v>
      </c>
    </row>
    <row r="61" spans="2:227" x14ac:dyDescent="0.25">
      <c r="B61" s="19" t="s">
        <v>43</v>
      </c>
      <c r="C61" s="20">
        <v>42586</v>
      </c>
      <c r="D61" s="21">
        <v>0.31351851851851853</v>
      </c>
      <c r="E61" s="13" t="s">
        <v>217</v>
      </c>
      <c r="F61" s="13">
        <v>109.8</v>
      </c>
      <c r="G61" s="13">
        <v>134.19999999999999</v>
      </c>
      <c r="H61" s="24">
        <v>7.2092999999999998</v>
      </c>
      <c r="I61" s="22">
        <f>MATCH(DataTable[[#This Row],[Datum]],Övrigt!$D$10:$M$10,1)</f>
        <v>2</v>
      </c>
      <c r="J61" s="13"/>
      <c r="K61" s="22">
        <v>1811</v>
      </c>
      <c r="L61" s="22">
        <v>2247</v>
      </c>
      <c r="M61" s="23">
        <v>0.107</v>
      </c>
      <c r="N61" s="23">
        <v>4.1000000000000002E-2</v>
      </c>
      <c r="O61" s="23">
        <v>2.7E-2</v>
      </c>
      <c r="P61" s="22">
        <v>2026939</v>
      </c>
      <c r="Q61" s="24">
        <v>144</v>
      </c>
      <c r="R61" s="22">
        <v>0</v>
      </c>
      <c r="S61" s="22">
        <v>1</v>
      </c>
      <c r="T61" s="19">
        <v>22.3946781274954</v>
      </c>
      <c r="U61" s="23">
        <f>DataTable[[#This Row],[Sens_1]]/AVERAGEIF(DataTable[Strålkälla],DataTable[[#This Row],[Strålkälla]],DataTable[Sens_1])</f>
        <v>0.9993348513097744</v>
      </c>
      <c r="V61" s="22">
        <v>2176</v>
      </c>
      <c r="W61" s="22">
        <v>2711</v>
      </c>
      <c r="X61" s="23">
        <v>0.109</v>
      </c>
      <c r="Y61" s="23">
        <v>3.5999999999999997E-2</v>
      </c>
      <c r="Z61" s="23">
        <v>2.5000000000000001E-2</v>
      </c>
      <c r="AA61" s="22">
        <v>2454770</v>
      </c>
      <c r="AB61" s="24">
        <v>144</v>
      </c>
      <c r="AC61" s="22">
        <v>0</v>
      </c>
      <c r="AD61" s="22">
        <v>1</v>
      </c>
      <c r="AE61" s="19">
        <v>27.121577919726189</v>
      </c>
      <c r="AF61" s="23">
        <f>DataTable[[#This Row],[Sens_2]]/AVERAGEIF(DataTable[Strålkälla],DataTable[[#This Row],[Strålkälla]],DataTable[Sens_2])</f>
        <v>1.0029462677955376</v>
      </c>
      <c r="AG61" s="22">
        <v>1847</v>
      </c>
      <c r="AH61" s="22">
        <v>2267</v>
      </c>
      <c r="AI61" s="23">
        <v>0.10199999999999999</v>
      </c>
      <c r="AJ61" s="23">
        <v>4.2999999999999997E-2</v>
      </c>
      <c r="AK61" s="23">
        <v>2.5999999999999999E-2</v>
      </c>
      <c r="AL61" s="22">
        <v>2135234</v>
      </c>
      <c r="AM61" s="24">
        <v>144</v>
      </c>
      <c r="AN61" s="22">
        <v>1</v>
      </c>
      <c r="AO61" s="22">
        <v>0</v>
      </c>
      <c r="AP61" s="19">
        <v>23.591177710273723</v>
      </c>
      <c r="AQ61" s="23">
        <f>DataTable[[#This Row],[Sens_3]]/AVERAGEIF(DataTable[Strålkälla],DataTable[[#This Row],[Strålkälla]],DataTable[Sens_3])</f>
        <v>0.99906053284483565</v>
      </c>
      <c r="AR61" s="22">
        <v>1836</v>
      </c>
      <c r="AS61" s="22">
        <v>2200</v>
      </c>
      <c r="AT61" s="23">
        <v>0.09</v>
      </c>
      <c r="AU61" s="23">
        <v>4.1000000000000002E-2</v>
      </c>
      <c r="AV61" s="23">
        <v>2.5000000000000001E-2</v>
      </c>
      <c r="AW61" s="22">
        <v>2072925</v>
      </c>
      <c r="AX61" s="24">
        <v>144</v>
      </c>
      <c r="AY61" s="22">
        <v>0</v>
      </c>
      <c r="AZ61" s="22">
        <v>0</v>
      </c>
      <c r="BA61" s="19">
        <v>22.902755414661417</v>
      </c>
      <c r="BB61" s="23">
        <f>DataTable[[#This Row],[Sens_4]]/AVERAGEIF(DataTable[Strålkälla],DataTable[[#This Row],[Strålkälla]],DataTable[Sens_4])</f>
        <v>1.0023368303791051</v>
      </c>
      <c r="BC61" s="22">
        <v>2072</v>
      </c>
      <c r="BD61" s="22">
        <v>2502</v>
      </c>
      <c r="BE61" s="19">
        <v>9.4E-2</v>
      </c>
      <c r="BF61" s="19">
        <v>3.2000000000000001E-2</v>
      </c>
      <c r="BG61" s="19">
        <v>2.3E-2</v>
      </c>
      <c r="BH61" s="19">
        <v>2335250</v>
      </c>
      <c r="BI61" s="19">
        <v>144</v>
      </c>
      <c r="BJ61" s="19">
        <v>0</v>
      </c>
      <c r="BK61" s="19">
        <v>1</v>
      </c>
      <c r="BL61" s="19">
        <v>25.801058688610574</v>
      </c>
      <c r="BM61" s="23">
        <f>DataTable[[#This Row],[Sens_5]]/AVERAGEIF(DataTable[Strålkälla],DataTable[[#This Row],[Strålkälla]],DataTable[Sens_5])</f>
        <v>1.0026210200045249</v>
      </c>
      <c r="BN61" s="19">
        <v>2058</v>
      </c>
      <c r="BO61" s="19">
        <v>2495</v>
      </c>
      <c r="BP61" s="19">
        <v>9.6000000000000002E-2</v>
      </c>
      <c r="BQ61" s="19">
        <v>0.04</v>
      </c>
      <c r="BR61" s="19">
        <v>2.4E-2</v>
      </c>
      <c r="BS61" s="19">
        <v>2333829</v>
      </c>
      <c r="BT61" s="19">
        <v>144</v>
      </c>
      <c r="BU61" s="19">
        <v>1</v>
      </c>
      <c r="BV61" s="19">
        <v>0</v>
      </c>
      <c r="BW61" s="19">
        <v>25.785358740255361</v>
      </c>
      <c r="BX61" s="23">
        <f>DataTable[[#This Row],[Sens_6]]/AVERAGEIF(DataTable[Strålkälla],DataTable[[#This Row],[Strålkälla]],DataTable[Sens_6])</f>
        <v>1.0023668055700707</v>
      </c>
      <c r="BY61" s="19">
        <v>1821</v>
      </c>
      <c r="BZ61" s="19">
        <v>2245</v>
      </c>
      <c r="CA61" s="19">
        <v>0.104</v>
      </c>
      <c r="CB61" s="19">
        <v>4.4999999999999998E-2</v>
      </c>
      <c r="CC61" s="19">
        <v>2.7E-2</v>
      </c>
      <c r="CD61" s="19">
        <v>2065970</v>
      </c>
      <c r="CE61" s="19">
        <v>144</v>
      </c>
      <c r="CF61" s="19">
        <v>0</v>
      </c>
      <c r="CG61" s="19">
        <v>1</v>
      </c>
      <c r="CH61" s="19">
        <v>22.825912951036845</v>
      </c>
      <c r="CI61" s="23">
        <f>DataTable[[#This Row],[Sens_7]]/AVERAGEIF(DataTable[Strålkälla],DataTable[[#This Row],[Strålkälla]],DataTable[Sens_7])</f>
        <v>0.99827053438932967</v>
      </c>
      <c r="CJ61" s="19">
        <v>2162</v>
      </c>
      <c r="CK61" s="19">
        <v>2652</v>
      </c>
      <c r="CL61" s="19">
        <v>0.10199999999999999</v>
      </c>
      <c r="CM61" s="19">
        <v>5.2999999999999999E-2</v>
      </c>
      <c r="CN61" s="19">
        <v>2.5999999999999999E-2</v>
      </c>
      <c r="CO61" s="19">
        <v>2445481</v>
      </c>
      <c r="CP61" s="19">
        <v>144</v>
      </c>
      <c r="CQ61" s="19">
        <v>0</v>
      </c>
      <c r="CR61" s="19">
        <v>1</v>
      </c>
      <c r="CS61" s="19">
        <v>27.018948208064266</v>
      </c>
      <c r="CT61" s="23">
        <f>DataTable[[#This Row],[Sens_8]]/AVERAGEIF(DataTable[Strålkälla],DataTable[[#This Row],[Strålkälla]],DataTable[Sens_8])</f>
        <v>1.0000222696829622</v>
      </c>
      <c r="CU61" s="19">
        <v>1756</v>
      </c>
      <c r="CV61" s="19">
        <v>2101</v>
      </c>
      <c r="CW61" s="19">
        <v>8.8999999999999996E-2</v>
      </c>
      <c r="CX61" s="19">
        <v>3.6999999999999998E-2</v>
      </c>
      <c r="CY61" s="19">
        <v>2.7E-2</v>
      </c>
      <c r="CZ61" s="19">
        <v>1963447</v>
      </c>
      <c r="DA61" s="19">
        <v>139</v>
      </c>
      <c r="DB61" s="19">
        <v>0</v>
      </c>
      <c r="DC61" s="19">
        <v>0</v>
      </c>
      <c r="DD61" s="19">
        <v>22.473515842734312</v>
      </c>
      <c r="DE61" s="23">
        <f>DataTable[[#This Row],[Sens_9]]/AVERAGEIF(DataTable[Strålkälla],DataTable[[#This Row],[Strålkälla]],DataTable[Sens_9])</f>
        <v>1.0046811902975061</v>
      </c>
      <c r="DF61" s="19">
        <v>1699</v>
      </c>
      <c r="DG61" s="19">
        <v>2026</v>
      </c>
      <c r="DH61" s="19">
        <v>8.7999999999999995E-2</v>
      </c>
      <c r="DI61" s="19">
        <v>3.5000000000000003E-2</v>
      </c>
      <c r="DJ61" s="19">
        <v>2.5999999999999999E-2</v>
      </c>
      <c r="DK61" s="19">
        <v>1905475</v>
      </c>
      <c r="DL61" s="19">
        <v>139</v>
      </c>
      <c r="DM61" s="19">
        <v>0</v>
      </c>
      <c r="DN61" s="19">
        <v>0</v>
      </c>
      <c r="DO61" s="19">
        <v>21.809971239577216</v>
      </c>
      <c r="DP61" s="23">
        <f>DataTable[[#This Row],[Sens_10]]/AVERAGEIF(DataTable[Strålkälla],DataTable[[#This Row],[Strålkälla]],DataTable[Sens_10])</f>
        <v>1.005247423074382</v>
      </c>
      <c r="DQ61" s="19">
        <v>1469</v>
      </c>
      <c r="DR61" s="19">
        <v>1835</v>
      </c>
      <c r="DS61" s="19">
        <v>0.111</v>
      </c>
      <c r="DT61" s="19">
        <v>4.2999999999999997E-2</v>
      </c>
      <c r="DU61" s="19">
        <v>2.8000000000000001E-2</v>
      </c>
      <c r="DV61" s="19">
        <v>1675078</v>
      </c>
      <c r="DW61" s="19">
        <v>139</v>
      </c>
      <c r="DX61" s="19">
        <v>0</v>
      </c>
      <c r="DY61" s="19">
        <v>1</v>
      </c>
      <c r="DZ61" s="19">
        <v>19.172858738135385</v>
      </c>
      <c r="EA61" s="23">
        <f>DataTable[[#This Row],[Sens_11]]/AVERAGEIF(DataTable[Strålkälla],DataTable[[#This Row],[Strålkälla]],DataTable[Sens_11])</f>
        <v>1.0047716428838398</v>
      </c>
      <c r="EB61" s="19">
        <v>1665</v>
      </c>
      <c r="EC61" s="19">
        <v>2166</v>
      </c>
      <c r="ED61" s="19">
        <v>0.13100000000000001</v>
      </c>
      <c r="EE61" s="19">
        <v>3.7999999999999999E-2</v>
      </c>
      <c r="EF61" s="19">
        <v>2.7E-2</v>
      </c>
      <c r="EG61" s="19">
        <v>1993870</v>
      </c>
      <c r="EH61" s="19">
        <v>139</v>
      </c>
      <c r="EI61" s="19">
        <v>1</v>
      </c>
      <c r="EJ61" s="19">
        <v>1</v>
      </c>
      <c r="EK61" s="19">
        <v>22.821735974208963</v>
      </c>
      <c r="EL61" s="23">
        <f>DataTable[[#This Row],[Sens_12]]/AVERAGEIF(DataTable[Strålkälla],DataTable[[#This Row],[Strålkälla]],DataTable[Sens_12])</f>
        <v>1.0052516731388632</v>
      </c>
      <c r="EM61" s="19">
        <v>1525</v>
      </c>
      <c r="EN61" s="19">
        <v>1845</v>
      </c>
      <c r="EO61" s="19">
        <v>9.5000000000000001E-2</v>
      </c>
      <c r="EP61" s="19">
        <v>3.5999999999999997E-2</v>
      </c>
      <c r="EQ61" s="19">
        <v>2.8000000000000001E-2</v>
      </c>
      <c r="ER61" s="19">
        <v>1699585</v>
      </c>
      <c r="ES61" s="19">
        <v>150</v>
      </c>
      <c r="ET61" s="19">
        <v>0</v>
      </c>
      <c r="EU61" s="19">
        <v>0</v>
      </c>
      <c r="EV61" s="19">
        <v>18.02678455755526</v>
      </c>
      <c r="EW61" s="19">
        <f>DataTable[[#This Row],[Sens_13]]/AVERAGEIF(DataTable[Strålkälla],DataTable[[#This Row],[Strålkälla]],DataTable[Sens_13])</f>
        <v>1.0005986471843324</v>
      </c>
      <c r="EX61" s="19">
        <v>1263</v>
      </c>
      <c r="EY61" s="19">
        <v>1573</v>
      </c>
      <c r="EZ61" s="19">
        <v>0.109</v>
      </c>
      <c r="FA61" s="19">
        <v>0.04</v>
      </c>
      <c r="FB61" s="19">
        <v>0.03</v>
      </c>
      <c r="FC61" s="19">
        <v>1442069</v>
      </c>
      <c r="FD61" s="19">
        <v>150</v>
      </c>
      <c r="FE61" s="19">
        <v>0</v>
      </c>
      <c r="FF61" s="19">
        <v>0</v>
      </c>
      <c r="FG61" s="19">
        <v>15.29542045859969</v>
      </c>
      <c r="FH61" s="19">
        <f>DataTable[[#This Row],[Sens_14]]/AVERAGEIF(DataTable[Strålkälla],DataTable[[#This Row],[Strålkälla]],DataTable[Sens_14])</f>
        <v>1.0018238394311851</v>
      </c>
      <c r="FI61" s="19">
        <v>1432</v>
      </c>
      <c r="FJ61" s="19">
        <v>1728</v>
      </c>
      <c r="FK61" s="19">
        <v>9.4E-2</v>
      </c>
      <c r="FL61" s="19">
        <v>4.4999999999999998E-2</v>
      </c>
      <c r="FM61" s="19">
        <v>2.7E-2</v>
      </c>
      <c r="FN61" s="19">
        <v>1630791</v>
      </c>
      <c r="FO61" s="19">
        <v>150</v>
      </c>
      <c r="FP61" s="19">
        <v>0</v>
      </c>
      <c r="FQ61" s="19">
        <v>0</v>
      </c>
      <c r="FR61" s="19">
        <v>17.29711548136757</v>
      </c>
      <c r="FS61" s="19">
        <f>DataTable[[#This Row],[Sens_15]]/AVERAGEIF(DataTable[Strålkälla],DataTable[[#This Row],[Strålkälla]],DataTable[Sens_15])</f>
        <v>1.0012896268859173</v>
      </c>
      <c r="FT61" s="19">
        <v>1320</v>
      </c>
      <c r="FU61" s="19">
        <v>1571</v>
      </c>
      <c r="FV61" s="19">
        <v>8.6999999999999994E-2</v>
      </c>
      <c r="FW61" s="19">
        <v>4.5999999999999999E-2</v>
      </c>
      <c r="FX61" s="19">
        <v>2.9000000000000001E-2</v>
      </c>
      <c r="FY61" s="19">
        <v>1470065</v>
      </c>
      <c r="FZ61" s="19">
        <v>150</v>
      </c>
      <c r="GA61" s="19">
        <v>0</v>
      </c>
      <c r="GB61" s="19">
        <v>0</v>
      </c>
      <c r="GC61" s="19">
        <v>15.592362277027904</v>
      </c>
      <c r="GD61" s="19">
        <f>DataTable[[#This Row],[Sens_16]]/AVERAGEIF(DataTable[Strålkälla],DataTable[[#This Row],[Strålkälla]],DataTable[Sens_16])</f>
        <v>1.003227022661016</v>
      </c>
      <c r="GE61" s="19">
        <v>1231</v>
      </c>
      <c r="GF61" s="19">
        <v>1536</v>
      </c>
      <c r="GG61" s="19">
        <v>0.11</v>
      </c>
      <c r="GH61" s="19">
        <v>4.7E-2</v>
      </c>
      <c r="GI61" s="19">
        <v>3.1E-2</v>
      </c>
      <c r="GJ61" s="19">
        <v>1411328</v>
      </c>
      <c r="GK61" s="19">
        <v>150</v>
      </c>
      <c r="GL61" s="19">
        <v>0</v>
      </c>
      <c r="GM61" s="19">
        <v>0</v>
      </c>
      <c r="GN61" s="19">
        <v>14.969363577605915</v>
      </c>
      <c r="GO61" s="19">
        <f>DataTable[[#This Row],[Sens_17]]/AVERAGEIF(DataTable[Strålkälla],DataTable[[#This Row],[Strålkälla]],DataTable[Sens_17])</f>
        <v>1.0031636426962676</v>
      </c>
      <c r="GP61" s="19">
        <v>1435</v>
      </c>
      <c r="GQ61" s="19">
        <v>1760</v>
      </c>
      <c r="GR61" s="19">
        <v>0.10199999999999999</v>
      </c>
      <c r="GS61" s="19">
        <v>4.3999999999999997E-2</v>
      </c>
      <c r="GT61" s="19">
        <v>2.9000000000000001E-2</v>
      </c>
      <c r="GU61" s="19">
        <v>1627893</v>
      </c>
      <c r="GV61" s="19">
        <v>150</v>
      </c>
      <c r="GW61" s="19">
        <v>0</v>
      </c>
      <c r="GX61" s="19">
        <v>0</v>
      </c>
      <c r="GY61" s="19">
        <v>17.266377612036059</v>
      </c>
      <c r="GZ61" s="19">
        <f>DataTable[[#This Row],[Sens_18]]/AVERAGEIF(DataTable[Strålkälla],DataTable[[#This Row],[Strålkälla]],DataTable[Sens_18])</f>
        <v>0.9999782948431678</v>
      </c>
      <c r="HA61" s="19">
        <v>1279</v>
      </c>
      <c r="HB61" s="19">
        <v>1634</v>
      </c>
      <c r="HC61" s="19">
        <v>0.122</v>
      </c>
      <c r="HD61" s="19">
        <v>8.1000000000000003E-2</v>
      </c>
      <c r="HE61" s="19">
        <v>3.2000000000000001E-2</v>
      </c>
      <c r="HF61" s="19">
        <v>1473842</v>
      </c>
      <c r="HG61" s="19">
        <v>150</v>
      </c>
      <c r="HH61" s="19">
        <v>0</v>
      </c>
      <c r="HI61" s="19">
        <v>2</v>
      </c>
      <c r="HJ61" s="19">
        <v>15.632423330328496</v>
      </c>
      <c r="HK61" s="19">
        <f>DataTable[[#This Row],[Sens_19]]/AVERAGEIF(DataTable[Strålkälla],DataTable[[#This Row],[Strålkälla]],DataTable[Sens_19])</f>
        <v>0.99907119400113931</v>
      </c>
      <c r="HL61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0.13100000000000001</v>
      </c>
      <c r="HM61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0.10221052631578949</v>
      </c>
      <c r="HN61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8.1000000000000003E-2</v>
      </c>
      <c r="HO61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4.3315789473684217E-2</v>
      </c>
      <c r="HP61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0.99827053438932967</v>
      </c>
      <c r="HQ61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1.0018980688986188</v>
      </c>
      <c r="HR61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1.0052516731388632</v>
      </c>
      <c r="HS61" s="49"/>
    </row>
    <row r="62" spans="2:227" x14ac:dyDescent="0.25">
      <c r="B62" s="19" t="s">
        <v>43</v>
      </c>
      <c r="C62" s="20">
        <v>42590</v>
      </c>
      <c r="D62" s="21">
        <v>0.32061342592592595</v>
      </c>
      <c r="E62" s="13" t="s">
        <v>217</v>
      </c>
      <c r="F62" s="13">
        <v>109.8</v>
      </c>
      <c r="G62" s="13">
        <v>134.19999999999999</v>
      </c>
      <c r="H62" s="24">
        <v>7.2887000000000004</v>
      </c>
      <c r="I62" s="22">
        <f>MATCH(DataTable[[#This Row],[Datum]],Övrigt!$D$10:$M$10,1)</f>
        <v>2</v>
      </c>
      <c r="J62" s="13"/>
      <c r="K62" s="22">
        <v>1809</v>
      </c>
      <c r="L62" s="22">
        <v>2318</v>
      </c>
      <c r="M62" s="23">
        <v>0.123</v>
      </c>
      <c r="N62" s="23">
        <v>5.0999999999999997E-2</v>
      </c>
      <c r="O62" s="23">
        <v>2.5999999999999999E-2</v>
      </c>
      <c r="P62" s="22">
        <v>2023189</v>
      </c>
      <c r="Q62" s="24">
        <v>145</v>
      </c>
      <c r="R62" s="22">
        <v>0</v>
      </c>
      <c r="S62" s="22">
        <v>1</v>
      </c>
      <c r="T62" s="19">
        <v>22.426744648609358</v>
      </c>
      <c r="U62" s="23">
        <f>DataTable[[#This Row],[Sens_1]]/AVERAGEIF(DataTable[Strålkälla],DataTable[[#This Row],[Strålkälla]],DataTable[Sens_1])</f>
        <v>1.000765780208462</v>
      </c>
      <c r="V62" s="22">
        <v>2135</v>
      </c>
      <c r="W62" s="22">
        <v>2582</v>
      </c>
      <c r="X62" s="23">
        <v>9.5000000000000001E-2</v>
      </c>
      <c r="Y62" s="23">
        <v>0.04</v>
      </c>
      <c r="Z62" s="23">
        <v>2.4E-2</v>
      </c>
      <c r="AA62" s="22">
        <v>2447921</v>
      </c>
      <c r="AB62" s="24">
        <v>145</v>
      </c>
      <c r="AC62" s="22">
        <v>1</v>
      </c>
      <c r="AD62" s="22">
        <v>0</v>
      </c>
      <c r="AE62" s="19">
        <v>27.134834751952717</v>
      </c>
      <c r="AF62" s="23">
        <f>DataTable[[#This Row],[Sens_2]]/AVERAGEIF(DataTable[Strålkälla],DataTable[[#This Row],[Strålkälla]],DataTable[Sens_2])</f>
        <v>1.0034365007179633</v>
      </c>
      <c r="AG62" s="22">
        <v>1907</v>
      </c>
      <c r="AH62" s="22">
        <v>2268</v>
      </c>
      <c r="AI62" s="23">
        <v>8.5999999999999993E-2</v>
      </c>
      <c r="AJ62" s="23">
        <v>4.7E-2</v>
      </c>
      <c r="AK62" s="23">
        <v>2.5000000000000001E-2</v>
      </c>
      <c r="AL62" s="22">
        <v>2136256</v>
      </c>
      <c r="AM62" s="24">
        <v>145</v>
      </c>
      <c r="AN62" s="22">
        <v>0</v>
      </c>
      <c r="AO62" s="22">
        <v>0</v>
      </c>
      <c r="AP62" s="19">
        <v>23.680075275250918</v>
      </c>
      <c r="AQ62" s="23">
        <f>DataTable[[#This Row],[Sens_3]]/AVERAGEIF(DataTable[Strålkälla],DataTable[[#This Row],[Strålkälla]],DataTable[Sens_3])</f>
        <v>1.0028252473379171</v>
      </c>
      <c r="AR62" s="22">
        <v>1819</v>
      </c>
      <c r="AS62" s="22">
        <v>2249</v>
      </c>
      <c r="AT62" s="23">
        <v>0.106</v>
      </c>
      <c r="AU62" s="23">
        <v>3.5999999999999997E-2</v>
      </c>
      <c r="AV62" s="23">
        <v>2.5000000000000001E-2</v>
      </c>
      <c r="AW62" s="22">
        <v>2071721</v>
      </c>
      <c r="AX62" s="24">
        <v>145</v>
      </c>
      <c r="AY62" s="22">
        <v>0</v>
      </c>
      <c r="AZ62" s="22">
        <v>1</v>
      </c>
      <c r="BA62" s="19">
        <v>22.964714542319886</v>
      </c>
      <c r="BB62" s="23">
        <f>DataTable[[#This Row],[Sens_4]]/AVERAGEIF(DataTable[Strålkälla],DataTable[[#This Row],[Strålkälla]],DataTable[Sens_4])</f>
        <v>1.0050484654861407</v>
      </c>
      <c r="BC62" s="22">
        <v>2115</v>
      </c>
      <c r="BD62" s="22">
        <v>2486</v>
      </c>
      <c r="BE62" s="19">
        <v>8.1000000000000003E-2</v>
      </c>
      <c r="BF62" s="19">
        <v>0.03</v>
      </c>
      <c r="BG62" s="19">
        <v>2.4E-2</v>
      </c>
      <c r="BH62" s="19">
        <v>2335133</v>
      </c>
      <c r="BI62" s="19">
        <v>145</v>
      </c>
      <c r="BJ62" s="19">
        <v>0</v>
      </c>
      <c r="BK62" s="19">
        <v>0</v>
      </c>
      <c r="BL62" s="19">
        <v>25.884596798193897</v>
      </c>
      <c r="BM62" s="23">
        <f>DataTable[[#This Row],[Sens_5]]/AVERAGEIF(DataTable[Strålkälla],DataTable[[#This Row],[Strålkälla]],DataTable[Sens_5])</f>
        <v>1.0058672846501169</v>
      </c>
      <c r="BN62" s="19">
        <v>2109</v>
      </c>
      <c r="BO62" s="19">
        <v>2515</v>
      </c>
      <c r="BP62" s="19">
        <v>8.7999999999999995E-2</v>
      </c>
      <c r="BQ62" s="19">
        <v>3.2000000000000001E-2</v>
      </c>
      <c r="BR62" s="19">
        <v>2.5000000000000001E-2</v>
      </c>
      <c r="BS62" s="19">
        <v>2336507</v>
      </c>
      <c r="BT62" s="19">
        <v>145</v>
      </c>
      <c r="BU62" s="19">
        <v>0</v>
      </c>
      <c r="BV62" s="19">
        <v>1</v>
      </c>
      <c r="BW62" s="19">
        <v>25.899827380777726</v>
      </c>
      <c r="BX62" s="23">
        <f>DataTable[[#This Row],[Sens_6]]/AVERAGEIF(DataTable[Strålkälla],DataTable[[#This Row],[Strålkälla]],DataTable[Sens_6])</f>
        <v>1.0068166007695156</v>
      </c>
      <c r="BY62" s="19">
        <v>1812</v>
      </c>
      <c r="BZ62" s="19">
        <v>2213</v>
      </c>
      <c r="CA62" s="19">
        <v>0.1</v>
      </c>
      <c r="CB62" s="19">
        <v>3.7999999999999999E-2</v>
      </c>
      <c r="CC62" s="19">
        <v>2.5999999999999999E-2</v>
      </c>
      <c r="CD62" s="19">
        <v>2067555</v>
      </c>
      <c r="CE62" s="19">
        <v>145</v>
      </c>
      <c r="CF62" s="19">
        <v>0</v>
      </c>
      <c r="CG62" s="19">
        <v>0</v>
      </c>
      <c r="CH62" s="19">
        <v>22.918535061210555</v>
      </c>
      <c r="CI62" s="23">
        <f>DataTable[[#This Row],[Sens_7]]/AVERAGEIF(DataTable[Strålkälla],DataTable[[#This Row],[Strålkälla]],DataTable[Sens_7])</f>
        <v>1.0023212781040594</v>
      </c>
      <c r="CJ62" s="19">
        <v>2165</v>
      </c>
      <c r="CK62" s="19">
        <v>2645</v>
      </c>
      <c r="CL62" s="19">
        <v>0.1</v>
      </c>
      <c r="CM62" s="19">
        <v>3.7999999999999999E-2</v>
      </c>
      <c r="CN62" s="19">
        <v>2.4E-2</v>
      </c>
      <c r="CO62" s="19">
        <v>2450940</v>
      </c>
      <c r="CP62" s="19">
        <v>145</v>
      </c>
      <c r="CQ62" s="19">
        <v>0</v>
      </c>
      <c r="CR62" s="19">
        <v>1</v>
      </c>
      <c r="CS62" s="19">
        <v>27.168299911210777</v>
      </c>
      <c r="CT62" s="23">
        <f>DataTable[[#This Row],[Sens_8]]/AVERAGEIF(DataTable[Strålkälla],DataTable[[#This Row],[Strålkälla]],DataTable[Sens_8])</f>
        <v>1.005550058108013</v>
      </c>
      <c r="CU62" s="19">
        <v>1753</v>
      </c>
      <c r="CV62" s="19">
        <v>2090</v>
      </c>
      <c r="CW62" s="19">
        <v>8.7999999999999995E-2</v>
      </c>
      <c r="CX62" s="19">
        <v>3.5999999999999997E-2</v>
      </c>
      <c r="CY62" s="19">
        <v>2.7E-2</v>
      </c>
      <c r="CZ62" s="19">
        <v>1962924</v>
      </c>
      <c r="DA62" s="19">
        <v>141</v>
      </c>
      <c r="DB62" s="19">
        <v>0</v>
      </c>
      <c r="DC62" s="19">
        <v>0</v>
      </c>
      <c r="DD62" s="19">
        <v>22.375984766367125</v>
      </c>
      <c r="DE62" s="23">
        <f>DataTable[[#This Row],[Sens_9]]/AVERAGEIF(DataTable[Strålkälla],DataTable[[#This Row],[Strålkälla]],DataTable[Sens_9])</f>
        <v>1.0003210519648444</v>
      </c>
      <c r="DF62" s="19">
        <v>1718</v>
      </c>
      <c r="DG62" s="19">
        <v>2037</v>
      </c>
      <c r="DH62" s="19">
        <v>8.5000000000000006E-2</v>
      </c>
      <c r="DI62" s="19">
        <v>3.7999999999999999E-2</v>
      </c>
      <c r="DJ62" s="19">
        <v>2.5999999999999999E-2</v>
      </c>
      <c r="DK62" s="19">
        <v>1905908</v>
      </c>
      <c r="DL62" s="19">
        <v>141</v>
      </c>
      <c r="DM62" s="19">
        <v>0</v>
      </c>
      <c r="DN62" s="19">
        <v>0</v>
      </c>
      <c r="DO62" s="19">
        <v>21.726041545213793</v>
      </c>
      <c r="DP62" s="23">
        <f>DataTable[[#This Row],[Sens_10]]/AVERAGEIF(DataTable[Strålkälla],DataTable[[#This Row],[Strålkälla]],DataTable[Sens_10])</f>
        <v>1.0013790039897594</v>
      </c>
      <c r="DQ62" s="19">
        <v>1508</v>
      </c>
      <c r="DR62" s="19">
        <v>1792</v>
      </c>
      <c r="DS62" s="19">
        <v>8.5999999999999993E-2</v>
      </c>
      <c r="DT62" s="19">
        <v>4.2000000000000003E-2</v>
      </c>
      <c r="DU62" s="19">
        <v>2.8000000000000001E-2</v>
      </c>
      <c r="DV62" s="19">
        <v>1677058</v>
      </c>
      <c r="DW62" s="19">
        <v>141</v>
      </c>
      <c r="DX62" s="19">
        <v>0</v>
      </c>
      <c r="DY62" s="19">
        <v>0</v>
      </c>
      <c r="DZ62" s="19">
        <v>19.117308800704521</v>
      </c>
      <c r="EA62" s="23">
        <f>DataTable[[#This Row],[Sens_11]]/AVERAGEIF(DataTable[Strålkälla],DataTable[[#This Row],[Strålkälla]],DataTable[Sens_11])</f>
        <v>1.0018604963168709</v>
      </c>
      <c r="EB62" s="19">
        <v>1772</v>
      </c>
      <c r="EC62" s="19">
        <v>2243</v>
      </c>
      <c r="ED62" s="19">
        <v>0.11700000000000001</v>
      </c>
      <c r="EE62" s="19">
        <v>4.7E-2</v>
      </c>
      <c r="EF62" s="19">
        <v>2.8000000000000001E-2</v>
      </c>
      <c r="EG62" s="19">
        <v>1993109</v>
      </c>
      <c r="EH62" s="19">
        <v>141</v>
      </c>
      <c r="EI62" s="19">
        <v>0</v>
      </c>
      <c r="EJ62" s="19">
        <v>1</v>
      </c>
      <c r="EK62" s="19">
        <v>22.720073024584352</v>
      </c>
      <c r="EL62" s="23">
        <f>DataTable[[#This Row],[Sens_12]]/AVERAGEIF(DataTable[Strålkälla],DataTable[[#This Row],[Strålkälla]],DataTable[Sens_12])</f>
        <v>1.0007736242155969</v>
      </c>
      <c r="EM62" s="19">
        <v>1524</v>
      </c>
      <c r="EN62" s="19">
        <v>1828</v>
      </c>
      <c r="EO62" s="19">
        <v>9.0999999999999998E-2</v>
      </c>
      <c r="EP62" s="19">
        <v>4.8000000000000001E-2</v>
      </c>
      <c r="EQ62" s="19">
        <v>2.5999999999999999E-2</v>
      </c>
      <c r="ER62" s="19">
        <v>1700371</v>
      </c>
      <c r="ES62" s="19">
        <v>151</v>
      </c>
      <c r="ET62" s="19">
        <v>0</v>
      </c>
      <c r="EU62" s="19">
        <v>0</v>
      </c>
      <c r="EV62" s="19">
        <v>18.099414558466687</v>
      </c>
      <c r="EW62" s="19">
        <f>DataTable[[#This Row],[Sens_13]]/AVERAGEIF(DataTable[Strålkälla],DataTable[[#This Row],[Strålkälla]],DataTable[Sens_13])</f>
        <v>1.004630063903434</v>
      </c>
      <c r="EX62" s="19">
        <v>1260</v>
      </c>
      <c r="EY62" s="19">
        <v>1552</v>
      </c>
      <c r="EZ62" s="19">
        <v>0.104</v>
      </c>
      <c r="FA62" s="19">
        <v>4.1000000000000002E-2</v>
      </c>
      <c r="FB62" s="19">
        <v>0.03</v>
      </c>
      <c r="FC62" s="19">
        <v>1440950</v>
      </c>
      <c r="FD62" s="19">
        <v>151</v>
      </c>
      <c r="FE62" s="19">
        <v>0</v>
      </c>
      <c r="FF62" s="19">
        <v>0</v>
      </c>
      <c r="FG62" s="19">
        <v>15.338035880418198</v>
      </c>
      <c r="FH62" s="19">
        <f>DataTable[[#This Row],[Sens_14]]/AVERAGEIF(DataTable[Strålkälla],DataTable[[#This Row],[Strålkälla]],DataTable[Sens_14])</f>
        <v>1.0046150765613284</v>
      </c>
      <c r="FI62" s="19">
        <v>1464</v>
      </c>
      <c r="FJ62" s="19">
        <v>1754</v>
      </c>
      <c r="FK62" s="19">
        <v>0.09</v>
      </c>
      <c r="FL62" s="19">
        <v>4.2999999999999997E-2</v>
      </c>
      <c r="FM62" s="19">
        <v>2.7E-2</v>
      </c>
      <c r="FN62" s="19">
        <v>1632074</v>
      </c>
      <c r="FO62" s="19">
        <v>151</v>
      </c>
      <c r="FP62" s="19">
        <v>0</v>
      </c>
      <c r="FQ62" s="19">
        <v>0</v>
      </c>
      <c r="FR62" s="19">
        <v>17.372434554632466</v>
      </c>
      <c r="FS62" s="19">
        <f>DataTable[[#This Row],[Sens_15]]/AVERAGEIF(DataTable[Strålkälla],DataTable[[#This Row],[Strålkälla]],DataTable[Sens_15])</f>
        <v>1.0056496721690769</v>
      </c>
      <c r="FT62" s="19">
        <v>1301</v>
      </c>
      <c r="FU62" s="19">
        <v>1599</v>
      </c>
      <c r="FV62" s="19">
        <v>0.10299999999999999</v>
      </c>
      <c r="FW62" s="19">
        <v>4.2999999999999997E-2</v>
      </c>
      <c r="FX62" s="19">
        <v>2.8000000000000001E-2</v>
      </c>
      <c r="FY62" s="19">
        <v>1469410</v>
      </c>
      <c r="FZ62" s="19">
        <v>151</v>
      </c>
      <c r="GA62" s="19">
        <v>0</v>
      </c>
      <c r="GB62" s="19">
        <v>1</v>
      </c>
      <c r="GC62" s="19">
        <v>15.640975261490896</v>
      </c>
      <c r="GD62" s="19">
        <f>DataTable[[#This Row],[Sens_16]]/AVERAGEIF(DataTable[Strålkälla],DataTable[[#This Row],[Strålkälla]],DataTable[Sens_16])</f>
        <v>1.0063548270821157</v>
      </c>
      <c r="GE62" s="19">
        <v>1245</v>
      </c>
      <c r="GF62" s="19">
        <v>1512</v>
      </c>
      <c r="GG62" s="19">
        <v>9.7000000000000003E-2</v>
      </c>
      <c r="GH62" s="19">
        <v>3.9E-2</v>
      </c>
      <c r="GI62" s="19">
        <v>0.03</v>
      </c>
      <c r="GJ62" s="19">
        <v>1410803</v>
      </c>
      <c r="GK62" s="19">
        <v>151</v>
      </c>
      <c r="GL62" s="19">
        <v>0</v>
      </c>
      <c r="GM62" s="19">
        <v>0</v>
      </c>
      <c r="GN62" s="19">
        <v>15.017139410945305</v>
      </c>
      <c r="GO62" s="19">
        <f>DataTable[[#This Row],[Sens_17]]/AVERAGEIF(DataTable[Strålkälla],DataTable[[#This Row],[Strålkälla]],DataTable[Sens_17])</f>
        <v>1.0063653138132207</v>
      </c>
      <c r="GP62" s="19">
        <v>1462</v>
      </c>
      <c r="GQ62" s="19">
        <v>1737</v>
      </c>
      <c r="GR62" s="19">
        <v>8.5999999999999993E-2</v>
      </c>
      <c r="GS62" s="19">
        <v>3.7999999999999999E-2</v>
      </c>
      <c r="GT62" s="19">
        <v>2.8000000000000001E-2</v>
      </c>
      <c r="GU62" s="19">
        <v>1628958</v>
      </c>
      <c r="GV62" s="19">
        <v>151</v>
      </c>
      <c r="GW62" s="19">
        <v>0</v>
      </c>
      <c r="GX62" s="19">
        <v>0</v>
      </c>
      <c r="GY62" s="19">
        <v>17.339266630829847</v>
      </c>
      <c r="GZ62" s="19">
        <f>DataTable[[#This Row],[Sens_18]]/AVERAGEIF(DataTable[Strålkälla],DataTable[[#This Row],[Strålkälla]],DataTable[Sens_18])</f>
        <v>1.0041996456304572</v>
      </c>
      <c r="HA62" s="19">
        <v>1304</v>
      </c>
      <c r="HB62" s="19">
        <v>1606</v>
      </c>
      <c r="HC62" s="19">
        <v>0.104</v>
      </c>
      <c r="HD62" s="19">
        <v>7.0000000000000007E-2</v>
      </c>
      <c r="HE62" s="19">
        <v>3.1E-2</v>
      </c>
      <c r="HF62" s="19">
        <v>1474954</v>
      </c>
      <c r="HG62" s="19">
        <v>151</v>
      </c>
      <c r="HH62" s="19">
        <v>0</v>
      </c>
      <c r="HI62" s="19">
        <v>0</v>
      </c>
      <c r="HJ62" s="19">
        <v>15.699987767768725</v>
      </c>
      <c r="HK62" s="19">
        <f>DataTable[[#This Row],[Sens_19]]/AVERAGEIF(DataTable[Strålkälla],DataTable[[#This Row],[Strålkälla]],DataTable[Sens_19])</f>
        <v>1.0033892502461019</v>
      </c>
      <c r="HL62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0.123</v>
      </c>
      <c r="HM62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9.6315789473684216E-2</v>
      </c>
      <c r="HN62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7.0000000000000007E-2</v>
      </c>
      <c r="HO62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4.1947368421052643E-2</v>
      </c>
      <c r="HP62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1.0003210519648444</v>
      </c>
      <c r="HQ62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1.0037983811197366</v>
      </c>
      <c r="HR62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1.0068166007695156</v>
      </c>
      <c r="HS62" s="49"/>
    </row>
    <row r="63" spans="2:227" x14ac:dyDescent="0.25">
      <c r="B63" s="19" t="s">
        <v>43</v>
      </c>
      <c r="C63" s="20">
        <v>42591</v>
      </c>
      <c r="D63" s="21">
        <v>0.33520833333333333</v>
      </c>
      <c r="E63" s="13" t="s">
        <v>217</v>
      </c>
      <c r="F63" s="13">
        <v>109.8</v>
      </c>
      <c r="G63" s="13">
        <v>134.19999999999999</v>
      </c>
      <c r="H63" s="24">
        <v>7.3122999999999996</v>
      </c>
      <c r="I63" s="22">
        <f>MATCH(DataTable[[#This Row],[Datum]],Övrigt!$D$10:$M$10,1)</f>
        <v>2</v>
      </c>
      <c r="J63" s="13"/>
      <c r="K63" s="22">
        <v>1782</v>
      </c>
      <c r="L63" s="22">
        <v>2180</v>
      </c>
      <c r="M63" s="23">
        <v>0.1</v>
      </c>
      <c r="N63" s="23">
        <v>4.2999999999999997E-2</v>
      </c>
      <c r="O63" s="23">
        <v>2.7E-2</v>
      </c>
      <c r="P63" s="22">
        <v>2027364</v>
      </c>
      <c r="Q63" s="24">
        <v>146</v>
      </c>
      <c r="R63" s="22">
        <v>0</v>
      </c>
      <c r="S63" s="22">
        <v>0</v>
      </c>
      <c r="T63" s="19">
        <v>22.376102708555269</v>
      </c>
      <c r="U63" s="23">
        <f>DataTable[[#This Row],[Sens_1]]/AVERAGEIF(DataTable[Strålkälla],DataTable[[#This Row],[Strålkälla]],DataTable[Sens_1])</f>
        <v>0.99850594618245481</v>
      </c>
      <c r="V63" s="22">
        <v>2218</v>
      </c>
      <c r="W63" s="22">
        <v>2655</v>
      </c>
      <c r="X63" s="23">
        <v>0.09</v>
      </c>
      <c r="Y63" s="23">
        <v>3.2000000000000001E-2</v>
      </c>
      <c r="Z63" s="23">
        <v>2.4E-2</v>
      </c>
      <c r="AA63" s="22">
        <v>2455661</v>
      </c>
      <c r="AB63" s="24">
        <v>146</v>
      </c>
      <c r="AC63" s="22">
        <v>0</v>
      </c>
      <c r="AD63" s="22">
        <v>1</v>
      </c>
      <c r="AE63" s="19">
        <v>27.103234916568283</v>
      </c>
      <c r="AF63" s="23">
        <f>DataTable[[#This Row],[Sens_2]]/AVERAGEIF(DataTable[Strålkälla],DataTable[[#This Row],[Strålkälla]],DataTable[Sens_2])</f>
        <v>1.0022679500880711</v>
      </c>
      <c r="AG63" s="22">
        <v>1923</v>
      </c>
      <c r="AH63" s="22">
        <v>2285</v>
      </c>
      <c r="AI63" s="23">
        <v>8.5999999999999993E-2</v>
      </c>
      <c r="AJ63" s="23">
        <v>4.1000000000000002E-2</v>
      </c>
      <c r="AK63" s="23">
        <v>2.5000000000000001E-2</v>
      </c>
      <c r="AL63" s="22">
        <v>2135795</v>
      </c>
      <c r="AM63" s="24">
        <v>146</v>
      </c>
      <c r="AN63" s="22">
        <v>0</v>
      </c>
      <c r="AO63" s="22">
        <v>0</v>
      </c>
      <c r="AP63" s="19">
        <v>23.572860268022321</v>
      </c>
      <c r="AQ63" s="23">
        <f>DataTable[[#This Row],[Sens_3]]/AVERAGEIF(DataTable[Strålkälla],DataTable[[#This Row],[Strålkälla]],DataTable[Sens_3])</f>
        <v>0.99828480923150931</v>
      </c>
      <c r="AR63" s="22">
        <v>1837</v>
      </c>
      <c r="AS63" s="22">
        <v>2217</v>
      </c>
      <c r="AT63" s="23">
        <v>9.4E-2</v>
      </c>
      <c r="AU63" s="23">
        <v>4.7E-2</v>
      </c>
      <c r="AV63" s="23">
        <v>2.5000000000000001E-2</v>
      </c>
      <c r="AW63" s="22">
        <v>2073208</v>
      </c>
      <c r="AX63" s="24">
        <v>146</v>
      </c>
      <c r="AY63" s="22">
        <v>0</v>
      </c>
      <c r="AZ63" s="22">
        <v>0</v>
      </c>
      <c r="BA63" s="19">
        <v>22.882084886679678</v>
      </c>
      <c r="BB63" s="23">
        <f>DataTable[[#This Row],[Sens_4]]/AVERAGEIF(DataTable[Strålkälla],DataTable[[#This Row],[Strålkälla]],DataTable[Sens_4])</f>
        <v>1.0014321867620224</v>
      </c>
      <c r="BC63" s="22">
        <v>2120</v>
      </c>
      <c r="BD63" s="22">
        <v>2499</v>
      </c>
      <c r="BE63" s="19">
        <v>8.2000000000000003E-2</v>
      </c>
      <c r="BF63" s="19">
        <v>3.1E-2</v>
      </c>
      <c r="BG63" s="19">
        <v>2.3E-2</v>
      </c>
      <c r="BH63" s="19">
        <v>2339118</v>
      </c>
      <c r="BI63" s="19">
        <v>146</v>
      </c>
      <c r="BJ63" s="19">
        <v>0</v>
      </c>
      <c r="BK63" s="19">
        <v>1</v>
      </c>
      <c r="BL63" s="19">
        <v>25.816944868030795</v>
      </c>
      <c r="BM63" s="23">
        <f>DataTable[[#This Row],[Sens_5]]/AVERAGEIF(DataTable[Strålkälla],DataTable[[#This Row],[Strålkälla]],DataTable[Sens_5])</f>
        <v>1.0032383519367727</v>
      </c>
      <c r="BN63" s="19">
        <v>2121</v>
      </c>
      <c r="BO63" s="19">
        <v>2449</v>
      </c>
      <c r="BP63" s="19">
        <v>7.1999999999999995E-2</v>
      </c>
      <c r="BQ63" s="19">
        <v>3.2000000000000001E-2</v>
      </c>
      <c r="BR63" s="19">
        <v>2.3E-2</v>
      </c>
      <c r="BS63" s="19">
        <v>2330845</v>
      </c>
      <c r="BT63" s="19">
        <v>146</v>
      </c>
      <c r="BU63" s="19">
        <v>0</v>
      </c>
      <c r="BV63" s="19">
        <v>0</v>
      </c>
      <c r="BW63" s="19">
        <v>25.725635415111697</v>
      </c>
      <c r="BX63" s="23">
        <f>DataTable[[#This Row],[Sens_6]]/AVERAGEIF(DataTable[Strålkälla],DataTable[[#This Row],[Strålkälla]],DataTable[Sens_6])</f>
        <v>1.0000451516716196</v>
      </c>
      <c r="BY63" s="19">
        <v>1801</v>
      </c>
      <c r="BZ63" s="19">
        <v>2186</v>
      </c>
      <c r="CA63" s="19">
        <v>9.7000000000000003E-2</v>
      </c>
      <c r="CB63" s="19">
        <v>3.4000000000000002E-2</v>
      </c>
      <c r="CC63" s="19">
        <v>2.5999999999999999E-2</v>
      </c>
      <c r="CD63" s="19">
        <v>2066412</v>
      </c>
      <c r="CE63" s="19">
        <v>146</v>
      </c>
      <c r="CF63" s="19">
        <v>1</v>
      </c>
      <c r="CG63" s="19">
        <v>0</v>
      </c>
      <c r="CH63" s="19">
        <v>22.807077145589599</v>
      </c>
      <c r="CI63" s="23">
        <f>DataTable[[#This Row],[Sens_7]]/AVERAGEIF(DataTable[Strålkälla],DataTable[[#This Row],[Strålkälla]],DataTable[Sens_7])</f>
        <v>0.99744676757615514</v>
      </c>
      <c r="CJ63" s="19">
        <v>2188</v>
      </c>
      <c r="CK63" s="19">
        <v>2630</v>
      </c>
      <c r="CL63" s="19">
        <v>9.1999999999999998E-2</v>
      </c>
      <c r="CM63" s="19">
        <v>4.1000000000000002E-2</v>
      </c>
      <c r="CN63" s="19">
        <v>2.5000000000000001E-2</v>
      </c>
      <c r="CO63" s="19">
        <v>2443316</v>
      </c>
      <c r="CP63" s="19">
        <v>146</v>
      </c>
      <c r="CQ63" s="19">
        <v>0</v>
      </c>
      <c r="CR63" s="19">
        <v>1</v>
      </c>
      <c r="CS63" s="19">
        <v>26.966982626433353</v>
      </c>
      <c r="CT63" s="23">
        <f>DataTable[[#This Row],[Sens_8]]/AVERAGEIF(DataTable[Strålkälla],DataTable[[#This Row],[Strålkälla]],DataTable[Sens_8])</f>
        <v>0.99809892542515599</v>
      </c>
      <c r="CU63" s="19">
        <v>1746</v>
      </c>
      <c r="CV63" s="19">
        <v>2157</v>
      </c>
      <c r="CW63" s="19">
        <v>0.105</v>
      </c>
      <c r="CX63" s="19">
        <v>0.04</v>
      </c>
      <c r="CY63" s="19">
        <v>2.7E-2</v>
      </c>
      <c r="CZ63" s="19">
        <v>1964067</v>
      </c>
      <c r="DA63" s="19">
        <v>141</v>
      </c>
      <c r="DB63" s="19">
        <v>0</v>
      </c>
      <c r="DC63" s="19">
        <v>1</v>
      </c>
      <c r="DD63" s="19">
        <v>22.446196382578204</v>
      </c>
      <c r="DE63" s="23">
        <f>DataTable[[#This Row],[Sens_9]]/AVERAGEIF(DataTable[Strålkälla],DataTable[[#This Row],[Strålkälla]],DataTable[Sens_9])</f>
        <v>1.0034598705921252</v>
      </c>
      <c r="DF63" s="19">
        <v>1705</v>
      </c>
      <c r="DG63" s="19">
        <v>2016</v>
      </c>
      <c r="DH63" s="19">
        <v>8.4000000000000005E-2</v>
      </c>
      <c r="DI63" s="19">
        <v>4.1000000000000002E-2</v>
      </c>
      <c r="DJ63" s="19">
        <v>2.5999999999999999E-2</v>
      </c>
      <c r="DK63" s="19">
        <v>1908784</v>
      </c>
      <c r="DL63" s="19">
        <v>141</v>
      </c>
      <c r="DM63" s="19">
        <v>0</v>
      </c>
      <c r="DN63" s="19">
        <v>0</v>
      </c>
      <c r="DO63" s="19">
        <v>21.814398651330709</v>
      </c>
      <c r="DP63" s="23">
        <f>DataTable[[#This Row],[Sens_10]]/AVERAGEIF(DataTable[Strålkälla],DataTable[[#This Row],[Strålkälla]],DataTable[Sens_10])</f>
        <v>1.0054514877293603</v>
      </c>
      <c r="DQ63" s="19">
        <v>1510</v>
      </c>
      <c r="DR63" s="19">
        <v>1761</v>
      </c>
      <c r="DS63" s="19">
        <v>7.6999999999999999E-2</v>
      </c>
      <c r="DT63" s="19">
        <v>3.4000000000000002E-2</v>
      </c>
      <c r="DU63" s="19">
        <v>2.5999999999999999E-2</v>
      </c>
      <c r="DV63" s="19">
        <v>1674647</v>
      </c>
      <c r="DW63" s="19">
        <v>141</v>
      </c>
      <c r="DX63" s="19">
        <v>0</v>
      </c>
      <c r="DY63" s="19">
        <v>0</v>
      </c>
      <c r="DZ63" s="19">
        <v>19.138581032874868</v>
      </c>
      <c r="EA63" s="19">
        <f>DataTable[[#This Row],[Sens_11]]/AVERAGEIF(DataTable[Strålkälla],DataTable[[#This Row],[Strålkälla]],DataTable[Sens_11])</f>
        <v>1.0029752875933065</v>
      </c>
      <c r="EB63" s="19">
        <v>1763</v>
      </c>
      <c r="EC63" s="19">
        <v>2175</v>
      </c>
      <c r="ED63" s="19">
        <v>0.105</v>
      </c>
      <c r="EE63" s="19">
        <v>4.8000000000000001E-2</v>
      </c>
      <c r="EF63" s="19">
        <v>2.7E-2</v>
      </c>
      <c r="EG63" s="19">
        <v>1992118</v>
      </c>
      <c r="EH63" s="19">
        <v>141</v>
      </c>
      <c r="EI63" s="19">
        <v>0</v>
      </c>
      <c r="EJ63" s="19">
        <v>1</v>
      </c>
      <c r="EK63" s="19">
        <v>22.76677518906887</v>
      </c>
      <c r="EL63" s="23">
        <f>DataTable[[#This Row],[Sens_12]]/AVERAGEIF(DataTable[Strålkälla],DataTable[[#This Row],[Strålkälla]],DataTable[Sens_12])</f>
        <v>1.0028307608436049</v>
      </c>
      <c r="EM63" s="19">
        <v>1516</v>
      </c>
      <c r="EN63" s="19">
        <v>1847</v>
      </c>
      <c r="EO63" s="19">
        <v>9.8000000000000004E-2</v>
      </c>
      <c r="EP63" s="19">
        <v>3.9E-2</v>
      </c>
      <c r="EQ63" s="19">
        <v>2.8000000000000001E-2</v>
      </c>
      <c r="ER63" s="19">
        <v>1703334</v>
      </c>
      <c r="ES63" s="19">
        <v>152</v>
      </c>
      <c r="ET63" s="19">
        <v>0</v>
      </c>
      <c r="EU63" s="19">
        <v>0</v>
      </c>
      <c r="EV63" s="19">
        <v>18.057673637976798</v>
      </c>
      <c r="EW63" s="19">
        <f>DataTable[[#This Row],[Sens_13]]/AVERAGEIF(DataTable[Strålkälla],DataTable[[#This Row],[Strålkälla]],DataTable[Sens_13])</f>
        <v>1.002313183239494</v>
      </c>
      <c r="EX63" s="19">
        <v>1268</v>
      </c>
      <c r="EY63" s="19">
        <v>1592</v>
      </c>
      <c r="EZ63" s="19">
        <v>0.113</v>
      </c>
      <c r="FA63" s="19">
        <v>5.8000000000000003E-2</v>
      </c>
      <c r="FB63" s="19">
        <v>0.03</v>
      </c>
      <c r="FC63" s="19">
        <v>1441047</v>
      </c>
      <c r="FD63" s="19">
        <v>152</v>
      </c>
      <c r="FE63" s="19">
        <v>0</v>
      </c>
      <c r="FF63" s="19">
        <v>1</v>
      </c>
      <c r="FG63" s="19">
        <v>15.277072155540576</v>
      </c>
      <c r="FH63" s="19">
        <f>DataTable[[#This Row],[Sens_14]]/AVERAGEIF(DataTable[Strålkälla],DataTable[[#This Row],[Strålkälla]],DataTable[Sens_14])</f>
        <v>1.0006220570109188</v>
      </c>
      <c r="FI63" s="19">
        <v>1428</v>
      </c>
      <c r="FJ63" s="19">
        <v>1729</v>
      </c>
      <c r="FK63" s="19">
        <v>9.5000000000000001E-2</v>
      </c>
      <c r="FL63" s="19">
        <v>4.1000000000000002E-2</v>
      </c>
      <c r="FM63" s="19">
        <v>2.7E-2</v>
      </c>
      <c r="FN63" s="19">
        <v>1630972</v>
      </c>
      <c r="FO63" s="19">
        <v>152</v>
      </c>
      <c r="FP63" s="19">
        <v>0</v>
      </c>
      <c r="FQ63" s="19">
        <v>0</v>
      </c>
      <c r="FR63" s="19">
        <v>17.290537316039188</v>
      </c>
      <c r="FS63" s="19">
        <f>DataTable[[#This Row],[Sens_15]]/AVERAGEIF(DataTable[Strålkälla],DataTable[[#This Row],[Strålkälla]],DataTable[Sens_15])</f>
        <v>1.0009088322549082</v>
      </c>
      <c r="FT63" s="19">
        <v>1285</v>
      </c>
      <c r="FU63" s="19">
        <v>1571</v>
      </c>
      <c r="FV63" s="19">
        <v>0.1</v>
      </c>
      <c r="FW63" s="19">
        <v>4.3999999999999997E-2</v>
      </c>
      <c r="FX63" s="19">
        <v>2.9000000000000001E-2</v>
      </c>
      <c r="FY63" s="19">
        <v>1470128</v>
      </c>
      <c r="FZ63" s="19">
        <v>152</v>
      </c>
      <c r="GA63" s="19">
        <v>0</v>
      </c>
      <c r="GB63" s="19">
        <v>0</v>
      </c>
      <c r="GC63" s="19">
        <v>15.585370590883265</v>
      </c>
      <c r="GD63" s="19">
        <f>DataTable[[#This Row],[Sens_16]]/AVERAGEIF(DataTable[Strålkälla],DataTable[[#This Row],[Strålkälla]],DataTable[Sens_16])</f>
        <v>1.0027771711023077</v>
      </c>
      <c r="GE63" s="19">
        <v>1182</v>
      </c>
      <c r="GF63" s="19">
        <v>1528</v>
      </c>
      <c r="GG63" s="19">
        <v>0.128</v>
      </c>
      <c r="GH63" s="19">
        <v>0.05</v>
      </c>
      <c r="GI63" s="19">
        <v>3.1E-2</v>
      </c>
      <c r="GJ63" s="19">
        <v>1409822</v>
      </c>
      <c r="GK63" s="19">
        <v>152</v>
      </c>
      <c r="GL63" s="19">
        <v>1</v>
      </c>
      <c r="GM63" s="19">
        <v>0</v>
      </c>
      <c r="GN63" s="19">
        <v>14.946044383332762</v>
      </c>
      <c r="GO63" s="19">
        <f>DataTable[[#This Row],[Sens_17]]/AVERAGEIF(DataTable[Strålkälla],DataTable[[#This Row],[Strålkälla]],DataTable[Sens_17])</f>
        <v>1.0016009197554743</v>
      </c>
      <c r="GP63" s="19">
        <v>1426</v>
      </c>
      <c r="GQ63" s="19">
        <v>1749</v>
      </c>
      <c r="GR63" s="19">
        <v>0.10199999999999999</v>
      </c>
      <c r="GS63" s="19">
        <v>4.3999999999999997E-2</v>
      </c>
      <c r="GT63" s="19">
        <v>0.03</v>
      </c>
      <c r="GU63" s="19">
        <v>1627366</v>
      </c>
      <c r="GV63" s="19">
        <v>152</v>
      </c>
      <c r="GW63" s="19">
        <v>0</v>
      </c>
      <c r="GX63" s="19">
        <v>0</v>
      </c>
      <c r="GY63" s="19">
        <v>17.252308776516969</v>
      </c>
      <c r="GZ63" s="19">
        <f>DataTable[[#This Row],[Sens_18]]/AVERAGEIF(DataTable[Strålkälla],DataTable[[#This Row],[Strålkälla]],DataTable[Sens_18])</f>
        <v>0.99916350146444532</v>
      </c>
      <c r="HA63" s="19">
        <v>1318</v>
      </c>
      <c r="HB63" s="19">
        <v>1588</v>
      </c>
      <c r="HC63" s="19">
        <v>9.2999999999999999E-2</v>
      </c>
      <c r="HD63" s="19">
        <v>4.9000000000000002E-2</v>
      </c>
      <c r="HE63" s="19">
        <v>0.03</v>
      </c>
      <c r="HF63" s="19">
        <v>1474422</v>
      </c>
      <c r="HG63" s="19">
        <v>152</v>
      </c>
      <c r="HH63" s="19">
        <v>0</v>
      </c>
      <c r="HI63" s="19">
        <v>0</v>
      </c>
      <c r="HJ63" s="19">
        <v>15.630892872832357</v>
      </c>
      <c r="HK63" s="19">
        <f>DataTable[[#This Row],[Sens_19]]/AVERAGEIF(DataTable[Strålkälla],DataTable[[#This Row],[Strålkälla]],DataTable[Sens_19])</f>
        <v>0.99897338216699649</v>
      </c>
      <c r="HL63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0.128</v>
      </c>
      <c r="HM63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9.5421052631578948E-2</v>
      </c>
      <c r="HN63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5.8000000000000003E-2</v>
      </c>
      <c r="HO63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4.1526315789473689E-2</v>
      </c>
      <c r="HP63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0.99744676757615514</v>
      </c>
      <c r="HQ63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1.0010735022435107</v>
      </c>
      <c r="HR63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1.0054514877293603</v>
      </c>
      <c r="HS63" s="49"/>
    </row>
    <row r="64" spans="2:227" x14ac:dyDescent="0.25">
      <c r="B64" s="19" t="s">
        <v>43</v>
      </c>
      <c r="C64" s="20">
        <v>42592</v>
      </c>
      <c r="D64" s="21">
        <v>0.3208449074074074</v>
      </c>
      <c r="E64" s="13" t="s">
        <v>217</v>
      </c>
      <c r="F64" s="13">
        <v>109.8</v>
      </c>
      <c r="G64" s="13">
        <v>134.19999999999999</v>
      </c>
      <c r="H64" s="24">
        <v>7.3391999999999999</v>
      </c>
      <c r="I64" s="22">
        <f>MATCH(DataTable[[#This Row],[Datum]],Övrigt!$D$10:$M$10,1)</f>
        <v>2</v>
      </c>
      <c r="J64" s="13"/>
      <c r="K64" s="22">
        <v>1754</v>
      </c>
      <c r="L64" s="22">
        <v>2158</v>
      </c>
      <c r="M64" s="23">
        <v>0.10299999999999999</v>
      </c>
      <c r="N64" s="23">
        <v>3.5000000000000003E-2</v>
      </c>
      <c r="O64" s="23">
        <v>2.7E-2</v>
      </c>
      <c r="P64" s="22">
        <v>2024917</v>
      </c>
      <c r="Q64" s="24">
        <v>146</v>
      </c>
      <c r="R64" s="22">
        <v>1</v>
      </c>
      <c r="S64" s="22">
        <v>0</v>
      </c>
      <c r="T64" s="19">
        <v>22.406175312497052</v>
      </c>
      <c r="U64" s="23">
        <f>DataTable[[#This Row],[Sens_1]]/AVERAGEIF(DataTable[Strålkälla],DataTable[[#This Row],[Strålkälla]],DataTable[Sens_1])</f>
        <v>0.99984789899006232</v>
      </c>
      <c r="V64" s="22">
        <v>2148</v>
      </c>
      <c r="W64" s="22">
        <v>2547</v>
      </c>
      <c r="X64" s="23">
        <v>8.5000000000000006E-2</v>
      </c>
      <c r="Y64" s="23">
        <v>3.4000000000000002E-2</v>
      </c>
      <c r="Z64" s="23">
        <v>2.4E-2</v>
      </c>
      <c r="AA64" s="22">
        <v>2447025</v>
      </c>
      <c r="AB64" s="24">
        <v>146</v>
      </c>
      <c r="AC64" s="22">
        <v>1</v>
      </c>
      <c r="AD64" s="22">
        <v>0</v>
      </c>
      <c r="AE64" s="19">
        <v>27.076898037827277</v>
      </c>
      <c r="AF64" s="23">
        <f>DataTable[[#This Row],[Sens_2]]/AVERAGEIF(DataTable[Strålkälla],DataTable[[#This Row],[Strålkälla]],DataTable[Sens_2])</f>
        <v>1.0012940217157302</v>
      </c>
      <c r="AG64" s="22">
        <v>1906</v>
      </c>
      <c r="AH64" s="22">
        <v>2289</v>
      </c>
      <c r="AI64" s="23">
        <v>9.0999999999999998E-2</v>
      </c>
      <c r="AJ64" s="23">
        <v>3.2000000000000001E-2</v>
      </c>
      <c r="AK64" s="23">
        <v>2.5000000000000001E-2</v>
      </c>
      <c r="AL64" s="22">
        <v>2135351</v>
      </c>
      <c r="AM64" s="24">
        <v>146</v>
      </c>
      <c r="AN64" s="22">
        <v>0</v>
      </c>
      <c r="AO64" s="22">
        <v>0</v>
      </c>
      <c r="AP64" s="19">
        <v>23.628153084652798</v>
      </c>
      <c r="AQ64" s="23">
        <f>DataTable[[#This Row],[Sens_3]]/AVERAGEIF(DataTable[Strålkälla],DataTable[[#This Row],[Strålkälla]],DataTable[Sens_3])</f>
        <v>1.0006263994447557</v>
      </c>
      <c r="AR64" s="22">
        <v>1831</v>
      </c>
      <c r="AS64" s="22">
        <v>2192</v>
      </c>
      <c r="AT64" s="23">
        <v>0.09</v>
      </c>
      <c r="AU64" s="23">
        <v>4.5999999999999999E-2</v>
      </c>
      <c r="AV64" s="23">
        <v>2.5000000000000001E-2</v>
      </c>
      <c r="AW64" s="22">
        <v>2072100</v>
      </c>
      <c r="AX64" s="24">
        <v>146</v>
      </c>
      <c r="AY64" s="22">
        <v>0</v>
      </c>
      <c r="AZ64" s="22">
        <v>0</v>
      </c>
      <c r="BA64" s="19">
        <v>22.928266128945108</v>
      </c>
      <c r="BB64" s="23">
        <f>DataTable[[#This Row],[Sens_4]]/AVERAGEIF(DataTable[Strålkälla],DataTable[[#This Row],[Strålkälla]],DataTable[Sens_4])</f>
        <v>1.0034533042719997</v>
      </c>
      <c r="BC64" s="22">
        <v>2097</v>
      </c>
      <c r="BD64" s="22">
        <v>2497</v>
      </c>
      <c r="BE64" s="19">
        <v>8.6999999999999994E-2</v>
      </c>
      <c r="BF64" s="19">
        <v>3.9E-2</v>
      </c>
      <c r="BG64" s="19">
        <v>2.4E-2</v>
      </c>
      <c r="BH64" s="19">
        <v>2336559</v>
      </c>
      <c r="BI64" s="19">
        <v>146</v>
      </c>
      <c r="BJ64" s="19">
        <v>0</v>
      </c>
      <c r="BK64" s="19">
        <v>0</v>
      </c>
      <c r="BL64" s="19">
        <v>25.854566178264491</v>
      </c>
      <c r="BM64" s="23">
        <f>DataTable[[#This Row],[Sens_5]]/AVERAGEIF(DataTable[Strålkälla],DataTable[[#This Row],[Strålkälla]],DataTable[Sens_5])</f>
        <v>1.0047003042115088</v>
      </c>
      <c r="BN64" s="19">
        <v>2077</v>
      </c>
      <c r="BO64" s="19">
        <v>2453</v>
      </c>
      <c r="BP64" s="19">
        <v>8.3000000000000004E-2</v>
      </c>
      <c r="BQ64" s="19">
        <v>3.2000000000000001E-2</v>
      </c>
      <c r="BR64" s="19">
        <v>2.3E-2</v>
      </c>
      <c r="BS64" s="19">
        <v>2332361</v>
      </c>
      <c r="BT64" s="19">
        <v>146</v>
      </c>
      <c r="BU64" s="19">
        <v>0</v>
      </c>
      <c r="BV64" s="19">
        <v>0</v>
      </c>
      <c r="BW64" s="19">
        <v>25.808114336553515</v>
      </c>
      <c r="BX64" s="23">
        <f>DataTable[[#This Row],[Sens_6]]/AVERAGEIF(DataTable[Strålkälla],DataTable[[#This Row],[Strålkälla]],DataTable[Sens_6])</f>
        <v>1.0032513949449944</v>
      </c>
      <c r="BY64" s="19">
        <v>1846</v>
      </c>
      <c r="BZ64" s="19">
        <v>2176</v>
      </c>
      <c r="CA64" s="19">
        <v>8.2000000000000003E-2</v>
      </c>
      <c r="CB64" s="19">
        <v>3.5000000000000003E-2</v>
      </c>
      <c r="CC64" s="19">
        <v>2.5000000000000001E-2</v>
      </c>
      <c r="CD64" s="19">
        <v>2069805</v>
      </c>
      <c r="CE64" s="19">
        <v>146</v>
      </c>
      <c r="CF64" s="19">
        <v>0</v>
      </c>
      <c r="CG64" s="19">
        <v>0</v>
      </c>
      <c r="CH64" s="19">
        <v>22.902871422721503</v>
      </c>
      <c r="CI64" s="23">
        <f>DataTable[[#This Row],[Sens_7]]/AVERAGEIF(DataTable[Strålkälla],DataTable[[#This Row],[Strålkälla]],DataTable[Sens_7])</f>
        <v>1.0016362431265542</v>
      </c>
      <c r="CJ64" s="19">
        <v>2174</v>
      </c>
      <c r="CK64" s="19">
        <v>2631</v>
      </c>
      <c r="CL64" s="19">
        <v>9.5000000000000001E-2</v>
      </c>
      <c r="CM64" s="19">
        <v>4.8000000000000001E-2</v>
      </c>
      <c r="CN64" s="19">
        <v>2.5000000000000001E-2</v>
      </c>
      <c r="CO64" s="19">
        <v>2452752</v>
      </c>
      <c r="CP64" s="19">
        <v>146</v>
      </c>
      <c r="CQ64" s="19">
        <v>0</v>
      </c>
      <c r="CR64" s="19">
        <v>0</v>
      </c>
      <c r="CS64" s="19">
        <v>27.140268618455853</v>
      </c>
      <c r="CT64" s="23">
        <f>DataTable[[#This Row],[Sens_8]]/AVERAGEIF(DataTable[Strålkälla],DataTable[[#This Row],[Strålkälla]],DataTable[Sens_8])</f>
        <v>1.0045125670559165</v>
      </c>
      <c r="CU64" s="19">
        <v>1755</v>
      </c>
      <c r="CV64" s="19">
        <v>2113</v>
      </c>
      <c r="CW64" s="19">
        <v>9.2999999999999999E-2</v>
      </c>
      <c r="CX64" s="19">
        <v>3.6999999999999998E-2</v>
      </c>
      <c r="CY64" s="19">
        <v>2.7E-2</v>
      </c>
      <c r="CZ64" s="19">
        <v>1963177</v>
      </c>
      <c r="DA64" s="19">
        <v>142</v>
      </c>
      <c r="DB64" s="19">
        <v>0</v>
      </c>
      <c r="DC64" s="19">
        <v>0</v>
      </c>
      <c r="DD64" s="19">
        <v>22.334923637640234</v>
      </c>
      <c r="DE64" s="23">
        <f>DataTable[[#This Row],[Sens_9]]/AVERAGEIF(DataTable[Strålkälla],DataTable[[#This Row],[Strålkälla]],DataTable[Sens_9])</f>
        <v>0.99848540933674057</v>
      </c>
      <c r="DF64" s="19">
        <v>1715</v>
      </c>
      <c r="DG64" s="19">
        <v>2021</v>
      </c>
      <c r="DH64" s="19">
        <v>8.2000000000000003E-2</v>
      </c>
      <c r="DI64" s="19">
        <v>4.3999999999999997E-2</v>
      </c>
      <c r="DJ64" s="19">
        <v>2.5999999999999999E-2</v>
      </c>
      <c r="DK64" s="19">
        <v>1906492</v>
      </c>
      <c r="DL64" s="19">
        <v>142</v>
      </c>
      <c r="DM64" s="19">
        <v>0</v>
      </c>
      <c r="DN64" s="19">
        <v>0</v>
      </c>
      <c r="DO64" s="19">
        <v>21.69002246652849</v>
      </c>
      <c r="DP64" s="23">
        <f>DataTable[[#This Row],[Sens_10]]/AVERAGEIF(DataTable[Strålkälla],DataTable[[#This Row],[Strålkälla]],DataTable[Sens_10])</f>
        <v>0.99971884196422633</v>
      </c>
      <c r="DQ64" s="19">
        <v>1416</v>
      </c>
      <c r="DR64" s="19">
        <v>1796</v>
      </c>
      <c r="DS64" s="19">
        <v>0.11799999999999999</v>
      </c>
      <c r="DT64" s="19">
        <v>3.9E-2</v>
      </c>
      <c r="DU64" s="19">
        <v>2.7E-2</v>
      </c>
      <c r="DV64" s="19">
        <v>1675554</v>
      </c>
      <c r="DW64" s="19">
        <v>142</v>
      </c>
      <c r="DX64" s="19">
        <v>1</v>
      </c>
      <c r="DY64" s="19">
        <v>0</v>
      </c>
      <c r="DZ64" s="19">
        <v>19.062657437787138</v>
      </c>
      <c r="EA64" s="19">
        <f>DataTable[[#This Row],[Sens_11]]/AVERAGEIF(DataTable[Strålkälla],DataTable[[#This Row],[Strålkälla]],DataTable[Sens_11])</f>
        <v>0.99899644038998303</v>
      </c>
      <c r="EB64" s="19">
        <v>1783</v>
      </c>
      <c r="EC64" s="19">
        <v>2166</v>
      </c>
      <c r="ED64" s="19">
        <v>9.7000000000000003E-2</v>
      </c>
      <c r="EE64" s="19">
        <v>3.9E-2</v>
      </c>
      <c r="EF64" s="19">
        <v>2.7E-2</v>
      </c>
      <c r="EG64" s="19">
        <v>1993770</v>
      </c>
      <c r="EH64" s="19">
        <v>142</v>
      </c>
      <c r="EI64" s="19">
        <v>0</v>
      </c>
      <c r="EJ64" s="19">
        <v>1</v>
      </c>
      <c r="EK64" s="19">
        <v>22.682977999955156</v>
      </c>
      <c r="EL64" s="23">
        <f>DataTable[[#This Row],[Sens_12]]/AVERAGEIF(DataTable[Strålkälla],DataTable[[#This Row],[Strålkälla]],DataTable[Sens_12])</f>
        <v>0.9991396628195065</v>
      </c>
      <c r="EM64" s="19">
        <v>1423</v>
      </c>
      <c r="EN64" s="19">
        <v>1853</v>
      </c>
      <c r="EO64" s="19">
        <v>0.13100000000000001</v>
      </c>
      <c r="EP64" s="19">
        <v>4.7E-2</v>
      </c>
      <c r="EQ64" s="19">
        <v>2.7E-2</v>
      </c>
      <c r="ER64" s="19">
        <v>1699576</v>
      </c>
      <c r="ES64" s="19">
        <v>152</v>
      </c>
      <c r="ET64" s="19">
        <v>1</v>
      </c>
      <c r="EU64" s="19">
        <v>1</v>
      </c>
      <c r="EV64" s="19">
        <v>18.063851768158319</v>
      </c>
      <c r="EW64" s="19">
        <f>DataTable[[#This Row],[Sens_13]]/AVERAGEIF(DataTable[Strålkälla],DataTable[[#This Row],[Strålkälla]],DataTable[Sens_13])</f>
        <v>1.002656107884875</v>
      </c>
      <c r="EX64" s="19">
        <v>1273</v>
      </c>
      <c r="EY64" s="19">
        <v>1558</v>
      </c>
      <c r="EZ64" s="19">
        <v>0.10100000000000001</v>
      </c>
      <c r="FA64" s="19">
        <v>3.7999999999999999E-2</v>
      </c>
      <c r="FB64" s="19">
        <v>2.9000000000000001E-2</v>
      </c>
      <c r="FC64" s="19">
        <v>1439459</v>
      </c>
      <c r="FD64" s="19">
        <v>152</v>
      </c>
      <c r="FE64" s="19">
        <v>0</v>
      </c>
      <c r="FF64" s="19">
        <v>0</v>
      </c>
      <c r="FG64" s="19">
        <v>15.299212275497773</v>
      </c>
      <c r="FH64" s="19">
        <f>DataTable[[#This Row],[Sens_14]]/AVERAGEIF(DataTable[Strålkälla],DataTable[[#This Row],[Strålkälla]],DataTable[Sens_14])</f>
        <v>1.0020721969427382</v>
      </c>
      <c r="FI64" s="19">
        <v>1463</v>
      </c>
      <c r="FJ64" s="19">
        <v>1750</v>
      </c>
      <c r="FK64" s="19">
        <v>8.8999999999999996E-2</v>
      </c>
      <c r="FL64" s="19">
        <v>4.7E-2</v>
      </c>
      <c r="FM64" s="19">
        <v>2.8000000000000001E-2</v>
      </c>
      <c r="FN64" s="19">
        <v>1633268</v>
      </c>
      <c r="FO64" s="19">
        <v>152</v>
      </c>
      <c r="FP64" s="19">
        <v>0</v>
      </c>
      <c r="FQ64" s="19">
        <v>0</v>
      </c>
      <c r="FR64" s="19">
        <v>17.359100769648663</v>
      </c>
      <c r="FS64" s="19">
        <f>DataTable[[#This Row],[Sens_15]]/AVERAGEIF(DataTable[Strålkälla],DataTable[[#This Row],[Strålkälla]],DataTable[Sens_15])</f>
        <v>1.0048778104904177</v>
      </c>
      <c r="FT64" s="19">
        <v>1295</v>
      </c>
      <c r="FU64" s="19">
        <v>1568</v>
      </c>
      <c r="FV64" s="19">
        <v>9.5000000000000001E-2</v>
      </c>
      <c r="FW64" s="19">
        <v>4.5999999999999999E-2</v>
      </c>
      <c r="FX64" s="19">
        <v>2.9000000000000001E-2</v>
      </c>
      <c r="FY64" s="19">
        <v>1469147</v>
      </c>
      <c r="FZ64" s="19">
        <v>152</v>
      </c>
      <c r="GA64" s="19">
        <v>0</v>
      </c>
      <c r="GB64" s="19">
        <v>0</v>
      </c>
      <c r="GC64" s="19">
        <v>15.614749580856923</v>
      </c>
      <c r="GD64" s="19">
        <f>DataTable[[#This Row],[Sens_16]]/AVERAGEIF(DataTable[Strålkälla],DataTable[[#This Row],[Strålkälla]],DataTable[Sens_16])</f>
        <v>1.0046674425131692</v>
      </c>
      <c r="GE64" s="19">
        <v>1206</v>
      </c>
      <c r="GF64" s="19">
        <v>1537</v>
      </c>
      <c r="GG64" s="19">
        <v>0.121</v>
      </c>
      <c r="GH64" s="19">
        <v>4.7E-2</v>
      </c>
      <c r="GI64" s="19">
        <v>3.2000000000000001E-2</v>
      </c>
      <c r="GJ64" s="19">
        <v>1408780</v>
      </c>
      <c r="GK64" s="19">
        <v>152</v>
      </c>
      <c r="GL64" s="19">
        <v>0</v>
      </c>
      <c r="GM64" s="19">
        <v>0</v>
      </c>
      <c r="GN64" s="19">
        <v>14.973142180135559</v>
      </c>
      <c r="GO64" s="19">
        <f>DataTable[[#This Row],[Sens_17]]/AVERAGEIF(DataTable[Strålkälla],DataTable[[#This Row],[Strålkälla]],DataTable[Sens_17])</f>
        <v>1.0034168636604246</v>
      </c>
      <c r="GP64" s="19">
        <v>1440</v>
      </c>
      <c r="GQ64" s="19">
        <v>1753</v>
      </c>
      <c r="GR64" s="19">
        <v>9.8000000000000004E-2</v>
      </c>
      <c r="GS64" s="19">
        <v>4.1000000000000002E-2</v>
      </c>
      <c r="GT64" s="19">
        <v>2.7E-2</v>
      </c>
      <c r="GU64" s="19">
        <v>1631506</v>
      </c>
      <c r="GV64" s="19">
        <v>152</v>
      </c>
      <c r="GW64" s="19">
        <v>0</v>
      </c>
      <c r="GX64" s="19">
        <v>0</v>
      </c>
      <c r="GY64" s="19">
        <v>17.340373447766328</v>
      </c>
      <c r="GZ64" s="19">
        <f>DataTable[[#This Row],[Sens_18]]/AVERAGEIF(DataTable[Strålkälla],DataTable[[#This Row],[Strålkälla]],DataTable[Sens_18])</f>
        <v>1.0042637466791957</v>
      </c>
      <c r="HA64" s="19">
        <v>1248</v>
      </c>
      <c r="HB64" s="19">
        <v>1591</v>
      </c>
      <c r="HC64" s="19">
        <v>0.121</v>
      </c>
      <c r="HD64" s="19">
        <v>4.3999999999999997E-2</v>
      </c>
      <c r="HE64" s="19">
        <v>0.03</v>
      </c>
      <c r="HF64" s="19">
        <v>1475049</v>
      </c>
      <c r="HG64" s="19">
        <v>152</v>
      </c>
      <c r="HH64" s="19">
        <v>1</v>
      </c>
      <c r="HI64" s="19">
        <v>0</v>
      </c>
      <c r="HJ64" s="19">
        <v>15.677478669250542</v>
      </c>
      <c r="HK64" s="19">
        <f>DataTable[[#This Row],[Sens_19]]/AVERAGEIF(DataTable[Strålkälla],DataTable[[#This Row],[Strålkälla]],DataTable[Sens_19])</f>
        <v>1.0019506894128101</v>
      </c>
      <c r="HL64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0.13100000000000001</v>
      </c>
      <c r="HM64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9.799999999999999E-2</v>
      </c>
      <c r="HN64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4.8000000000000001E-2</v>
      </c>
      <c r="HO64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4.0526315789473688E-2</v>
      </c>
      <c r="HP64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0.99848540933674057</v>
      </c>
      <c r="HQ64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1.0020824918871372</v>
      </c>
      <c r="HR64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1.0048778104904177</v>
      </c>
      <c r="HS64" s="49"/>
    </row>
    <row r="65" spans="2:227" x14ac:dyDescent="0.25">
      <c r="B65" s="19" t="s">
        <v>43</v>
      </c>
      <c r="C65" s="20">
        <v>42593</v>
      </c>
      <c r="D65" s="21">
        <v>0.32322916666666668</v>
      </c>
      <c r="E65" s="13" t="s">
        <v>217</v>
      </c>
      <c r="F65" s="13">
        <v>109.8</v>
      </c>
      <c r="G65" s="13">
        <v>134.19999999999999</v>
      </c>
      <c r="H65" s="24">
        <v>7.3520000000000003</v>
      </c>
      <c r="I65" s="22">
        <f>MATCH(DataTable[[#This Row],[Datum]],Övrigt!$D$10:$M$10,1)</f>
        <v>2</v>
      </c>
      <c r="J65" s="13"/>
      <c r="K65" s="22">
        <v>1804</v>
      </c>
      <c r="L65" s="22">
        <v>2168</v>
      </c>
      <c r="M65" s="23">
        <v>9.1999999999999998E-2</v>
      </c>
      <c r="N65" s="23">
        <v>3.5999999999999997E-2</v>
      </c>
      <c r="O65" s="23">
        <v>2.5999999999999999E-2</v>
      </c>
      <c r="P65" s="22">
        <v>2021598</v>
      </c>
      <c r="Q65" s="24">
        <v>147</v>
      </c>
      <c r="R65" s="22">
        <v>0</v>
      </c>
      <c r="S65" s="22">
        <v>0</v>
      </c>
      <c r="T65" s="19">
        <v>22.274020260291501</v>
      </c>
      <c r="U65" s="23">
        <f>DataTable[[#This Row],[Sens_1]]/AVERAGEIF(DataTable[Strålkälla],DataTable[[#This Row],[Strålkälla]],DataTable[Sens_1])</f>
        <v>0.99395064301282543</v>
      </c>
      <c r="V65" s="22">
        <v>2126</v>
      </c>
      <c r="W65" s="22">
        <v>2618</v>
      </c>
      <c r="X65" s="23">
        <v>0.104</v>
      </c>
      <c r="Y65" s="23">
        <v>3.9E-2</v>
      </c>
      <c r="Z65" s="23">
        <v>2.4E-2</v>
      </c>
      <c r="AA65" s="22">
        <v>2446772</v>
      </c>
      <c r="AB65" s="24">
        <v>147</v>
      </c>
      <c r="AC65" s="22">
        <v>1</v>
      </c>
      <c r="AD65" s="22">
        <v>0</v>
      </c>
      <c r="AE65" s="19">
        <v>26.958598643406827</v>
      </c>
      <c r="AF65" s="23">
        <f>DataTable[[#This Row],[Sens_2]]/AVERAGEIF(DataTable[Strålkälla],DataTable[[#This Row],[Strålkälla]],DataTable[Sens_2])</f>
        <v>0.9969193523484966</v>
      </c>
      <c r="AG65" s="22">
        <v>1903</v>
      </c>
      <c r="AH65" s="22">
        <v>2251</v>
      </c>
      <c r="AI65" s="23">
        <v>8.4000000000000005E-2</v>
      </c>
      <c r="AJ65" s="23">
        <v>4.9000000000000002E-2</v>
      </c>
      <c r="AK65" s="23">
        <v>2.5000000000000001E-2</v>
      </c>
      <c r="AL65" s="22">
        <v>2135858</v>
      </c>
      <c r="AM65" s="24">
        <v>147</v>
      </c>
      <c r="AN65" s="22">
        <v>0</v>
      </c>
      <c r="AO65" s="22">
        <v>0</v>
      </c>
      <c r="AP65" s="19">
        <v>23.532939963882868</v>
      </c>
      <c r="AQ65" s="23">
        <f>DataTable[[#This Row],[Sens_3]]/AVERAGEIF(DataTable[Strålkälla],DataTable[[#This Row],[Strålkälla]],DataTable[Sens_3])</f>
        <v>0.99659422808228915</v>
      </c>
      <c r="AR65" s="22">
        <v>1839</v>
      </c>
      <c r="AS65" s="22">
        <v>2187</v>
      </c>
      <c r="AT65" s="23">
        <v>8.5999999999999993E-2</v>
      </c>
      <c r="AU65" s="23">
        <v>5.0999999999999997E-2</v>
      </c>
      <c r="AV65" s="23">
        <v>2.5000000000000001E-2</v>
      </c>
      <c r="AW65" s="22">
        <v>2072872</v>
      </c>
      <c r="AX65" s="24">
        <v>147</v>
      </c>
      <c r="AY65" s="22">
        <v>0</v>
      </c>
      <c r="AZ65" s="22">
        <v>0</v>
      </c>
      <c r="BA65" s="19">
        <v>22.838958549123497</v>
      </c>
      <c r="BB65" s="23">
        <f>DataTable[[#This Row],[Sens_4]]/AVERAGEIF(DataTable[Strålkälla],DataTable[[#This Row],[Strålkälla]],DataTable[Sens_4])</f>
        <v>0.99954476685514737</v>
      </c>
      <c r="BC65" s="22">
        <v>2105</v>
      </c>
      <c r="BD65" s="22">
        <v>2459</v>
      </c>
      <c r="BE65" s="19">
        <v>7.8E-2</v>
      </c>
      <c r="BF65" s="19">
        <v>4.3999999999999997E-2</v>
      </c>
      <c r="BG65" s="19">
        <v>2.3E-2</v>
      </c>
      <c r="BH65" s="19">
        <v>2334978</v>
      </c>
      <c r="BI65" s="19">
        <v>147</v>
      </c>
      <c r="BJ65" s="19">
        <v>0</v>
      </c>
      <c r="BK65" s="19">
        <v>0</v>
      </c>
      <c r="BL65" s="19">
        <v>25.726849393071682</v>
      </c>
      <c r="BM65" s="23">
        <f>DataTable[[#This Row],[Sens_5]]/AVERAGEIF(DataTable[Strålkälla],DataTable[[#This Row],[Strålkälla]],DataTable[Sens_5])</f>
        <v>0.99973727013654501</v>
      </c>
      <c r="BN65" s="19">
        <v>2083</v>
      </c>
      <c r="BO65" s="19">
        <v>2462</v>
      </c>
      <c r="BP65" s="19">
        <v>8.3000000000000004E-2</v>
      </c>
      <c r="BQ65" s="19">
        <v>3.3000000000000002E-2</v>
      </c>
      <c r="BR65" s="19">
        <v>2.4E-2</v>
      </c>
      <c r="BS65" s="19">
        <v>2333640</v>
      </c>
      <c r="BT65" s="19">
        <v>147</v>
      </c>
      <c r="BU65" s="19">
        <v>0</v>
      </c>
      <c r="BV65" s="19">
        <v>0</v>
      </c>
      <c r="BW65" s="19">
        <v>25.712107273665019</v>
      </c>
      <c r="BX65" s="23">
        <f>DataTable[[#This Row],[Sens_6]]/AVERAGEIF(DataTable[Strålkälla],DataTable[[#This Row],[Strålkälla]],DataTable[Sens_6])</f>
        <v>0.99951926564211713</v>
      </c>
      <c r="BY65" s="19">
        <v>1848</v>
      </c>
      <c r="BZ65" s="19">
        <v>2287</v>
      </c>
      <c r="CA65" s="19">
        <v>0.106</v>
      </c>
      <c r="CB65" s="19">
        <v>4.4999999999999998E-2</v>
      </c>
      <c r="CC65" s="19">
        <v>2.5999999999999999E-2</v>
      </c>
      <c r="CD65" s="19">
        <v>2071593</v>
      </c>
      <c r="CE65" s="19">
        <v>147</v>
      </c>
      <c r="CF65" s="19">
        <v>0</v>
      </c>
      <c r="CG65" s="19">
        <v>1</v>
      </c>
      <c r="CH65" s="19">
        <v>22.824866493278112</v>
      </c>
      <c r="CI65" s="23">
        <f>DataTable[[#This Row],[Sens_7]]/AVERAGEIF(DataTable[Strålkälla],DataTable[[#This Row],[Strålkälla]],DataTable[Sens_7])</f>
        <v>0.99822476851138786</v>
      </c>
      <c r="CJ65" s="19">
        <v>2170</v>
      </c>
      <c r="CK65" s="19">
        <v>2631</v>
      </c>
      <c r="CL65" s="19">
        <v>9.6000000000000002E-2</v>
      </c>
      <c r="CM65" s="19">
        <v>3.4000000000000002E-2</v>
      </c>
      <c r="CN65" s="19">
        <v>2.5000000000000001E-2</v>
      </c>
      <c r="CO65" s="19">
        <v>2454167</v>
      </c>
      <c r="CP65" s="19">
        <v>147</v>
      </c>
      <c r="CQ65" s="19">
        <v>0</v>
      </c>
      <c r="CR65" s="19">
        <v>0</v>
      </c>
      <c r="CS65" s="19">
        <v>27.040076949096115</v>
      </c>
      <c r="CT65" s="23">
        <f>DataTable[[#This Row],[Sens_8]]/AVERAGEIF(DataTable[Strålkälla],DataTable[[#This Row],[Strålkälla]],DataTable[Sens_8])</f>
        <v>1.0008042842676714</v>
      </c>
      <c r="CU65" s="19">
        <v>1741</v>
      </c>
      <c r="CV65" s="19">
        <v>2123</v>
      </c>
      <c r="CW65" s="19">
        <v>9.9000000000000005E-2</v>
      </c>
      <c r="CX65" s="19">
        <v>4.2000000000000003E-2</v>
      </c>
      <c r="CY65" s="19">
        <v>2.7E-2</v>
      </c>
      <c r="CZ65" s="19">
        <v>1965544</v>
      </c>
      <c r="DA65" s="19">
        <v>142</v>
      </c>
      <c r="DB65" s="19">
        <v>0</v>
      </c>
      <c r="DC65" s="19">
        <v>0</v>
      </c>
      <c r="DD65" s="19">
        <v>22.418965657256987</v>
      </c>
      <c r="DE65" s="23">
        <f>DataTable[[#This Row],[Sens_9]]/AVERAGEIF(DataTable[Strålkälla],DataTable[[#This Row],[Strålkälla]],DataTable[Sens_9])</f>
        <v>1.0022425177880585</v>
      </c>
      <c r="DF65" s="19">
        <v>1713</v>
      </c>
      <c r="DG65" s="19">
        <v>2038</v>
      </c>
      <c r="DH65" s="19">
        <v>8.6999999999999994E-2</v>
      </c>
      <c r="DI65" s="19">
        <v>3.7999999999999999E-2</v>
      </c>
      <c r="DJ65" s="19">
        <v>2.5999999999999999E-2</v>
      </c>
      <c r="DK65" s="19">
        <v>1906673</v>
      </c>
      <c r="DL65" s="19">
        <v>142</v>
      </c>
      <c r="DM65" s="19">
        <v>0</v>
      </c>
      <c r="DN65" s="19">
        <v>0</v>
      </c>
      <c r="DO65" s="19">
        <v>21.747483906042881</v>
      </c>
      <c r="DP65" s="23">
        <f>DataTable[[#This Row],[Sens_10]]/AVERAGEIF(DataTable[Strålkälla],DataTable[[#This Row],[Strålkälla]],DataTable[Sens_10])</f>
        <v>1.0023673078133315</v>
      </c>
      <c r="DQ65" s="19">
        <v>1498</v>
      </c>
      <c r="DR65" s="19">
        <v>1774</v>
      </c>
      <c r="DS65" s="19">
        <v>8.4000000000000005E-2</v>
      </c>
      <c r="DT65" s="19">
        <v>3.6999999999999998E-2</v>
      </c>
      <c r="DU65" s="19">
        <v>2.7E-2</v>
      </c>
      <c r="DV65" s="19">
        <v>1675554</v>
      </c>
      <c r="DW65" s="19">
        <v>142</v>
      </c>
      <c r="DX65" s="19">
        <v>0</v>
      </c>
      <c r="DY65" s="19">
        <v>0</v>
      </c>
      <c r="DZ65" s="19">
        <v>19.11134402632532</v>
      </c>
      <c r="EA65" s="19">
        <f>DataTable[[#This Row],[Sens_11]]/AVERAGEIF(DataTable[Strålkälla],DataTable[[#This Row],[Strålkälla]],DataTable[Sens_11])</f>
        <v>1.0015479067216375</v>
      </c>
      <c r="EB65" s="19">
        <v>1770</v>
      </c>
      <c r="EC65" s="19">
        <v>2134</v>
      </c>
      <c r="ED65" s="19">
        <v>9.2999999999999999E-2</v>
      </c>
      <c r="EE65" s="19">
        <v>5.6000000000000001E-2</v>
      </c>
      <c r="EF65" s="19">
        <v>2.5999999999999999E-2</v>
      </c>
      <c r="EG65" s="19">
        <v>1991238</v>
      </c>
      <c r="EH65" s="19">
        <v>142</v>
      </c>
      <c r="EI65" s="19">
        <v>0</v>
      </c>
      <c r="EJ65" s="19">
        <v>0</v>
      </c>
      <c r="EK65" s="19">
        <v>22.712031039460367</v>
      </c>
      <c r="EL65" s="23">
        <f>DataTable[[#This Row],[Sens_12]]/AVERAGEIF(DataTable[Strålkälla],DataTable[[#This Row],[Strålkälla]],DataTable[Sens_12])</f>
        <v>1.0004193909087891</v>
      </c>
      <c r="EM65" s="19">
        <v>1520</v>
      </c>
      <c r="EN65" s="19">
        <v>1812</v>
      </c>
      <c r="EO65" s="19">
        <v>8.7999999999999995E-2</v>
      </c>
      <c r="EP65" s="19">
        <v>3.9E-2</v>
      </c>
      <c r="EQ65" s="19">
        <v>2.7E-2</v>
      </c>
      <c r="ER65" s="19">
        <v>1699190</v>
      </c>
      <c r="ES65" s="19">
        <v>153</v>
      </c>
      <c r="ET65" s="19">
        <v>0</v>
      </c>
      <c r="EU65" s="19">
        <v>0</v>
      </c>
      <c r="EV65" s="19">
        <v>17.987535271487044</v>
      </c>
      <c r="EW65" s="19">
        <f>DataTable[[#This Row],[Sens_13]]/AVERAGEIF(DataTable[Strålkälla],DataTable[[#This Row],[Strålkälla]],DataTable[Sens_13])</f>
        <v>0.99842006772567082</v>
      </c>
      <c r="EX65" s="19">
        <v>1270</v>
      </c>
      <c r="EY65" s="19">
        <v>1566</v>
      </c>
      <c r="EZ65" s="19">
        <v>0.104</v>
      </c>
      <c r="FA65" s="19">
        <v>4.4999999999999998E-2</v>
      </c>
      <c r="FB65" s="19">
        <v>0.03</v>
      </c>
      <c r="FC65" s="19">
        <v>1440386</v>
      </c>
      <c r="FD65" s="19">
        <v>153</v>
      </c>
      <c r="FE65" s="19">
        <v>0</v>
      </c>
      <c r="FF65" s="19">
        <v>0</v>
      </c>
      <c r="FG65" s="19">
        <v>15.247849845841923</v>
      </c>
      <c r="FH65" s="19">
        <f>DataTable[[#This Row],[Sens_14]]/AVERAGEIF(DataTable[Strålkälla],DataTable[[#This Row],[Strålkälla]],DataTable[Sens_14])</f>
        <v>0.99870804578261718</v>
      </c>
      <c r="FI65" s="19">
        <v>1432</v>
      </c>
      <c r="FJ65" s="19">
        <v>1763</v>
      </c>
      <c r="FK65" s="19">
        <v>0.104</v>
      </c>
      <c r="FL65" s="19">
        <v>4.2000000000000003E-2</v>
      </c>
      <c r="FM65" s="19">
        <v>2.8000000000000001E-2</v>
      </c>
      <c r="FN65" s="19">
        <v>1632672</v>
      </c>
      <c r="FO65" s="19">
        <v>153</v>
      </c>
      <c r="FP65" s="19">
        <v>0</v>
      </c>
      <c r="FQ65" s="19">
        <v>0</v>
      </c>
      <c r="FR65" s="19">
        <v>17.283379249389</v>
      </c>
      <c r="FS65" s="19">
        <f>DataTable[[#This Row],[Sens_15]]/AVERAGEIF(DataTable[Strålkälla],DataTable[[#This Row],[Strålkälla]],DataTable[Sens_15])</f>
        <v>1.0004944684904349</v>
      </c>
      <c r="FT65" s="19">
        <v>1292</v>
      </c>
      <c r="FU65" s="19">
        <v>1567</v>
      </c>
      <c r="FV65" s="19">
        <v>9.6000000000000002E-2</v>
      </c>
      <c r="FW65" s="19">
        <v>4.3999999999999997E-2</v>
      </c>
      <c r="FX65" s="19">
        <v>2.9000000000000001E-2</v>
      </c>
      <c r="FY65" s="19">
        <v>1469459</v>
      </c>
      <c r="FZ65" s="19">
        <v>153</v>
      </c>
      <c r="GA65" s="19">
        <v>0</v>
      </c>
      <c r="GB65" s="19">
        <v>0</v>
      </c>
      <c r="GC65" s="19">
        <v>15.555615082777136</v>
      </c>
      <c r="GD65" s="19">
        <f>DataTable[[#This Row],[Sens_16]]/AVERAGEIF(DataTable[Strålkälla],DataTable[[#This Row],[Strålkälla]],DataTable[Sens_16])</f>
        <v>1.0008626741662625</v>
      </c>
      <c r="GE65" s="19">
        <v>1228</v>
      </c>
      <c r="GF65" s="19">
        <v>1514</v>
      </c>
      <c r="GG65" s="19">
        <v>0.104</v>
      </c>
      <c r="GH65" s="19">
        <v>4.7E-2</v>
      </c>
      <c r="GI65" s="19">
        <v>0.03</v>
      </c>
      <c r="GJ65" s="19">
        <v>1411130</v>
      </c>
      <c r="GK65" s="19">
        <v>153</v>
      </c>
      <c r="GL65" s="19">
        <v>0</v>
      </c>
      <c r="GM65" s="19">
        <v>0</v>
      </c>
      <c r="GN65" s="19">
        <v>14.938147380606944</v>
      </c>
      <c r="GO65" s="19">
        <f>DataTable[[#This Row],[Sens_17]]/AVERAGEIF(DataTable[Strålkälla],DataTable[[#This Row],[Strålkälla]],DataTable[Sens_17])</f>
        <v>1.0010717064739783</v>
      </c>
      <c r="GP65" s="19">
        <v>1412</v>
      </c>
      <c r="GQ65" s="19">
        <v>1740</v>
      </c>
      <c r="GR65" s="19">
        <v>0.104</v>
      </c>
      <c r="GS65" s="19">
        <v>5.8000000000000003E-2</v>
      </c>
      <c r="GT65" s="19">
        <v>2.9000000000000001E-2</v>
      </c>
      <c r="GU65" s="19">
        <v>1630268</v>
      </c>
      <c r="GV65" s="19">
        <v>153</v>
      </c>
      <c r="GW65" s="19">
        <v>0</v>
      </c>
      <c r="GX65" s="19">
        <v>0</v>
      </c>
      <c r="GY65" s="19">
        <v>17.257930632817189</v>
      </c>
      <c r="GZ65" s="19">
        <f>DataTable[[#This Row],[Sens_18]]/AVERAGEIF(DataTable[Strålkälla],DataTable[[#This Row],[Strålkälla]],DataTable[Sens_18])</f>
        <v>0.99948908998122998</v>
      </c>
      <c r="HA65" s="19">
        <v>1305</v>
      </c>
      <c r="HB65" s="19">
        <v>1657</v>
      </c>
      <c r="HC65" s="19">
        <v>0.11899999999999999</v>
      </c>
      <c r="HD65" s="19">
        <v>7.2999999999999995E-2</v>
      </c>
      <c r="HE65" s="19">
        <v>3.2000000000000001E-2</v>
      </c>
      <c r="HF65" s="19">
        <v>1476094</v>
      </c>
      <c r="HG65" s="19">
        <v>153</v>
      </c>
      <c r="HH65" s="19">
        <v>0</v>
      </c>
      <c r="HI65" s="19">
        <v>2</v>
      </c>
      <c r="HJ65" s="19">
        <v>15.625852841077453</v>
      </c>
      <c r="HK65" s="19">
        <f>DataTable[[#This Row],[Sens_19]]/AVERAGEIF(DataTable[Strålkälla],DataTable[[#This Row],[Strålkälla]],DataTable[Sens_19])</f>
        <v>0.99865127276420129</v>
      </c>
      <c r="HL65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0.11899999999999999</v>
      </c>
      <c r="HM65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9.5315789473684229E-2</v>
      </c>
      <c r="HN65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7.2999999999999995E-2</v>
      </c>
      <c r="HO65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4.4842105263157898E-2</v>
      </c>
      <c r="HP65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0.99395064301282543</v>
      </c>
      <c r="HQ65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0.99945100144593124</v>
      </c>
      <c r="HR65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1.0023673078133315</v>
      </c>
      <c r="HS65" s="49"/>
    </row>
    <row r="66" spans="2:227" x14ac:dyDescent="0.25">
      <c r="B66" s="19" t="s">
        <v>43</v>
      </c>
      <c r="C66" s="20">
        <v>42597</v>
      </c>
      <c r="D66" s="21">
        <v>0.31872685185185184</v>
      </c>
      <c r="E66" s="13" t="s">
        <v>217</v>
      </c>
      <c r="F66" s="13">
        <v>109.8</v>
      </c>
      <c r="G66" s="13">
        <v>134.19999999999999</v>
      </c>
      <c r="H66" s="24">
        <v>7.4272</v>
      </c>
      <c r="I66" s="22">
        <f>MATCH(DataTable[[#This Row],[Datum]],Övrigt!$D$10:$M$10,1)</f>
        <v>2</v>
      </c>
      <c r="J66" s="13"/>
      <c r="K66" s="22">
        <v>1785</v>
      </c>
      <c r="L66" s="22">
        <v>2197</v>
      </c>
      <c r="M66" s="23">
        <v>0.10299999999999999</v>
      </c>
      <c r="N66" s="23">
        <v>4.8000000000000001E-2</v>
      </c>
      <c r="O66" s="23">
        <v>2.5999999999999999E-2</v>
      </c>
      <c r="P66" s="22">
        <v>2027212</v>
      </c>
      <c r="Q66" s="24">
        <v>148</v>
      </c>
      <c r="R66" s="22">
        <v>0</v>
      </c>
      <c r="S66" s="22">
        <v>1</v>
      </c>
      <c r="T66" s="19">
        <v>22.412471284713099</v>
      </c>
      <c r="U66" s="23">
        <f>DataTable[[#This Row],[Sens_1]]/AVERAGEIF(DataTable[Strålkälla],DataTable[[#This Row],[Strålkälla]],DataTable[Sens_1])</f>
        <v>1.0001288489739182</v>
      </c>
      <c r="V66" s="22">
        <v>2155</v>
      </c>
      <c r="W66" s="22">
        <v>2616</v>
      </c>
      <c r="X66" s="23">
        <v>9.7000000000000003E-2</v>
      </c>
      <c r="Y66" s="23">
        <v>0.04</v>
      </c>
      <c r="Z66" s="23">
        <v>2.5000000000000001E-2</v>
      </c>
      <c r="AA66" s="22">
        <v>2448455</v>
      </c>
      <c r="AB66" s="24">
        <v>148</v>
      </c>
      <c r="AC66" s="22">
        <v>0</v>
      </c>
      <c r="AD66" s="22">
        <v>0</v>
      </c>
      <c r="AE66" s="19">
        <v>27.069653977685711</v>
      </c>
      <c r="AF66" s="23">
        <f>DataTable[[#This Row],[Sens_2]]/AVERAGEIF(DataTable[Strålkälla],DataTable[[#This Row],[Strålkälla]],DataTable[Sens_2])</f>
        <v>1.0010261389581645</v>
      </c>
      <c r="AG66" s="22">
        <v>1928</v>
      </c>
      <c r="AH66" s="22">
        <v>2285</v>
      </c>
      <c r="AI66" s="23">
        <v>8.5000000000000006E-2</v>
      </c>
      <c r="AJ66" s="23">
        <v>3.5000000000000003E-2</v>
      </c>
      <c r="AK66" s="23">
        <v>2.5999999999999999E-2</v>
      </c>
      <c r="AL66" s="22">
        <v>2136059</v>
      </c>
      <c r="AM66" s="24">
        <v>148</v>
      </c>
      <c r="AN66" s="22">
        <v>0</v>
      </c>
      <c r="AO66" s="22">
        <v>0</v>
      </c>
      <c r="AP66" s="19">
        <v>23.615863067085719</v>
      </c>
      <c r="AQ66" s="23">
        <f>DataTable[[#This Row],[Sens_3]]/AVERAGEIF(DataTable[Strålkälla],DataTable[[#This Row],[Strålkälla]],DataTable[Sens_3])</f>
        <v>1.0001059306640094</v>
      </c>
      <c r="AR66" s="22">
        <v>1833</v>
      </c>
      <c r="AS66" s="22">
        <v>2193</v>
      </c>
      <c r="AT66" s="23">
        <v>8.8999999999999996E-2</v>
      </c>
      <c r="AU66" s="23">
        <v>3.2000000000000001E-2</v>
      </c>
      <c r="AV66" s="23">
        <v>2.5000000000000001E-2</v>
      </c>
      <c r="AW66" s="22">
        <v>2073436</v>
      </c>
      <c r="AX66" s="24">
        <v>148</v>
      </c>
      <c r="AY66" s="22">
        <v>0</v>
      </c>
      <c r="AZ66" s="22">
        <v>0</v>
      </c>
      <c r="BA66" s="19">
        <v>22.923515059446366</v>
      </c>
      <c r="BB66" s="23">
        <f>DataTable[[#This Row],[Sens_4]]/AVERAGEIF(DataTable[Strålkälla],DataTable[[#This Row],[Strålkälla]],DataTable[Sens_4])</f>
        <v>1.0032453741842851</v>
      </c>
      <c r="BC66" s="22">
        <v>2053</v>
      </c>
      <c r="BD66" s="22">
        <v>2444</v>
      </c>
      <c r="BE66" s="19">
        <v>8.6999999999999994E-2</v>
      </c>
      <c r="BF66" s="19">
        <v>3.3000000000000002E-2</v>
      </c>
      <c r="BG66" s="19">
        <v>2.3E-2</v>
      </c>
      <c r="BH66" s="19">
        <v>2333978</v>
      </c>
      <c r="BI66" s="19">
        <v>148</v>
      </c>
      <c r="BJ66" s="19">
        <v>1</v>
      </c>
      <c r="BK66" s="19">
        <v>0</v>
      </c>
      <c r="BL66" s="19">
        <v>25.804017983393994</v>
      </c>
      <c r="BM66" s="23">
        <f>DataTable[[#This Row],[Sens_5]]/AVERAGEIF(DataTable[Strålkälla],DataTable[[#This Row],[Strålkälla]],DataTable[Sens_5])</f>
        <v>1.002736017268399</v>
      </c>
      <c r="BN66" s="19">
        <v>2077</v>
      </c>
      <c r="BO66" s="19">
        <v>2457</v>
      </c>
      <c r="BP66" s="19">
        <v>8.4000000000000005E-2</v>
      </c>
      <c r="BQ66" s="19">
        <v>3.6999999999999998E-2</v>
      </c>
      <c r="BR66" s="19">
        <v>2.5000000000000001E-2</v>
      </c>
      <c r="BS66" s="19">
        <v>2331216</v>
      </c>
      <c r="BT66" s="19">
        <v>148</v>
      </c>
      <c r="BU66" s="19">
        <v>0</v>
      </c>
      <c r="BV66" s="19">
        <v>0</v>
      </c>
      <c r="BW66" s="19">
        <v>25.773481835379688</v>
      </c>
      <c r="BX66" s="23">
        <f>DataTable[[#This Row],[Sens_6]]/AVERAGEIF(DataTable[Strålkälla],DataTable[[#This Row],[Strålkälla]],DataTable[Sens_6])</f>
        <v>1.0019051088638038</v>
      </c>
      <c r="BY66" s="19">
        <v>1781</v>
      </c>
      <c r="BZ66" s="19">
        <v>2193</v>
      </c>
      <c r="CA66" s="19">
        <v>0.104</v>
      </c>
      <c r="CB66" s="19">
        <v>4.2999999999999997E-2</v>
      </c>
      <c r="CC66" s="19">
        <v>2.5999999999999999E-2</v>
      </c>
      <c r="CD66" s="19">
        <v>2071031</v>
      </c>
      <c r="CE66" s="19">
        <v>148</v>
      </c>
      <c r="CF66" s="19">
        <v>1</v>
      </c>
      <c r="CG66" s="19">
        <v>0</v>
      </c>
      <c r="CH66" s="19">
        <v>22.896925835704728</v>
      </c>
      <c r="CI66" s="23">
        <f>DataTable[[#This Row],[Sens_7]]/AVERAGEIF(DataTable[Strålkälla],DataTable[[#This Row],[Strålkälla]],DataTable[Sens_7])</f>
        <v>1.0013762182880634</v>
      </c>
      <c r="CJ66" s="19">
        <v>2112</v>
      </c>
      <c r="CK66" s="19">
        <v>2557</v>
      </c>
      <c r="CL66" s="19">
        <v>9.5000000000000001E-2</v>
      </c>
      <c r="CM66" s="19">
        <v>4.7E-2</v>
      </c>
      <c r="CN66" s="19">
        <v>2.5000000000000001E-2</v>
      </c>
      <c r="CO66" s="19">
        <v>2449211</v>
      </c>
      <c r="CP66" s="19">
        <v>148</v>
      </c>
      <c r="CQ66" s="19">
        <v>2</v>
      </c>
      <c r="CR66" s="19">
        <v>0</v>
      </c>
      <c r="CS66" s="19">
        <v>27.078012170263126</v>
      </c>
      <c r="CT66" s="23">
        <f>DataTable[[#This Row],[Sens_8]]/AVERAGEIF(DataTable[Strålkälla],DataTable[[#This Row],[Strålkälla]],DataTable[Sens_8])</f>
        <v>1.0022083384033182</v>
      </c>
      <c r="CU66" s="19">
        <v>1736</v>
      </c>
      <c r="CV66" s="19">
        <v>2081</v>
      </c>
      <c r="CW66" s="19">
        <v>0.09</v>
      </c>
      <c r="CX66" s="19">
        <v>4.2999999999999997E-2</v>
      </c>
      <c r="CY66" s="19">
        <v>2.5999999999999999E-2</v>
      </c>
      <c r="CZ66" s="19">
        <v>1961902</v>
      </c>
      <c r="DA66" s="19">
        <v>143</v>
      </c>
      <c r="DB66" s="19">
        <v>0</v>
      </c>
      <c r="DC66" s="19">
        <v>0</v>
      </c>
      <c r="DD66" s="19">
        <v>22.448822479685241</v>
      </c>
      <c r="DE66" s="23">
        <f>DataTable[[#This Row],[Sens_9]]/AVERAGEIF(DataTable[Strålkälla],DataTable[[#This Row],[Strålkälla]],DataTable[Sens_9])</f>
        <v>1.0035772705746555</v>
      </c>
      <c r="DF66" s="19">
        <v>1651</v>
      </c>
      <c r="DG66" s="19">
        <v>2021</v>
      </c>
      <c r="DH66" s="19">
        <v>0.10100000000000001</v>
      </c>
      <c r="DI66" s="19">
        <v>4.1000000000000002E-2</v>
      </c>
      <c r="DJ66" s="19">
        <v>2.5999999999999999E-2</v>
      </c>
      <c r="DK66" s="19">
        <v>1906718</v>
      </c>
      <c r="DL66" s="19">
        <v>143</v>
      </c>
      <c r="DM66" s="19">
        <v>1</v>
      </c>
      <c r="DN66" s="19">
        <v>0</v>
      </c>
      <c r="DO66" s="19">
        <v>21.817386342855293</v>
      </c>
      <c r="DP66" s="23">
        <f>DataTable[[#This Row],[Sens_10]]/AVERAGEIF(DataTable[Strålkälla],DataTable[[#This Row],[Strålkälla]],DataTable[Sens_10])</f>
        <v>1.0055891939726669</v>
      </c>
      <c r="DQ66" s="19">
        <v>1500</v>
      </c>
      <c r="DR66" s="19">
        <v>1781</v>
      </c>
      <c r="DS66" s="19">
        <v>8.5999999999999993E-2</v>
      </c>
      <c r="DT66" s="19">
        <v>3.9E-2</v>
      </c>
      <c r="DU66" s="19">
        <v>2.7E-2</v>
      </c>
      <c r="DV66" s="19">
        <v>1677664</v>
      </c>
      <c r="DW66" s="19">
        <v>143</v>
      </c>
      <c r="DX66" s="19">
        <v>0</v>
      </c>
      <c r="DY66" s="19">
        <v>0</v>
      </c>
      <c r="DZ66" s="19">
        <v>19.19646410297694</v>
      </c>
      <c r="EA66" s="19">
        <f>DataTable[[#This Row],[Sens_11]]/AVERAGEIF(DataTable[Strålkälla],DataTable[[#This Row],[Strålkälla]],DataTable[Sens_11])</f>
        <v>1.0060087041659711</v>
      </c>
      <c r="EB66" s="19">
        <v>1756</v>
      </c>
      <c r="EC66" s="19">
        <v>2099</v>
      </c>
      <c r="ED66" s="19">
        <v>8.8999999999999996E-2</v>
      </c>
      <c r="EE66" s="19">
        <v>4.2000000000000003E-2</v>
      </c>
      <c r="EF66" s="19">
        <v>2.8000000000000001E-2</v>
      </c>
      <c r="EG66" s="19">
        <v>1992119</v>
      </c>
      <c r="EH66" s="19">
        <v>143</v>
      </c>
      <c r="EI66" s="19">
        <v>0</v>
      </c>
      <c r="EJ66" s="19">
        <v>0</v>
      </c>
      <c r="EK66" s="19">
        <v>22.794576787937462</v>
      </c>
      <c r="EL66" s="23">
        <f>DataTable[[#This Row],[Sens_12]]/AVERAGEIF(DataTable[Strålkälla],DataTable[[#This Row],[Strålkälla]],DataTable[Sens_12])</f>
        <v>1.0040553654841182</v>
      </c>
      <c r="EM66" s="19">
        <v>1496</v>
      </c>
      <c r="EN66" s="19">
        <v>1896</v>
      </c>
      <c r="EO66" s="19">
        <v>0.11799999999999999</v>
      </c>
      <c r="EP66" s="19">
        <v>3.5999999999999997E-2</v>
      </c>
      <c r="EQ66" s="19">
        <v>2.8000000000000001E-2</v>
      </c>
      <c r="ER66" s="19">
        <v>1699981</v>
      </c>
      <c r="ES66" s="19">
        <v>154</v>
      </c>
      <c r="ET66" s="19">
        <v>0</v>
      </c>
      <c r="EU66" s="19">
        <v>2</v>
      </c>
      <c r="EV66" s="19">
        <v>18.062407658555369</v>
      </c>
      <c r="EW66" s="19">
        <f>DataTable[[#This Row],[Sens_13]]/AVERAGEIF(DataTable[Strålkälla],DataTable[[#This Row],[Strålkälla]],DataTable[Sens_13])</f>
        <v>1.0025759508213408</v>
      </c>
      <c r="EX66" s="19">
        <v>1271</v>
      </c>
      <c r="EY66" s="19">
        <v>1577</v>
      </c>
      <c r="EZ66" s="19">
        <v>0.107</v>
      </c>
      <c r="FA66" s="19">
        <v>4.8000000000000001E-2</v>
      </c>
      <c r="FB66" s="19">
        <v>0.03</v>
      </c>
      <c r="FC66" s="19">
        <v>1441124</v>
      </c>
      <c r="FD66" s="19">
        <v>154</v>
      </c>
      <c r="FE66" s="19">
        <v>0</v>
      </c>
      <c r="FF66" s="19">
        <v>0</v>
      </c>
      <c r="FG66" s="19">
        <v>15.312035354823346</v>
      </c>
      <c r="FH66" s="19">
        <f>DataTable[[#This Row],[Sens_14]]/AVERAGEIF(DataTable[Strålkälla],DataTable[[#This Row],[Strålkälla]],DataTable[Sens_14])</f>
        <v>1.0029120866730041</v>
      </c>
      <c r="FI66" s="19">
        <v>1452</v>
      </c>
      <c r="FJ66" s="19">
        <v>1724</v>
      </c>
      <c r="FK66" s="19">
        <v>8.5999999999999993E-2</v>
      </c>
      <c r="FL66" s="19">
        <v>3.4000000000000002E-2</v>
      </c>
      <c r="FM66" s="19">
        <v>2.8000000000000001E-2</v>
      </c>
      <c r="FN66" s="19">
        <v>1629709</v>
      </c>
      <c r="FO66" s="19">
        <v>154</v>
      </c>
      <c r="FP66" s="19">
        <v>0</v>
      </c>
      <c r="FQ66" s="19">
        <v>0</v>
      </c>
      <c r="FR66" s="19">
        <v>17.315763130774172</v>
      </c>
      <c r="FS66" s="19">
        <f>DataTable[[#This Row],[Sens_15]]/AVERAGEIF(DataTable[Strålkälla],DataTable[[#This Row],[Strålkälla]],DataTable[Sens_15])</f>
        <v>1.0023690957682723</v>
      </c>
      <c r="FT66" s="19">
        <v>1301</v>
      </c>
      <c r="FU66" s="19">
        <v>1593</v>
      </c>
      <c r="FV66" s="19">
        <v>0.10100000000000001</v>
      </c>
      <c r="FW66" s="19">
        <v>3.9E-2</v>
      </c>
      <c r="FX66" s="19">
        <v>2.9000000000000001E-2</v>
      </c>
      <c r="FY66" s="19">
        <v>1468633</v>
      </c>
      <c r="FZ66" s="19">
        <v>154</v>
      </c>
      <c r="GA66" s="19">
        <v>0</v>
      </c>
      <c r="GB66" s="19">
        <v>0</v>
      </c>
      <c r="GC66" s="19">
        <v>15.604320252289376</v>
      </c>
      <c r="GD66" s="19">
        <f>DataTable[[#This Row],[Sens_16]]/AVERAGEIF(DataTable[Strålkälla],DataTable[[#This Row],[Strålkälla]],DataTable[Sens_16])</f>
        <v>1.0039964098587659</v>
      </c>
      <c r="GE66" s="19">
        <v>1210</v>
      </c>
      <c r="GF66" s="19">
        <v>1560</v>
      </c>
      <c r="GG66" s="19">
        <v>0.126</v>
      </c>
      <c r="GH66" s="19">
        <v>4.8000000000000001E-2</v>
      </c>
      <c r="GI66" s="19">
        <v>3.2000000000000001E-2</v>
      </c>
      <c r="GJ66" s="19">
        <v>1408281</v>
      </c>
      <c r="GK66" s="19">
        <v>154</v>
      </c>
      <c r="GL66" s="19">
        <v>0</v>
      </c>
      <c r="GM66" s="19">
        <v>1</v>
      </c>
      <c r="GN66" s="19">
        <v>14.963076363675837</v>
      </c>
      <c r="GO66" s="19">
        <f>DataTable[[#This Row],[Sens_17]]/AVERAGEIF(DataTable[Strålkälla],DataTable[[#This Row],[Strålkälla]],DataTable[Sens_17])</f>
        <v>1.0027423085229201</v>
      </c>
      <c r="GP66" s="19">
        <v>1434</v>
      </c>
      <c r="GQ66" s="19">
        <v>1770</v>
      </c>
      <c r="GR66" s="19">
        <v>0.105</v>
      </c>
      <c r="GS66" s="19">
        <v>4.2000000000000003E-2</v>
      </c>
      <c r="GT66" s="19">
        <v>2.8000000000000001E-2</v>
      </c>
      <c r="GU66" s="19">
        <v>1631813</v>
      </c>
      <c r="GV66" s="19">
        <v>154</v>
      </c>
      <c r="GW66" s="19">
        <v>0</v>
      </c>
      <c r="GX66" s="19">
        <v>0</v>
      </c>
      <c r="GY66" s="19">
        <v>17.338118266339571</v>
      </c>
      <c r="GZ66" s="19">
        <f>DataTable[[#This Row],[Sens_18]]/AVERAGEIF(DataTable[Strålkälla],DataTable[[#This Row],[Strålkälla]],DataTable[Sens_18])</f>
        <v>1.0041331383646803</v>
      </c>
      <c r="HA66" s="19">
        <v>1260</v>
      </c>
      <c r="HB66" s="19">
        <v>1631</v>
      </c>
      <c r="HC66" s="19">
        <v>0.128</v>
      </c>
      <c r="HD66" s="19">
        <v>6.6000000000000003E-2</v>
      </c>
      <c r="HE66" s="19">
        <v>0.03</v>
      </c>
      <c r="HF66" s="19">
        <v>1479420</v>
      </c>
      <c r="HG66" s="19">
        <v>154</v>
      </c>
      <c r="HH66" s="19">
        <v>1</v>
      </c>
      <c r="HI66" s="19">
        <v>1</v>
      </c>
      <c r="HJ66" s="19">
        <v>15.718932822319768</v>
      </c>
      <c r="HK66" s="19">
        <f>DataTable[[#This Row],[Sens_19]]/AVERAGEIF(DataTable[Strålkälla],DataTable[[#This Row],[Strålkälla]],DataTable[Sens_19])</f>
        <v>1.0046000323411599</v>
      </c>
      <c r="HL66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0.128</v>
      </c>
      <c r="HM66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9.8999999999999991E-2</v>
      </c>
      <c r="HN66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6.6000000000000003E-2</v>
      </c>
      <c r="HO66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4.1736842105263162E-2</v>
      </c>
      <c r="HP66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1.0001059306640094</v>
      </c>
      <c r="HQ66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1.0029100806395534</v>
      </c>
      <c r="HR66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1.0060087041659711</v>
      </c>
      <c r="HS66" s="49"/>
    </row>
    <row r="67" spans="2:227" x14ac:dyDescent="0.25">
      <c r="B67" s="19" t="s">
        <v>43</v>
      </c>
      <c r="C67" s="20">
        <v>42599</v>
      </c>
      <c r="D67" s="21">
        <v>0.323125</v>
      </c>
      <c r="E67" s="13" t="s">
        <v>217</v>
      </c>
      <c r="F67" s="13">
        <v>109.8</v>
      </c>
      <c r="G67" s="13">
        <v>134.19999999999999</v>
      </c>
      <c r="H67" s="24">
        <v>7.4703999999999997</v>
      </c>
      <c r="I67" s="22">
        <f>MATCH(DataTable[[#This Row],[Datum]],Övrigt!$D$10:$M$10,1)</f>
        <v>2</v>
      </c>
      <c r="J67" s="13"/>
      <c r="K67" s="22">
        <v>1795</v>
      </c>
      <c r="L67" s="22">
        <v>2133</v>
      </c>
      <c r="M67" s="23">
        <v>8.5999999999999993E-2</v>
      </c>
      <c r="N67" s="23">
        <v>3.5999999999999997E-2</v>
      </c>
      <c r="O67" s="23">
        <v>2.5000000000000001E-2</v>
      </c>
      <c r="P67" s="22">
        <v>2030095</v>
      </c>
      <c r="Q67" s="24">
        <v>149</v>
      </c>
      <c r="R67" s="22">
        <v>0</v>
      </c>
      <c r="S67" s="22">
        <v>0</v>
      </c>
      <c r="T67" s="19">
        <v>22.407735014058371</v>
      </c>
      <c r="U67" s="23">
        <f>DataTable[[#This Row],[Sens_1]]/AVERAGEIF(DataTable[Strålkälla],DataTable[[#This Row],[Strålkälla]],DataTable[Sens_1])</f>
        <v>0.99991749874581659</v>
      </c>
      <c r="V67" s="22">
        <v>2166</v>
      </c>
      <c r="W67" s="22">
        <v>2652</v>
      </c>
      <c r="X67" s="23">
        <v>0.10100000000000001</v>
      </c>
      <c r="Y67" s="23">
        <v>4.2999999999999997E-2</v>
      </c>
      <c r="Z67" s="23">
        <v>2.4E-2</v>
      </c>
      <c r="AA67" s="22">
        <v>2453102</v>
      </c>
      <c r="AB67" s="24">
        <v>149</v>
      </c>
      <c r="AC67" s="22">
        <v>0</v>
      </c>
      <c r="AD67" s="22">
        <v>2</v>
      </c>
      <c r="AE67" s="19">
        <v>27.076791765142332</v>
      </c>
      <c r="AF67" s="23">
        <f>DataTable[[#This Row],[Sens_2]]/AVERAGEIF(DataTable[Strålkälla],DataTable[[#This Row],[Strålkälla]],DataTable[Sens_2])</f>
        <v>1.0012900917897851</v>
      </c>
      <c r="AG67" s="22">
        <v>1885</v>
      </c>
      <c r="AH67" s="22">
        <v>2286</v>
      </c>
      <c r="AI67" s="23">
        <v>9.6000000000000002E-2</v>
      </c>
      <c r="AJ67" s="23">
        <v>4.1000000000000002E-2</v>
      </c>
      <c r="AK67" s="23">
        <v>2.5000000000000001E-2</v>
      </c>
      <c r="AL67" s="22">
        <v>2136136</v>
      </c>
      <c r="AM67" s="24">
        <v>149</v>
      </c>
      <c r="AN67" s="22">
        <v>0</v>
      </c>
      <c r="AO67" s="22">
        <v>0</v>
      </c>
      <c r="AP67" s="19">
        <v>23.578191878700551</v>
      </c>
      <c r="AQ67" s="23">
        <f>DataTable[[#This Row],[Sens_3]]/AVERAGEIF(DataTable[Strålkälla],DataTable[[#This Row],[Strålkälla]],DataTable[Sens_3])</f>
        <v>0.99851059710316747</v>
      </c>
      <c r="AR67" s="22">
        <v>1893</v>
      </c>
      <c r="AS67" s="22">
        <v>2214</v>
      </c>
      <c r="AT67" s="23">
        <v>7.8E-2</v>
      </c>
      <c r="AU67" s="23">
        <v>3.7999999999999999E-2</v>
      </c>
      <c r="AV67" s="23">
        <v>2.4E-2</v>
      </c>
      <c r="AW67" s="22">
        <v>2075274</v>
      </c>
      <c r="AX67" s="24">
        <v>149</v>
      </c>
      <c r="AY67" s="22">
        <v>0</v>
      </c>
      <c r="AZ67" s="22">
        <v>0</v>
      </c>
      <c r="BA67" s="19">
        <v>22.906410721451447</v>
      </c>
      <c r="BB67" s="23">
        <f>DataTable[[#This Row],[Sens_4]]/AVERAGEIF(DataTable[Strålkälla],DataTable[[#This Row],[Strålkälla]],DataTable[Sens_4])</f>
        <v>1.0024968045200173</v>
      </c>
      <c r="BC67" s="22">
        <v>2128</v>
      </c>
      <c r="BD67" s="22">
        <v>2513</v>
      </c>
      <c r="BE67" s="19">
        <v>8.3000000000000004E-2</v>
      </c>
      <c r="BF67" s="19">
        <v>3.2000000000000001E-2</v>
      </c>
      <c r="BG67" s="19">
        <v>2.4E-2</v>
      </c>
      <c r="BH67" s="19">
        <v>2339187</v>
      </c>
      <c r="BI67" s="19">
        <v>149</v>
      </c>
      <c r="BJ67" s="19">
        <v>0</v>
      </c>
      <c r="BK67" s="19">
        <v>1</v>
      </c>
      <c r="BL67" s="19">
        <v>25.819423447833802</v>
      </c>
      <c r="BM67" s="23">
        <f>DataTable[[#This Row],[Sens_5]]/AVERAGEIF(DataTable[Strålkälla],DataTable[[#This Row],[Strålkälla]],DataTable[Sens_5])</f>
        <v>1.0033346687678084</v>
      </c>
      <c r="BN67" s="19">
        <v>2045</v>
      </c>
      <c r="BO67" s="19">
        <v>2429</v>
      </c>
      <c r="BP67" s="19">
        <v>8.5999999999999993E-2</v>
      </c>
      <c r="BQ67" s="19">
        <v>5.0999999999999997E-2</v>
      </c>
      <c r="BR67" s="19">
        <v>2.4E-2</v>
      </c>
      <c r="BS67" s="19">
        <v>2329260</v>
      </c>
      <c r="BT67" s="19">
        <v>149</v>
      </c>
      <c r="BU67" s="19">
        <v>1</v>
      </c>
      <c r="BV67" s="19">
        <v>0</v>
      </c>
      <c r="BW67" s="19">
        <v>25.709851439881191</v>
      </c>
      <c r="BX67" s="23">
        <f>DataTable[[#This Row],[Sens_6]]/AVERAGEIF(DataTable[Strålkälla],DataTable[[#This Row],[Strålkälla]],DataTable[Sens_6])</f>
        <v>0.99943157351704059</v>
      </c>
      <c r="BY67" s="19">
        <v>1781</v>
      </c>
      <c r="BZ67" s="19">
        <v>2212</v>
      </c>
      <c r="CA67" s="19">
        <v>0.108</v>
      </c>
      <c r="CB67" s="19">
        <v>5.6000000000000001E-2</v>
      </c>
      <c r="CC67" s="19">
        <v>2.5999999999999999E-2</v>
      </c>
      <c r="CD67" s="19">
        <v>2065335</v>
      </c>
      <c r="CE67" s="19">
        <v>149</v>
      </c>
      <c r="CF67" s="19">
        <v>2</v>
      </c>
      <c r="CG67" s="19">
        <v>0</v>
      </c>
      <c r="CH67" s="19">
        <v>22.796706260180066</v>
      </c>
      <c r="CI67" s="23">
        <f>DataTable[[#This Row],[Sens_7]]/AVERAGEIF(DataTable[Strålkälla],DataTable[[#This Row],[Strålkälla]],DataTable[Sens_7])</f>
        <v>0.99699320633888622</v>
      </c>
      <c r="CJ67" s="19">
        <v>2127</v>
      </c>
      <c r="CK67" s="19">
        <v>2661</v>
      </c>
      <c r="CL67" s="19">
        <v>0.112</v>
      </c>
      <c r="CM67" s="19">
        <v>0.04</v>
      </c>
      <c r="CN67" s="19">
        <v>2.5999999999999999E-2</v>
      </c>
      <c r="CO67" s="19">
        <v>2442640</v>
      </c>
      <c r="CP67" s="19">
        <v>149</v>
      </c>
      <c r="CQ67" s="19">
        <v>1</v>
      </c>
      <c r="CR67" s="19">
        <v>1</v>
      </c>
      <c r="CS67" s="19">
        <v>26.961314546727884</v>
      </c>
      <c r="CT67" s="23">
        <f>DataTable[[#This Row],[Sens_8]]/AVERAGEIF(DataTable[Strålkälla],DataTable[[#This Row],[Strålkälla]],DataTable[Sens_8])</f>
        <v>0.99788913909712584</v>
      </c>
      <c r="CU67" s="19">
        <v>1746</v>
      </c>
      <c r="CV67" s="19">
        <v>2116</v>
      </c>
      <c r="CW67" s="19">
        <v>9.6000000000000002E-2</v>
      </c>
      <c r="CX67" s="19">
        <v>4.2000000000000003E-2</v>
      </c>
      <c r="CY67" s="19">
        <v>2.5000000000000001E-2</v>
      </c>
      <c r="CZ67" s="19">
        <v>1963807</v>
      </c>
      <c r="DA67" s="19">
        <v>144</v>
      </c>
      <c r="DB67" s="19">
        <v>0</v>
      </c>
      <c r="DC67" s="19">
        <v>1</v>
      </c>
      <c r="DD67" s="19">
        <v>22.428703953434947</v>
      </c>
      <c r="DE67" s="23">
        <f>DataTable[[#This Row],[Sens_9]]/AVERAGEIF(DataTable[Strålkälla],DataTable[[#This Row],[Strålkälla]],DataTable[Sens_9])</f>
        <v>1.002677869473305</v>
      </c>
      <c r="DF67" s="19">
        <v>1632</v>
      </c>
      <c r="DG67" s="19">
        <v>2037</v>
      </c>
      <c r="DH67" s="19">
        <v>0.11</v>
      </c>
      <c r="DI67" s="19">
        <v>3.9E-2</v>
      </c>
      <c r="DJ67" s="19">
        <v>2.5999999999999999E-2</v>
      </c>
      <c r="DK67" s="19">
        <v>1905355</v>
      </c>
      <c r="DL67" s="19">
        <v>144</v>
      </c>
      <c r="DM67" s="19">
        <v>1</v>
      </c>
      <c r="DN67" s="19">
        <v>0</v>
      </c>
      <c r="DO67" s="19">
        <v>21.761121750353801</v>
      </c>
      <c r="DP67" s="23">
        <f>DataTable[[#This Row],[Sens_10]]/AVERAGEIF(DataTable[Strålkälla],DataTable[[#This Row],[Strålkälla]],DataTable[Sens_10])</f>
        <v>1.0029958922208599</v>
      </c>
      <c r="DQ67" s="19">
        <v>1483</v>
      </c>
      <c r="DR67" s="19">
        <v>1790</v>
      </c>
      <c r="DS67" s="19">
        <v>9.4E-2</v>
      </c>
      <c r="DT67" s="19">
        <v>4.3999999999999997E-2</v>
      </c>
      <c r="DU67" s="19">
        <v>2.5999999999999999E-2</v>
      </c>
      <c r="DV67" s="19">
        <v>1679035</v>
      </c>
      <c r="DW67" s="19">
        <v>144</v>
      </c>
      <c r="DX67" s="19">
        <v>0</v>
      </c>
      <c r="DY67" s="19">
        <v>0</v>
      </c>
      <c r="DZ67" s="19">
        <v>19.176313630848473</v>
      </c>
      <c r="EA67" s="19">
        <f>DataTable[[#This Row],[Sens_11]]/AVERAGEIF(DataTable[Strålkälla],DataTable[[#This Row],[Strålkälla]],DataTable[Sens_11])</f>
        <v>1.0049526997765406</v>
      </c>
      <c r="EB67" s="19">
        <v>1773</v>
      </c>
      <c r="EC67" s="19">
        <v>2105</v>
      </c>
      <c r="ED67" s="19">
        <v>8.5999999999999993E-2</v>
      </c>
      <c r="EE67" s="19">
        <v>4.5999999999999999E-2</v>
      </c>
      <c r="EF67" s="19">
        <v>2.7E-2</v>
      </c>
      <c r="EG67" s="19">
        <v>1989673</v>
      </c>
      <c r="EH67" s="19">
        <v>144</v>
      </c>
      <c r="EI67" s="19">
        <v>0</v>
      </c>
      <c r="EJ67" s="19">
        <v>0</v>
      </c>
      <c r="EK67" s="19">
        <v>22.724120385120724</v>
      </c>
      <c r="EL67" s="23">
        <f>DataTable[[#This Row],[Sens_12]]/AVERAGEIF(DataTable[Strålkälla],DataTable[[#This Row],[Strålkälla]],DataTable[Sens_12])</f>
        <v>1.0009519023253597</v>
      </c>
      <c r="EM67" s="19">
        <v>1489</v>
      </c>
      <c r="EN67" s="19">
        <v>1857</v>
      </c>
      <c r="EO67" s="19">
        <v>0.11</v>
      </c>
      <c r="EP67" s="19">
        <v>0.04</v>
      </c>
      <c r="EQ67" s="19">
        <v>2.9000000000000001E-2</v>
      </c>
      <c r="ER67" s="19">
        <v>1699502</v>
      </c>
      <c r="ES67" s="19">
        <v>155</v>
      </c>
      <c r="ET67" s="19">
        <v>0</v>
      </c>
      <c r="EU67" s="19">
        <v>1</v>
      </c>
      <c r="EV67" s="19">
        <v>18.032579216839363</v>
      </c>
      <c r="EW67" s="19">
        <f>DataTable[[#This Row],[Sens_13]]/AVERAGEIF(DataTable[Strålkälla],DataTable[[#This Row],[Strålkälla]],DataTable[Sens_13])</f>
        <v>1.0009202868101934</v>
      </c>
      <c r="EX67" s="19">
        <v>1230</v>
      </c>
      <c r="EY67" s="19">
        <v>1543</v>
      </c>
      <c r="EZ67" s="19">
        <v>0.113</v>
      </c>
      <c r="FA67" s="19">
        <v>4.1000000000000002E-2</v>
      </c>
      <c r="FB67" s="19">
        <v>0.03</v>
      </c>
      <c r="FC67" s="19">
        <v>1439563</v>
      </c>
      <c r="FD67" s="19">
        <v>155</v>
      </c>
      <c r="FE67" s="19">
        <v>1</v>
      </c>
      <c r="FF67" s="19">
        <v>0</v>
      </c>
      <c r="FG67" s="19">
        <v>15.274494431386913</v>
      </c>
      <c r="FH67" s="19">
        <f>DataTable[[#This Row],[Sens_14]]/AVERAGEIF(DataTable[Strålkälla],DataTable[[#This Row],[Strålkälla]],DataTable[Sens_14])</f>
        <v>1.0004532204944196</v>
      </c>
      <c r="FI67" s="19">
        <v>1415</v>
      </c>
      <c r="FJ67" s="19">
        <v>1725</v>
      </c>
      <c r="FK67" s="19">
        <v>9.9000000000000005E-2</v>
      </c>
      <c r="FL67" s="19">
        <v>4.2999999999999997E-2</v>
      </c>
      <c r="FM67" s="19">
        <v>2.9000000000000001E-2</v>
      </c>
      <c r="FN67" s="19">
        <v>1634450</v>
      </c>
      <c r="FO67" s="19">
        <v>155</v>
      </c>
      <c r="FP67" s="19">
        <v>0</v>
      </c>
      <c r="FQ67" s="19">
        <v>0</v>
      </c>
      <c r="FR67" s="19">
        <v>17.342344463827107</v>
      </c>
      <c r="FS67" s="19">
        <f>DataTable[[#This Row],[Sens_15]]/AVERAGEIF(DataTable[Strålkälla],DataTable[[#This Row],[Strålkälla]],DataTable[Sens_15])</f>
        <v>1.0039078270719612</v>
      </c>
      <c r="FT67" s="19">
        <v>1292</v>
      </c>
      <c r="FU67" s="19">
        <v>1607</v>
      </c>
      <c r="FV67" s="19">
        <v>0.109</v>
      </c>
      <c r="FW67" s="19">
        <v>4.2999999999999997E-2</v>
      </c>
      <c r="FX67" s="19">
        <v>2.9000000000000001E-2</v>
      </c>
      <c r="FY67" s="19">
        <v>1466666</v>
      </c>
      <c r="FZ67" s="19">
        <v>155</v>
      </c>
      <c r="GA67" s="19">
        <v>0</v>
      </c>
      <c r="GB67" s="19">
        <v>1</v>
      </c>
      <c r="GC67" s="19">
        <v>15.562071024126432</v>
      </c>
      <c r="GD67" s="19">
        <f>DataTable[[#This Row],[Sens_16]]/AVERAGEIF(DataTable[Strålkälla],DataTable[[#This Row],[Strålkälla]],DataTable[Sens_16])</f>
        <v>1.0012780554089027</v>
      </c>
      <c r="GE67" s="19">
        <v>1243</v>
      </c>
      <c r="GF67" s="19">
        <v>1515</v>
      </c>
      <c r="GG67" s="19">
        <v>9.9000000000000005E-2</v>
      </c>
      <c r="GH67" s="19">
        <v>4.2000000000000003E-2</v>
      </c>
      <c r="GI67" s="19">
        <v>2.9000000000000001E-2</v>
      </c>
      <c r="GJ67" s="19">
        <v>1409958</v>
      </c>
      <c r="GK67" s="19">
        <v>155</v>
      </c>
      <c r="GL67" s="19">
        <v>0</v>
      </c>
      <c r="GM67" s="19">
        <v>0</v>
      </c>
      <c r="GN67" s="19">
        <v>14.960370348146924</v>
      </c>
      <c r="GO67" s="19">
        <f>DataTable[[#This Row],[Sens_17]]/AVERAGEIF(DataTable[Strålkälla],DataTable[[#This Row],[Strålkälla]],DataTable[Sens_17])</f>
        <v>1.0025609663849526</v>
      </c>
      <c r="GP67" s="19">
        <v>1435</v>
      </c>
      <c r="GQ67" s="19">
        <v>1719</v>
      </c>
      <c r="GR67" s="19">
        <v>0.09</v>
      </c>
      <c r="GS67" s="19">
        <v>0.04</v>
      </c>
      <c r="GT67" s="19">
        <v>2.8000000000000001E-2</v>
      </c>
      <c r="GU67" s="19">
        <v>1629985</v>
      </c>
      <c r="GV67" s="19">
        <v>155</v>
      </c>
      <c r="GW67" s="19">
        <v>0</v>
      </c>
      <c r="GX67" s="19">
        <v>0</v>
      </c>
      <c r="GY67" s="19">
        <v>17.294968546527105</v>
      </c>
      <c r="GZ67" s="19">
        <f>DataTable[[#This Row],[Sens_18]]/AVERAGEIF(DataTable[Strålkälla],DataTable[[#This Row],[Strålkälla]],DataTable[Sens_18])</f>
        <v>1.0016341322494109</v>
      </c>
      <c r="HA67" s="19">
        <v>1283</v>
      </c>
      <c r="HB67" s="19">
        <v>1606</v>
      </c>
      <c r="HC67" s="19">
        <v>0.112</v>
      </c>
      <c r="HD67" s="19">
        <v>4.5999999999999999E-2</v>
      </c>
      <c r="HE67" s="19">
        <v>2.9000000000000001E-2</v>
      </c>
      <c r="HF67" s="19">
        <v>1479254</v>
      </c>
      <c r="HG67" s="19">
        <v>155</v>
      </c>
      <c r="HH67" s="19">
        <v>0</v>
      </c>
      <c r="HI67" s="19">
        <v>0</v>
      </c>
      <c r="HJ67" s="19">
        <v>15.695636096236717</v>
      </c>
      <c r="HK67" s="19">
        <f>DataTable[[#This Row],[Sens_19]]/AVERAGEIF(DataTable[Strålkälla],DataTable[[#This Row],[Strålkälla]],DataTable[Sens_19])</f>
        <v>1.0031111340780892</v>
      </c>
      <c r="HL67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0.113</v>
      </c>
      <c r="HM67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9.8315789473684231E-2</v>
      </c>
      <c r="HN67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5.6000000000000001E-2</v>
      </c>
      <c r="HO67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4.226315789473685E-2</v>
      </c>
      <c r="HP67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0.99699320633888622</v>
      </c>
      <c r="HQ67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1.0013319771670337</v>
      </c>
      <c r="HR67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1.0049526997765406</v>
      </c>
      <c r="HS67" s="49"/>
    </row>
    <row r="68" spans="2:227" x14ac:dyDescent="0.25">
      <c r="B68" s="19" t="s">
        <v>43</v>
      </c>
      <c r="C68" s="20">
        <v>42604</v>
      </c>
      <c r="D68" s="21">
        <v>0.3200925925925926</v>
      </c>
      <c r="E68" s="13" t="s">
        <v>217</v>
      </c>
      <c r="F68" s="13">
        <v>109.8</v>
      </c>
      <c r="G68" s="13">
        <v>134.19999999999999</v>
      </c>
      <c r="H68" s="24">
        <v>7.5708000000000002</v>
      </c>
      <c r="I68" s="22">
        <f>MATCH(DataTable[[#This Row],[Datum]],Övrigt!$D$10:$M$10,1)</f>
        <v>2</v>
      </c>
      <c r="J68" s="13"/>
      <c r="K68" s="22">
        <v>1794</v>
      </c>
      <c r="L68" s="22">
        <v>2194</v>
      </c>
      <c r="M68" s="23">
        <v>0.1</v>
      </c>
      <c r="N68" s="23">
        <v>4.2999999999999997E-2</v>
      </c>
      <c r="O68" s="23">
        <v>2.5999999999999999E-2</v>
      </c>
      <c r="P68" s="22">
        <v>2027567</v>
      </c>
      <c r="Q68" s="24">
        <v>151</v>
      </c>
      <c r="R68" s="22">
        <v>0</v>
      </c>
      <c r="S68" s="22">
        <v>1</v>
      </c>
      <c r="T68" s="19">
        <v>22.366862501301778</v>
      </c>
      <c r="U68" s="23">
        <f>DataTable[[#This Row],[Sens_1]]/AVERAGEIF(DataTable[Strålkälla],DataTable[[#This Row],[Strålkälla]],DataTable[Sens_1])</f>
        <v>0.99809361334653868</v>
      </c>
      <c r="V68" s="22">
        <v>2183</v>
      </c>
      <c r="W68" s="22">
        <v>2644</v>
      </c>
      <c r="X68" s="23">
        <v>9.6000000000000002E-2</v>
      </c>
      <c r="Y68" s="23">
        <v>3.6999999999999998E-2</v>
      </c>
      <c r="Z68" s="23">
        <v>2.5000000000000001E-2</v>
      </c>
      <c r="AA68" s="22">
        <v>2451590</v>
      </c>
      <c r="AB68" s="24">
        <v>151</v>
      </c>
      <c r="AC68" s="22">
        <v>0</v>
      </c>
      <c r="AD68" s="22">
        <v>2</v>
      </c>
      <c r="AE68" s="19">
        <v>27.044421436907598</v>
      </c>
      <c r="AF68" s="23">
        <f>DataTable[[#This Row],[Sens_2]]/AVERAGEIF(DataTable[Strålkälla],DataTable[[#This Row],[Strålkälla]],DataTable[Sens_2])</f>
        <v>1.0000930486093909</v>
      </c>
      <c r="AG68" s="22">
        <v>1899</v>
      </c>
      <c r="AH68" s="22">
        <v>2255</v>
      </c>
      <c r="AI68" s="23">
        <v>8.5999999999999993E-2</v>
      </c>
      <c r="AJ68" s="23">
        <v>3.9E-2</v>
      </c>
      <c r="AK68" s="23">
        <v>2.5000000000000001E-2</v>
      </c>
      <c r="AL68" s="22">
        <v>2139023</v>
      </c>
      <c r="AM68" s="24">
        <v>151</v>
      </c>
      <c r="AN68" s="22">
        <v>0</v>
      </c>
      <c r="AO68" s="22">
        <v>0</v>
      </c>
      <c r="AP68" s="19">
        <v>23.596376015254751</v>
      </c>
      <c r="AQ68" s="23">
        <f>DataTable[[#This Row],[Sens_3]]/AVERAGEIF(DataTable[Strålkälla],DataTable[[#This Row],[Strålkälla]],DataTable[Sens_3])</f>
        <v>0.99928067536624854</v>
      </c>
      <c r="AR68" s="22">
        <v>1799</v>
      </c>
      <c r="AS68" s="22">
        <v>2239</v>
      </c>
      <c r="AT68" s="23">
        <v>0.109</v>
      </c>
      <c r="AU68" s="23">
        <v>4.5999999999999999E-2</v>
      </c>
      <c r="AV68" s="23">
        <v>2.5000000000000001E-2</v>
      </c>
      <c r="AW68" s="22">
        <v>2073817</v>
      </c>
      <c r="AX68" s="24">
        <v>151</v>
      </c>
      <c r="AY68" s="22">
        <v>1</v>
      </c>
      <c r="AZ68" s="22">
        <v>1</v>
      </c>
      <c r="BA68" s="19">
        <v>22.877063836540124</v>
      </c>
      <c r="BB68" s="23">
        <f>DataTable[[#This Row],[Sens_4]]/AVERAGEIF(DataTable[Strålkälla],DataTable[[#This Row],[Strålkälla]],DataTable[Sens_4])</f>
        <v>1.0012124409982077</v>
      </c>
      <c r="BC68" s="22">
        <v>2102</v>
      </c>
      <c r="BD68" s="22">
        <v>2490</v>
      </c>
      <c r="BE68" s="19">
        <v>8.4000000000000005E-2</v>
      </c>
      <c r="BF68" s="19">
        <v>3.6999999999999998E-2</v>
      </c>
      <c r="BG68" s="19">
        <v>2.4E-2</v>
      </c>
      <c r="BH68" s="19">
        <v>2335744</v>
      </c>
      <c r="BI68" s="19">
        <v>151</v>
      </c>
      <c r="BJ68" s="19">
        <v>0</v>
      </c>
      <c r="BK68" s="19">
        <v>0</v>
      </c>
      <c r="BL68" s="19">
        <v>25.766480163782809</v>
      </c>
      <c r="BM68" s="23">
        <f>DataTable[[#This Row],[Sens_5]]/AVERAGEIF(DataTable[Strålkälla],DataTable[[#This Row],[Strålkälla]],DataTable[Sens_5])</f>
        <v>1.0012773094129759</v>
      </c>
      <c r="BN68" s="19">
        <v>2108</v>
      </c>
      <c r="BO68" s="19">
        <v>2455</v>
      </c>
      <c r="BP68" s="19">
        <v>7.5999999999999998E-2</v>
      </c>
      <c r="BQ68" s="19">
        <v>3.4000000000000002E-2</v>
      </c>
      <c r="BR68" s="19">
        <v>2.4E-2</v>
      </c>
      <c r="BS68" s="19">
        <v>2327391</v>
      </c>
      <c r="BT68" s="19">
        <v>151</v>
      </c>
      <c r="BU68" s="19">
        <v>0</v>
      </c>
      <c r="BV68" s="19">
        <v>0</v>
      </c>
      <c r="BW68" s="19">
        <v>25.674335044793708</v>
      </c>
      <c r="BX68" s="23">
        <f>DataTable[[#This Row],[Sens_6]]/AVERAGEIF(DataTable[Strålkälla],DataTable[[#This Row],[Strålkälla]],DataTable[Sens_6])</f>
        <v>0.9980509273973639</v>
      </c>
      <c r="BY68" s="19">
        <v>1825</v>
      </c>
      <c r="BZ68" s="19">
        <v>2188</v>
      </c>
      <c r="CA68" s="19">
        <v>0.09</v>
      </c>
      <c r="CB68" s="19">
        <v>4.4999999999999998E-2</v>
      </c>
      <c r="CC68" s="19">
        <v>2.5000000000000001E-2</v>
      </c>
      <c r="CD68" s="19">
        <v>2068756</v>
      </c>
      <c r="CE68" s="19">
        <v>151</v>
      </c>
      <c r="CF68" s="19">
        <v>0</v>
      </c>
      <c r="CG68" s="19">
        <v>0</v>
      </c>
      <c r="CH68" s="19">
        <v>22.821234021239771</v>
      </c>
      <c r="CI68" s="23">
        <f>DataTable[[#This Row],[Sens_7]]/AVERAGEIF(DataTable[Strålkälla],DataTable[[#This Row],[Strålkälla]],DataTable[Sens_7])</f>
        <v>0.99806590565185427</v>
      </c>
      <c r="CJ68" s="19">
        <v>2164</v>
      </c>
      <c r="CK68" s="19">
        <v>2628</v>
      </c>
      <c r="CL68" s="19">
        <v>9.7000000000000003E-2</v>
      </c>
      <c r="CM68" s="19">
        <v>3.9E-2</v>
      </c>
      <c r="CN68" s="19">
        <v>2.5000000000000001E-2</v>
      </c>
      <c r="CO68" s="19">
        <v>2445408</v>
      </c>
      <c r="CP68" s="19">
        <v>151</v>
      </c>
      <c r="CQ68" s="19">
        <v>0</v>
      </c>
      <c r="CR68" s="19">
        <v>0</v>
      </c>
      <c r="CS68" s="19">
        <v>26.976225444379089</v>
      </c>
      <c r="CT68" s="23">
        <f>DataTable[[#This Row],[Sens_8]]/AVERAGEIF(DataTable[Strålkälla],DataTable[[#This Row],[Strålkälla]],DataTable[Sens_8])</f>
        <v>0.99844101956254372</v>
      </c>
      <c r="CU68" s="19">
        <v>1730</v>
      </c>
      <c r="CV68" s="19">
        <v>2100</v>
      </c>
      <c r="CW68" s="19">
        <v>9.7000000000000003E-2</v>
      </c>
      <c r="CX68" s="19">
        <v>4.7E-2</v>
      </c>
      <c r="CY68" s="19">
        <v>2.7E-2</v>
      </c>
      <c r="CZ68" s="19">
        <v>1960899</v>
      </c>
      <c r="DA68" s="19">
        <v>146</v>
      </c>
      <c r="DB68" s="19">
        <v>0</v>
      </c>
      <c r="DC68" s="19">
        <v>0</v>
      </c>
      <c r="DD68" s="19">
        <v>22.372224583220749</v>
      </c>
      <c r="DE68" s="23">
        <f>DataTable[[#This Row],[Sens_9]]/AVERAGEIF(DataTable[Strålkälla],DataTable[[#This Row],[Strålkälla]],DataTable[Sens_9])</f>
        <v>1.0001529525314639</v>
      </c>
      <c r="DF68" s="19">
        <v>1692</v>
      </c>
      <c r="DG68" s="19">
        <v>2047</v>
      </c>
      <c r="DH68" s="19">
        <v>9.5000000000000001E-2</v>
      </c>
      <c r="DI68" s="19">
        <v>3.5999999999999997E-2</v>
      </c>
      <c r="DJ68" s="19">
        <v>2.5999999999999999E-2</v>
      </c>
      <c r="DK68" s="19">
        <v>1905625</v>
      </c>
      <c r="DL68" s="19">
        <v>146</v>
      </c>
      <c r="DM68" s="19">
        <v>0</v>
      </c>
      <c r="DN68" s="19">
        <v>0</v>
      </c>
      <c r="DO68" s="19">
        <v>21.7415942745649</v>
      </c>
      <c r="DP68" s="23">
        <f>DataTable[[#This Row],[Sens_10]]/AVERAGEIF(DataTable[Strålkälla],DataTable[[#This Row],[Strålkälla]],DataTable[Sens_10])</f>
        <v>1.0020958477182649</v>
      </c>
      <c r="DQ68" s="19">
        <v>1490</v>
      </c>
      <c r="DR68" s="19">
        <v>1777</v>
      </c>
      <c r="DS68" s="19">
        <v>8.7999999999999995E-2</v>
      </c>
      <c r="DT68" s="19">
        <v>3.6999999999999998E-2</v>
      </c>
      <c r="DU68" s="19">
        <v>2.5999999999999999E-2</v>
      </c>
      <c r="DV68" s="19">
        <v>1676491</v>
      </c>
      <c r="DW68" s="19">
        <v>146</v>
      </c>
      <c r="DX68" s="19">
        <v>0</v>
      </c>
      <c r="DY68" s="19">
        <v>0</v>
      </c>
      <c r="DZ68" s="19">
        <v>19.127366153865314</v>
      </c>
      <c r="EA68" s="19">
        <f>DataTable[[#This Row],[Sens_11]]/AVERAGEIF(DataTable[Strålkälla],DataTable[[#This Row],[Strålkälla]],DataTable[Sens_11])</f>
        <v>1.0023875613412605</v>
      </c>
      <c r="EB68" s="19">
        <v>1763</v>
      </c>
      <c r="EC68" s="19">
        <v>2161</v>
      </c>
      <c r="ED68" s="19">
        <v>0.10100000000000001</v>
      </c>
      <c r="EE68" s="19">
        <v>4.7E-2</v>
      </c>
      <c r="EF68" s="19">
        <v>2.5999999999999999E-2</v>
      </c>
      <c r="EG68" s="19">
        <v>1994035</v>
      </c>
      <c r="EH68" s="19">
        <v>146</v>
      </c>
      <c r="EI68" s="19">
        <v>0</v>
      </c>
      <c r="EJ68" s="19">
        <v>1</v>
      </c>
      <c r="EK68" s="19">
        <v>22.750278748065345</v>
      </c>
      <c r="EL68" s="23">
        <f>DataTable[[#This Row],[Sens_12]]/AVERAGEIF(DataTable[Strålkälla],DataTable[[#This Row],[Strålkälla]],DataTable[Sens_12])</f>
        <v>1.0021041257209142</v>
      </c>
      <c r="EM68" s="19">
        <v>1515</v>
      </c>
      <c r="EN68" s="19">
        <v>1867</v>
      </c>
      <c r="EO68" s="19">
        <v>0.104</v>
      </c>
      <c r="EP68" s="19">
        <v>4.3999999999999997E-2</v>
      </c>
      <c r="EQ68" s="19">
        <v>2.8000000000000001E-2</v>
      </c>
      <c r="ER68" s="19">
        <v>1700797</v>
      </c>
      <c r="ES68" s="19">
        <v>157</v>
      </c>
      <c r="ET68" s="19">
        <v>0</v>
      </c>
      <c r="EU68" s="19">
        <v>1</v>
      </c>
      <c r="EV68" s="19">
        <v>18.045113989433681</v>
      </c>
      <c r="EW68" s="19">
        <f>DataTable[[#This Row],[Sens_13]]/AVERAGEIF(DataTable[Strålkälla],DataTable[[#This Row],[Strålkälla]],DataTable[Sens_13])</f>
        <v>1.0016160446399158</v>
      </c>
      <c r="EX68" s="19">
        <v>1237</v>
      </c>
      <c r="EY68" s="19">
        <v>1541</v>
      </c>
      <c r="EZ68" s="19">
        <v>0.109</v>
      </c>
      <c r="FA68" s="19">
        <v>0.04</v>
      </c>
      <c r="FB68" s="19">
        <v>3.1E-2</v>
      </c>
      <c r="FC68" s="19">
        <v>1439794</v>
      </c>
      <c r="FD68" s="19">
        <v>157</v>
      </c>
      <c r="FE68" s="19">
        <v>0</v>
      </c>
      <c r="FF68" s="19">
        <v>0</v>
      </c>
      <c r="FG68" s="19">
        <v>15.275924670200311</v>
      </c>
      <c r="FH68" s="19">
        <f>DataTable[[#This Row],[Sens_14]]/AVERAGEIF(DataTable[Strålkälla],DataTable[[#This Row],[Strålkälla]],DataTable[Sens_14])</f>
        <v>1.0005468986867401</v>
      </c>
      <c r="FI68" s="19">
        <v>1443</v>
      </c>
      <c r="FJ68" s="19">
        <v>1751</v>
      </c>
      <c r="FK68" s="19">
        <v>9.6000000000000002E-2</v>
      </c>
      <c r="FL68" s="19">
        <v>4.2000000000000003E-2</v>
      </c>
      <c r="FM68" s="19">
        <v>2.8000000000000001E-2</v>
      </c>
      <c r="FN68" s="19">
        <v>1628938</v>
      </c>
      <c r="FO68" s="19">
        <v>157</v>
      </c>
      <c r="FP68" s="19">
        <v>0</v>
      </c>
      <c r="FQ68" s="19">
        <v>0</v>
      </c>
      <c r="FR68" s="19">
        <v>17.282704456628348</v>
      </c>
      <c r="FS68" s="19">
        <f>DataTable[[#This Row],[Sens_15]]/AVERAGEIF(DataTable[Strålkälla],DataTable[[#This Row],[Strålkälla]],DataTable[Sens_15])</f>
        <v>1.0004554063131448</v>
      </c>
      <c r="FT68" s="19">
        <v>1293</v>
      </c>
      <c r="FU68" s="19">
        <v>1560</v>
      </c>
      <c r="FV68" s="19">
        <v>9.4E-2</v>
      </c>
      <c r="FW68" s="19">
        <v>4.1000000000000002E-2</v>
      </c>
      <c r="FX68" s="19">
        <v>2.7E-2</v>
      </c>
      <c r="FY68" s="19">
        <v>1469058</v>
      </c>
      <c r="FZ68" s="19">
        <v>157</v>
      </c>
      <c r="GA68" s="19">
        <v>0</v>
      </c>
      <c r="GB68" s="19">
        <v>0</v>
      </c>
      <c r="GC68" s="19">
        <v>15.58640982262402</v>
      </c>
      <c r="GD68" s="19">
        <f>DataTable[[#This Row],[Sens_16]]/AVERAGEIF(DataTable[Strålkälla],DataTable[[#This Row],[Strålkälla]],DataTable[Sens_16])</f>
        <v>1.0028440362345186</v>
      </c>
      <c r="GE68" s="19">
        <v>1259</v>
      </c>
      <c r="GF68" s="19">
        <v>1525</v>
      </c>
      <c r="GG68" s="19">
        <v>9.6000000000000002E-2</v>
      </c>
      <c r="GH68" s="19">
        <v>4.2000000000000003E-2</v>
      </c>
      <c r="GI68" s="19">
        <v>0.03</v>
      </c>
      <c r="GJ68" s="19">
        <v>1410387</v>
      </c>
      <c r="GK68" s="19">
        <v>157</v>
      </c>
      <c r="GL68" s="19">
        <v>0</v>
      </c>
      <c r="GM68" s="19">
        <v>0</v>
      </c>
      <c r="GN68" s="19">
        <v>14.963922316546538</v>
      </c>
      <c r="GO68" s="19">
        <f>DataTable[[#This Row],[Sens_17]]/AVERAGEIF(DataTable[Strålkälla],DataTable[[#This Row],[Strålkälla]],DataTable[Sens_17])</f>
        <v>1.0027989995879025</v>
      </c>
      <c r="GP68" s="19">
        <v>1451</v>
      </c>
      <c r="GQ68" s="19">
        <v>1754</v>
      </c>
      <c r="GR68" s="19">
        <v>9.5000000000000001E-2</v>
      </c>
      <c r="GS68" s="19">
        <v>3.6999999999999998E-2</v>
      </c>
      <c r="GT68" s="19">
        <v>2.8000000000000001E-2</v>
      </c>
      <c r="GU68" s="19">
        <v>1632686</v>
      </c>
      <c r="GV68" s="19">
        <v>157</v>
      </c>
      <c r="GW68" s="19">
        <v>0</v>
      </c>
      <c r="GX68" s="19">
        <v>0</v>
      </c>
      <c r="GY68" s="19">
        <v>17.322469982574358</v>
      </c>
      <c r="GZ68" s="19">
        <f>DataTable[[#This Row],[Sens_18]]/AVERAGEIF(DataTable[Strålkälla],DataTable[[#This Row],[Strålkälla]],DataTable[Sens_18])</f>
        <v>1.0032268716034431</v>
      </c>
      <c r="HA68" s="19">
        <v>1266</v>
      </c>
      <c r="HB68" s="19">
        <v>1619</v>
      </c>
      <c r="HC68" s="19">
        <v>0.122</v>
      </c>
      <c r="HD68" s="19">
        <v>0.06</v>
      </c>
      <c r="HE68" s="19">
        <v>3.1E-2</v>
      </c>
      <c r="HF68" s="19">
        <v>1476953</v>
      </c>
      <c r="HG68" s="19">
        <v>157</v>
      </c>
      <c r="HH68" s="19">
        <v>0</v>
      </c>
      <c r="HI68" s="19">
        <v>0</v>
      </c>
      <c r="HJ68" s="19">
        <v>15.670174184241885</v>
      </c>
      <c r="HK68" s="19">
        <f>DataTable[[#This Row],[Sens_19]]/AVERAGEIF(DataTable[Strålkälla],DataTable[[#This Row],[Strålkälla]],DataTable[Sens_19])</f>
        <v>1.0014838583652523</v>
      </c>
      <c r="HL68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0.122</v>
      </c>
      <c r="HM68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9.657894736842107E-2</v>
      </c>
      <c r="HN68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0.06</v>
      </c>
      <c r="HO68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4.1736842105263162E-2</v>
      </c>
      <c r="HP68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0.9980509273973639</v>
      </c>
      <c r="HQ68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1.0007488180572601</v>
      </c>
      <c r="HR68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1.0032268716034431</v>
      </c>
      <c r="HS68" s="49"/>
    </row>
    <row r="69" spans="2:227" x14ac:dyDescent="0.25">
      <c r="B69" s="19" t="s">
        <v>43</v>
      </c>
      <c r="C69" s="20">
        <v>42606</v>
      </c>
      <c r="D69" s="21">
        <v>0.32262731481481483</v>
      </c>
      <c r="E69" s="13" t="s">
        <v>217</v>
      </c>
      <c r="F69" s="13">
        <v>109.8</v>
      </c>
      <c r="G69" s="13">
        <v>134.19999999999999</v>
      </c>
      <c r="H69" s="24">
        <v>7.5978000000000003</v>
      </c>
      <c r="I69" s="22">
        <f>MATCH(DataTable[[#This Row],[Datum]],Övrigt!$D$10:$M$10,1)</f>
        <v>2</v>
      </c>
      <c r="J69" s="13"/>
      <c r="K69" s="22">
        <v>1690</v>
      </c>
      <c r="L69" s="22">
        <v>2143</v>
      </c>
      <c r="M69" s="23">
        <v>0.11799999999999999</v>
      </c>
      <c r="N69" s="23">
        <v>3.5999999999999997E-2</v>
      </c>
      <c r="O69" s="23">
        <v>2.7E-2</v>
      </c>
      <c r="P69" s="22">
        <v>2028095</v>
      </c>
      <c r="Q69" s="24">
        <v>151</v>
      </c>
      <c r="R69" s="22">
        <v>1</v>
      </c>
      <c r="S69" s="22">
        <v>0</v>
      </c>
      <c r="T69" s="19">
        <v>22.487114011997953</v>
      </c>
      <c r="U69" s="23">
        <f>DataTable[[#This Row],[Sens_1]]/AVERAGEIF(DataTable[Strålkälla],DataTable[[#This Row],[Strålkälla]],DataTable[Sens_1])</f>
        <v>1.0034596884862299</v>
      </c>
      <c r="V69" s="22">
        <v>2132</v>
      </c>
      <c r="W69" s="22">
        <v>2649</v>
      </c>
      <c r="X69" s="23">
        <v>0.108</v>
      </c>
      <c r="Y69" s="23">
        <v>4.2000000000000003E-2</v>
      </c>
      <c r="Z69" s="23">
        <v>2.5000000000000001E-2</v>
      </c>
      <c r="AA69" s="22">
        <v>2447729</v>
      </c>
      <c r="AB69" s="24">
        <v>151</v>
      </c>
      <c r="AC69" s="22">
        <v>1</v>
      </c>
      <c r="AD69" s="22">
        <v>1</v>
      </c>
      <c r="AE69" s="19">
        <v>27.139932347091104</v>
      </c>
      <c r="AF69" s="23">
        <f>DataTable[[#This Row],[Sens_2]]/AVERAGEIF(DataTable[Strålkälla],DataTable[[#This Row],[Strålkälla]],DataTable[Sens_2])</f>
        <v>1.0036250079661002</v>
      </c>
      <c r="AG69" s="22">
        <v>1922</v>
      </c>
      <c r="AH69" s="22">
        <v>2308</v>
      </c>
      <c r="AI69" s="23">
        <v>9.0999999999999998E-2</v>
      </c>
      <c r="AJ69" s="23">
        <v>4.1000000000000002E-2</v>
      </c>
      <c r="AK69" s="23">
        <v>2.5000000000000001E-2</v>
      </c>
      <c r="AL69" s="22">
        <v>2135238</v>
      </c>
      <c r="AM69" s="24">
        <v>151</v>
      </c>
      <c r="AN69" s="22">
        <v>0</v>
      </c>
      <c r="AO69" s="22">
        <v>1</v>
      </c>
      <c r="AP69" s="19">
        <v>23.675094287373366</v>
      </c>
      <c r="AQ69" s="23">
        <f>DataTable[[#This Row],[Sens_3]]/AVERAGEIF(DataTable[Strålkälla],DataTable[[#This Row],[Strålkälla]],DataTable[Sens_3])</f>
        <v>1.0026143079577743</v>
      </c>
      <c r="AR69" s="22">
        <v>1878</v>
      </c>
      <c r="AS69" s="22">
        <v>2211</v>
      </c>
      <c r="AT69" s="23">
        <v>8.1000000000000003E-2</v>
      </c>
      <c r="AU69" s="23">
        <v>4.1000000000000002E-2</v>
      </c>
      <c r="AV69" s="23">
        <v>2.5000000000000001E-2</v>
      </c>
      <c r="AW69" s="22">
        <v>2071954</v>
      </c>
      <c r="AX69" s="24">
        <v>151</v>
      </c>
      <c r="AY69" s="22">
        <v>0</v>
      </c>
      <c r="AZ69" s="22">
        <v>0</v>
      </c>
      <c r="BA69" s="19">
        <v>22.973413881309902</v>
      </c>
      <c r="BB69" s="23">
        <f>DataTable[[#This Row],[Sens_4]]/AVERAGEIF(DataTable[Strålkälla],DataTable[[#This Row],[Strålkälla]],DataTable[Sens_4])</f>
        <v>1.0054291911984741</v>
      </c>
      <c r="BC69" s="22">
        <v>2109</v>
      </c>
      <c r="BD69" s="22">
        <v>2446</v>
      </c>
      <c r="BE69" s="19">
        <v>7.3999999999999996E-2</v>
      </c>
      <c r="BF69" s="19">
        <v>3.3000000000000002E-2</v>
      </c>
      <c r="BG69" s="19">
        <v>2.4E-2</v>
      </c>
      <c r="BH69" s="19">
        <v>2334084</v>
      </c>
      <c r="BI69" s="19">
        <v>151</v>
      </c>
      <c r="BJ69" s="19">
        <v>0</v>
      </c>
      <c r="BK69" s="19">
        <v>0</v>
      </c>
      <c r="BL69" s="19">
        <v>25.879859188834956</v>
      </c>
      <c r="BM69" s="23">
        <f>DataTable[[#This Row],[Sens_5]]/AVERAGEIF(DataTable[Strålkälla],DataTable[[#This Row],[Strålkälla]],DataTable[Sens_5])</f>
        <v>1.0056831826415453</v>
      </c>
      <c r="BN69" s="19">
        <v>2051</v>
      </c>
      <c r="BO69" s="19">
        <v>2515</v>
      </c>
      <c r="BP69" s="19">
        <v>0.10199999999999999</v>
      </c>
      <c r="BQ69" s="19">
        <v>3.7999999999999999E-2</v>
      </c>
      <c r="BR69" s="19">
        <v>2.4E-2</v>
      </c>
      <c r="BS69" s="19">
        <v>2333659</v>
      </c>
      <c r="BT69" s="19">
        <v>151</v>
      </c>
      <c r="BU69" s="19">
        <v>2</v>
      </c>
      <c r="BV69" s="19">
        <v>2</v>
      </c>
      <c r="BW69" s="19">
        <v>25.875146873359054</v>
      </c>
      <c r="BX69" s="23">
        <f>DataTable[[#This Row],[Sens_6]]/AVERAGEIF(DataTable[Strålkälla],DataTable[[#This Row],[Strålkälla]],DataTable[Sens_6])</f>
        <v>1.0058571833873373</v>
      </c>
      <c r="BY69" s="19">
        <v>1849</v>
      </c>
      <c r="BZ69" s="19">
        <v>2200</v>
      </c>
      <c r="CA69" s="19">
        <v>8.6999999999999994E-2</v>
      </c>
      <c r="CB69" s="19">
        <v>3.5999999999999997E-2</v>
      </c>
      <c r="CC69" s="19">
        <v>2.5000000000000001E-2</v>
      </c>
      <c r="CD69" s="19">
        <v>2069338</v>
      </c>
      <c r="CE69" s="19">
        <v>151</v>
      </c>
      <c r="CF69" s="19">
        <v>0</v>
      </c>
      <c r="CG69" s="19">
        <v>0</v>
      </c>
      <c r="CH69" s="19">
        <v>22.944408193580585</v>
      </c>
      <c r="CI69" s="23">
        <f>DataTable[[#This Row],[Sens_7]]/AVERAGEIF(DataTable[Strålkälla],DataTable[[#This Row],[Strålkälla]],DataTable[Sens_7])</f>
        <v>1.0034528160071767</v>
      </c>
      <c r="CJ69" s="19">
        <v>2178</v>
      </c>
      <c r="CK69" s="19">
        <v>2643</v>
      </c>
      <c r="CL69" s="19">
        <v>9.6000000000000002E-2</v>
      </c>
      <c r="CM69" s="19">
        <v>4.5999999999999999E-2</v>
      </c>
      <c r="CN69" s="19">
        <v>2.5000000000000001E-2</v>
      </c>
      <c r="CO69" s="19">
        <v>2448872</v>
      </c>
      <c r="CP69" s="19">
        <v>151</v>
      </c>
      <c r="CQ69" s="19">
        <v>0</v>
      </c>
      <c r="CR69" s="19">
        <v>1</v>
      </c>
      <c r="CS69" s="19">
        <v>27.152605703771002</v>
      </c>
      <c r="CT69" s="23">
        <f>DataTable[[#This Row],[Sens_8]]/AVERAGEIF(DataTable[Strålkälla],DataTable[[#This Row],[Strålkälla]],DataTable[Sens_8])</f>
        <v>1.0049691858688741</v>
      </c>
      <c r="CU69" s="19">
        <v>1738</v>
      </c>
      <c r="CV69" s="19">
        <v>2132</v>
      </c>
      <c r="CW69" s="19">
        <v>0.10199999999999999</v>
      </c>
      <c r="CX69" s="19">
        <v>3.7999999999999999E-2</v>
      </c>
      <c r="CY69" s="19">
        <v>2.7E-2</v>
      </c>
      <c r="CZ69" s="19">
        <v>1963647</v>
      </c>
      <c r="DA69" s="19">
        <v>147</v>
      </c>
      <c r="DB69" s="19">
        <v>0</v>
      </c>
      <c r="DC69" s="19">
        <v>1</v>
      </c>
      <c r="DD69" s="19">
        <v>22.36497713074893</v>
      </c>
      <c r="DE69" s="23">
        <f>DataTable[[#This Row],[Sens_9]]/AVERAGEIF(DataTable[Strålkälla],DataTable[[#This Row],[Strålkälla]],DataTable[Sens_9])</f>
        <v>0.99982895430942476</v>
      </c>
      <c r="DF69" s="19">
        <v>1689</v>
      </c>
      <c r="DG69" s="19">
        <v>2073</v>
      </c>
      <c r="DH69" s="19">
        <v>0.10199999999999999</v>
      </c>
      <c r="DI69" s="19">
        <v>4.2999999999999997E-2</v>
      </c>
      <c r="DJ69" s="19">
        <v>2.5999999999999999E-2</v>
      </c>
      <c r="DK69" s="19">
        <v>1905787</v>
      </c>
      <c r="DL69" s="19">
        <v>147</v>
      </c>
      <c r="DM69" s="19">
        <v>0</v>
      </c>
      <c r="DN69" s="19">
        <v>1</v>
      </c>
      <c r="DO69" s="19">
        <v>21.705980082509033</v>
      </c>
      <c r="DP69" s="23">
        <f>DataTable[[#This Row],[Sens_10]]/AVERAGEIF(DataTable[Strålkälla],DataTable[[#This Row],[Strålkälla]],DataTable[Sens_10])</f>
        <v>1.0004543473973442</v>
      </c>
      <c r="DQ69" s="19">
        <v>1477</v>
      </c>
      <c r="DR69" s="19">
        <v>1807</v>
      </c>
      <c r="DS69" s="19">
        <v>0.1</v>
      </c>
      <c r="DT69" s="19">
        <v>3.5999999999999997E-2</v>
      </c>
      <c r="DU69" s="19">
        <v>2.8000000000000001E-2</v>
      </c>
      <c r="DV69" s="19">
        <v>1675402</v>
      </c>
      <c r="DW69" s="19">
        <v>147</v>
      </c>
      <c r="DX69" s="19">
        <v>0</v>
      </c>
      <c r="DY69" s="19">
        <v>0</v>
      </c>
      <c r="DZ69" s="19">
        <v>19.082007822592868</v>
      </c>
      <c r="EA69" s="19">
        <f>DataTable[[#This Row],[Sens_11]]/AVERAGEIF(DataTable[Strålkälla],DataTable[[#This Row],[Strålkälla]],DataTable[Sens_11])</f>
        <v>1.0000105154529269</v>
      </c>
      <c r="EB69" s="19">
        <v>1772</v>
      </c>
      <c r="EC69" s="19">
        <v>2230</v>
      </c>
      <c r="ED69" s="19">
        <v>0.114</v>
      </c>
      <c r="EE69" s="19">
        <v>4.4999999999999998E-2</v>
      </c>
      <c r="EF69" s="19">
        <v>2.7E-2</v>
      </c>
      <c r="EG69" s="19">
        <v>1992287</v>
      </c>
      <c r="EH69" s="19">
        <v>147</v>
      </c>
      <c r="EI69" s="19">
        <v>0</v>
      </c>
      <c r="EJ69" s="19">
        <v>1</v>
      </c>
      <c r="EK69" s="19">
        <v>22.691172696970686</v>
      </c>
      <c r="EL69" s="23">
        <f>DataTable[[#This Row],[Sens_12]]/AVERAGEIF(DataTable[Strålkälla],DataTable[[#This Row],[Strålkälla]],DataTable[Sens_12])</f>
        <v>0.99950062277868912</v>
      </c>
      <c r="EM69" s="19">
        <v>1499</v>
      </c>
      <c r="EN69" s="19">
        <v>1830</v>
      </c>
      <c r="EO69" s="19">
        <v>9.9000000000000005E-2</v>
      </c>
      <c r="EP69" s="19">
        <v>4.4999999999999998E-2</v>
      </c>
      <c r="EQ69" s="19">
        <v>2.8000000000000001E-2</v>
      </c>
      <c r="ER69" s="19">
        <v>1700625</v>
      </c>
      <c r="ES69" s="19">
        <v>158</v>
      </c>
      <c r="ET69" s="19">
        <v>0</v>
      </c>
      <c r="EU69" s="19">
        <v>0</v>
      </c>
      <c r="EV69" s="19">
        <v>18.020790877692317</v>
      </c>
      <c r="EW69" s="19">
        <f>DataTable[[#This Row],[Sens_13]]/AVERAGEIF(DataTable[Strålkälla],DataTable[[#This Row],[Strålkälla]],DataTable[Sens_13])</f>
        <v>1.0002659606786848</v>
      </c>
      <c r="EX69" s="19">
        <v>1278</v>
      </c>
      <c r="EY69" s="19">
        <v>1579</v>
      </c>
      <c r="EZ69" s="19">
        <v>0.105</v>
      </c>
      <c r="FA69" s="19">
        <v>4.2999999999999997E-2</v>
      </c>
      <c r="FB69" s="19">
        <v>2.9000000000000001E-2</v>
      </c>
      <c r="FC69" s="19">
        <v>1440503</v>
      </c>
      <c r="FD69" s="19">
        <v>158</v>
      </c>
      <c r="FE69" s="19">
        <v>0</v>
      </c>
      <c r="FF69" s="19">
        <v>2</v>
      </c>
      <c r="FG69" s="19">
        <v>15.264390045829277</v>
      </c>
      <c r="FH69" s="19">
        <f>DataTable[[#This Row],[Sens_14]]/AVERAGEIF(DataTable[Strålkälla],DataTable[[#This Row],[Strålkälla]],DataTable[Sens_14])</f>
        <v>0.99979140054891091</v>
      </c>
      <c r="FI69" s="19">
        <v>1461</v>
      </c>
      <c r="FJ69" s="19">
        <v>1721</v>
      </c>
      <c r="FK69" s="19">
        <v>8.2000000000000003E-2</v>
      </c>
      <c r="FL69" s="19">
        <v>3.5000000000000003E-2</v>
      </c>
      <c r="FM69" s="19">
        <v>2.8000000000000001E-2</v>
      </c>
      <c r="FN69" s="19">
        <v>1631180</v>
      </c>
      <c r="FO69" s="19">
        <v>158</v>
      </c>
      <c r="FP69" s="19">
        <v>0</v>
      </c>
      <c r="FQ69" s="19">
        <v>0</v>
      </c>
      <c r="FR69" s="19">
        <v>17.284912114001706</v>
      </c>
      <c r="FS69" s="19">
        <f>DataTable[[#This Row],[Sens_15]]/AVERAGEIF(DataTable[Strålkälla],DataTable[[#This Row],[Strålkälla]],DataTable[Sens_15])</f>
        <v>1.0005832024436641</v>
      </c>
      <c r="FT69" s="19">
        <v>1281</v>
      </c>
      <c r="FU69" s="19">
        <v>1565</v>
      </c>
      <c r="FV69" s="19">
        <v>0.1</v>
      </c>
      <c r="FW69" s="19">
        <v>4.1000000000000002E-2</v>
      </c>
      <c r="FX69" s="19">
        <v>0.03</v>
      </c>
      <c r="FY69" s="19">
        <v>1468275</v>
      </c>
      <c r="FZ69" s="19">
        <v>158</v>
      </c>
      <c r="GA69" s="19">
        <v>0</v>
      </c>
      <c r="GB69" s="19">
        <v>0</v>
      </c>
      <c r="GC69" s="19">
        <v>15.558677971888974</v>
      </c>
      <c r="GD69" s="19">
        <f>DataTable[[#This Row],[Sens_16]]/AVERAGEIF(DataTable[Strålkälla],DataTable[[#This Row],[Strålkälla]],DataTable[Sens_16])</f>
        <v>1.0010597432870163</v>
      </c>
      <c r="GE69" s="19">
        <v>1239</v>
      </c>
      <c r="GF69" s="19">
        <v>1560</v>
      </c>
      <c r="GG69" s="19">
        <v>0.115</v>
      </c>
      <c r="GH69" s="19">
        <v>5.0999999999999997E-2</v>
      </c>
      <c r="GI69" s="19">
        <v>3.1E-2</v>
      </c>
      <c r="GJ69" s="19">
        <v>1408335</v>
      </c>
      <c r="GK69" s="19">
        <v>158</v>
      </c>
      <c r="GL69" s="19">
        <v>0</v>
      </c>
      <c r="GM69" s="19">
        <v>1</v>
      </c>
      <c r="GN69" s="19">
        <v>14.923519600579086</v>
      </c>
      <c r="GO69" s="19">
        <f>DataTable[[#This Row],[Sens_17]]/AVERAGEIF(DataTable[Strålkälla],DataTable[[#This Row],[Strålkälla]],DataTable[Sens_17])</f>
        <v>1.0000914338644427</v>
      </c>
      <c r="GP69" s="19">
        <v>1432</v>
      </c>
      <c r="GQ69" s="19">
        <v>1751</v>
      </c>
      <c r="GR69" s="19">
        <v>0.1</v>
      </c>
      <c r="GS69" s="19">
        <v>4.2000000000000003E-2</v>
      </c>
      <c r="GT69" s="19">
        <v>2.9000000000000001E-2</v>
      </c>
      <c r="GU69" s="19">
        <v>1632200</v>
      </c>
      <c r="GV69" s="19">
        <v>158</v>
      </c>
      <c r="GW69" s="19">
        <v>0</v>
      </c>
      <c r="GX69" s="19">
        <v>0</v>
      </c>
      <c r="GY69" s="19">
        <v>17.295720614814787</v>
      </c>
      <c r="GZ69" s="19">
        <f>DataTable[[#This Row],[Sens_18]]/AVERAGEIF(DataTable[Strålkälla],DataTable[[#This Row],[Strålkälla]],DataTable[Sens_18])</f>
        <v>1.0016776881116085</v>
      </c>
      <c r="HA69" s="19">
        <v>1309</v>
      </c>
      <c r="HB69" s="19">
        <v>1648</v>
      </c>
      <c r="HC69" s="19">
        <v>0.115</v>
      </c>
      <c r="HD69" s="19">
        <v>7.9000000000000001E-2</v>
      </c>
      <c r="HE69" s="19">
        <v>3.2000000000000001E-2</v>
      </c>
      <c r="HF69" s="19">
        <v>1478156</v>
      </c>
      <c r="HG69" s="19">
        <v>158</v>
      </c>
      <c r="HH69" s="19">
        <v>0</v>
      </c>
      <c r="HI69" s="19">
        <v>4</v>
      </c>
      <c r="HJ69" s="19">
        <v>15.663382674373342</v>
      </c>
      <c r="HK69" s="19">
        <f>DataTable[[#This Row],[Sens_19]]/AVERAGEIF(DataTable[Strålkälla],DataTable[[#This Row],[Strålkälla]],DataTable[Sens_19])</f>
        <v>1.0010498116579658</v>
      </c>
      <c r="HL69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0.11799999999999999</v>
      </c>
      <c r="HM69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9.9526315789473699E-2</v>
      </c>
      <c r="HN69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7.9000000000000001E-2</v>
      </c>
      <c r="HO69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4.268421052631579E-2</v>
      </c>
      <c r="HP69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0.99950062277868912</v>
      </c>
      <c r="HQ69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1.0020739075812732</v>
      </c>
      <c r="HR69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1.0058571833873373</v>
      </c>
      <c r="HS69" s="49"/>
    </row>
    <row r="70" spans="2:227" x14ac:dyDescent="0.25">
      <c r="B70" s="19" t="s">
        <v>43</v>
      </c>
      <c r="C70" s="20">
        <v>42607</v>
      </c>
      <c r="D70" s="21">
        <v>0.31255787037037036</v>
      </c>
      <c r="E70" s="13" t="s">
        <v>217</v>
      </c>
      <c r="F70" s="13">
        <v>109.8</v>
      </c>
      <c r="G70" s="13">
        <v>134.19999999999999</v>
      </c>
      <c r="H70" s="24">
        <v>7.6243999999999996</v>
      </c>
      <c r="I70" s="22">
        <f>MATCH(DataTable[[#This Row],[Datum]],Övrigt!$D$10:$M$10,1)</f>
        <v>2</v>
      </c>
      <c r="J70" s="13"/>
      <c r="K70" s="22">
        <v>1755</v>
      </c>
      <c r="L70" s="22">
        <v>2186</v>
      </c>
      <c r="M70" s="23">
        <v>0.109</v>
      </c>
      <c r="N70" s="23">
        <v>4.8000000000000001E-2</v>
      </c>
      <c r="O70" s="23">
        <v>2.5999999999999999E-2</v>
      </c>
      <c r="P70" s="22">
        <v>2023044</v>
      </c>
      <c r="Q70" s="24">
        <v>152</v>
      </c>
      <c r="R70" s="22">
        <v>1</v>
      </c>
      <c r="S70" s="22">
        <v>1</v>
      </c>
      <c r="T70" s="19">
        <v>22.340449247909881</v>
      </c>
      <c r="U70" s="23">
        <f>DataTable[[#This Row],[Sens_1]]/AVERAGEIF(DataTable[Strålkälla],DataTable[[#This Row],[Strålkälla]],DataTable[Sens_1])</f>
        <v>0.99691495453748036</v>
      </c>
      <c r="V70" s="22">
        <v>2137</v>
      </c>
      <c r="W70" s="22">
        <v>2576</v>
      </c>
      <c r="X70" s="23">
        <v>9.2999999999999999E-2</v>
      </c>
      <c r="Y70" s="23">
        <v>4.2000000000000003E-2</v>
      </c>
      <c r="Z70" s="23">
        <v>2.4E-2</v>
      </c>
      <c r="AA70" s="22">
        <v>2444062</v>
      </c>
      <c r="AB70" s="24">
        <v>152</v>
      </c>
      <c r="AC70" s="22">
        <v>2</v>
      </c>
      <c r="AD70" s="22">
        <v>0</v>
      </c>
      <c r="AE70" s="19">
        <v>26.989745685088963</v>
      </c>
      <c r="AF70" s="23">
        <f>DataTable[[#This Row],[Sens_2]]/AVERAGEIF(DataTable[Strålkälla],DataTable[[#This Row],[Strålkälla]],DataTable[Sens_2])</f>
        <v>0.99807115882894659</v>
      </c>
      <c r="AG70" s="22">
        <v>1846</v>
      </c>
      <c r="AH70" s="22">
        <v>2268</v>
      </c>
      <c r="AI70" s="23">
        <v>0.10299999999999999</v>
      </c>
      <c r="AJ70" s="23">
        <v>5.3999999999999999E-2</v>
      </c>
      <c r="AK70" s="23">
        <v>2.5999999999999999E-2</v>
      </c>
      <c r="AL70" s="22">
        <v>2138142</v>
      </c>
      <c r="AM70" s="24">
        <v>152</v>
      </c>
      <c r="AN70" s="22">
        <v>1</v>
      </c>
      <c r="AO70" s="22">
        <v>0</v>
      </c>
      <c r="AP70" s="19">
        <v>23.611475002928522</v>
      </c>
      <c r="AQ70" s="23">
        <f>DataTable[[#This Row],[Sens_3]]/AVERAGEIF(DataTable[Strålkälla],DataTable[[#This Row],[Strålkälla]],DataTable[Sens_3])</f>
        <v>0.9999201009538996</v>
      </c>
      <c r="AR70" s="22">
        <v>1790</v>
      </c>
      <c r="AS70" s="22">
        <v>2237</v>
      </c>
      <c r="AT70" s="23">
        <v>0.111</v>
      </c>
      <c r="AU70" s="23">
        <v>4.9000000000000002E-2</v>
      </c>
      <c r="AV70" s="23">
        <v>2.5999999999999999E-2</v>
      </c>
      <c r="AW70" s="22">
        <v>2073643</v>
      </c>
      <c r="AX70" s="24">
        <v>152</v>
      </c>
      <c r="AY70" s="22">
        <v>1</v>
      </c>
      <c r="AZ70" s="22">
        <v>1</v>
      </c>
      <c r="BA70" s="19">
        <v>22.899213363517347</v>
      </c>
      <c r="BB70" s="23">
        <f>DataTable[[#This Row],[Sens_4]]/AVERAGEIF(DataTable[Strålkälla],DataTable[[#This Row],[Strålkälla]],DataTable[Sens_4])</f>
        <v>1.0021818128603608</v>
      </c>
      <c r="BC70" s="22">
        <v>2100</v>
      </c>
      <c r="BD70" s="22">
        <v>2452</v>
      </c>
      <c r="BE70" s="19">
        <v>7.6999999999999999E-2</v>
      </c>
      <c r="BF70" s="19">
        <v>3.3000000000000002E-2</v>
      </c>
      <c r="BG70" s="19">
        <v>2.4E-2</v>
      </c>
      <c r="BH70" s="19">
        <v>2339020</v>
      </c>
      <c r="BI70" s="19">
        <v>152</v>
      </c>
      <c r="BJ70" s="19">
        <v>0</v>
      </c>
      <c r="BK70" s="19">
        <v>0</v>
      </c>
      <c r="BL70" s="19">
        <v>25.829768210600545</v>
      </c>
      <c r="BM70" s="23">
        <f>DataTable[[#This Row],[Sens_5]]/AVERAGEIF(DataTable[Strålkälla],DataTable[[#This Row],[Strålkälla]],DataTable[Sens_5])</f>
        <v>1.0037366629930093</v>
      </c>
      <c r="BN70" s="19">
        <v>2107</v>
      </c>
      <c r="BO70" s="19">
        <v>2444</v>
      </c>
      <c r="BP70" s="19">
        <v>7.3999999999999996E-2</v>
      </c>
      <c r="BQ70" s="19">
        <v>3.4000000000000002E-2</v>
      </c>
      <c r="BR70" s="19">
        <v>2.3E-2</v>
      </c>
      <c r="BS70" s="19">
        <v>2331899</v>
      </c>
      <c r="BT70" s="19">
        <v>152</v>
      </c>
      <c r="BU70" s="19">
        <v>0</v>
      </c>
      <c r="BV70" s="19">
        <v>0</v>
      </c>
      <c r="BW70" s="19">
        <v>25.751131097866285</v>
      </c>
      <c r="BX70" s="23">
        <f>DataTable[[#This Row],[Sens_6]]/AVERAGEIF(DataTable[Strålkälla],DataTable[[#This Row],[Strålkälla]],DataTable[Sens_6])</f>
        <v>1.0010362577615513</v>
      </c>
      <c r="BY70" s="19">
        <v>1787</v>
      </c>
      <c r="BZ70" s="19">
        <v>2221</v>
      </c>
      <c r="CA70" s="19">
        <v>0.108</v>
      </c>
      <c r="CB70" s="19">
        <v>3.7999999999999999E-2</v>
      </c>
      <c r="CC70" s="19">
        <v>2.7E-2</v>
      </c>
      <c r="CD70" s="19">
        <v>2069848</v>
      </c>
      <c r="CE70" s="19">
        <v>152</v>
      </c>
      <c r="CF70" s="19">
        <v>1</v>
      </c>
      <c r="CG70" s="19">
        <v>0</v>
      </c>
      <c r="CH70" s="19">
        <v>22.857305226622739</v>
      </c>
      <c r="CI70" s="23">
        <f>DataTable[[#This Row],[Sens_7]]/AVERAGEIF(DataTable[Strålkälla],DataTable[[#This Row],[Strålkälla]],DataTable[Sens_7])</f>
        <v>0.99964344699931151</v>
      </c>
      <c r="CJ70" s="19">
        <v>2202</v>
      </c>
      <c r="CK70" s="19">
        <v>2608</v>
      </c>
      <c r="CL70" s="19">
        <v>8.4000000000000005E-2</v>
      </c>
      <c r="CM70" s="19">
        <v>4.3999999999999997E-2</v>
      </c>
      <c r="CN70" s="19">
        <v>2.4E-2</v>
      </c>
      <c r="CO70" s="19">
        <v>2450297</v>
      </c>
      <c r="CP70" s="19">
        <v>152</v>
      </c>
      <c r="CQ70" s="19">
        <v>0</v>
      </c>
      <c r="CR70" s="19">
        <v>0</v>
      </c>
      <c r="CS70" s="19">
        <v>27.058598711054152</v>
      </c>
      <c r="CT70" s="23">
        <f>DataTable[[#This Row],[Sens_8]]/AVERAGEIF(DataTable[Strålkälla],DataTable[[#This Row],[Strålkälla]],DataTable[Sens_8])</f>
        <v>1.001489809636356</v>
      </c>
      <c r="CU70" s="19">
        <v>1748</v>
      </c>
      <c r="CV70" s="19">
        <v>2115</v>
      </c>
      <c r="CW70" s="19">
        <v>9.5000000000000001E-2</v>
      </c>
      <c r="CX70" s="19">
        <v>4.7E-2</v>
      </c>
      <c r="CY70" s="19">
        <v>2.7E-2</v>
      </c>
      <c r="CZ70" s="19">
        <v>1963234</v>
      </c>
      <c r="DA70" s="19">
        <v>147</v>
      </c>
      <c r="DB70" s="19">
        <v>0</v>
      </c>
      <c r="DC70" s="19">
        <v>0</v>
      </c>
      <c r="DD70" s="19">
        <v>22.41738205960047</v>
      </c>
      <c r="DE70" s="23">
        <f>DataTable[[#This Row],[Sens_9]]/AVERAGEIF(DataTable[Strålkälla],DataTable[[#This Row],[Strålkälla]],DataTable[Sens_9])</f>
        <v>1.0021717228670666</v>
      </c>
      <c r="DF70" s="19">
        <v>1722</v>
      </c>
      <c r="DG70" s="19">
        <v>2050</v>
      </c>
      <c r="DH70" s="19">
        <v>8.6999999999999994E-2</v>
      </c>
      <c r="DI70" s="19">
        <v>4.3999999999999997E-2</v>
      </c>
      <c r="DJ70" s="19">
        <v>2.5000000000000001E-2</v>
      </c>
      <c r="DK70" s="19">
        <v>1906415</v>
      </c>
      <c r="DL70" s="19">
        <v>147</v>
      </c>
      <c r="DM70" s="19">
        <v>0</v>
      </c>
      <c r="DN70" s="19">
        <v>1</v>
      </c>
      <c r="DO70" s="19">
        <v>21.768588675192682</v>
      </c>
      <c r="DP70" s="23">
        <f>DataTable[[#This Row],[Sens_10]]/AVERAGEIF(DataTable[Strålkälla],DataTable[[#This Row],[Strålkälla]],DataTable[Sens_10])</f>
        <v>1.0033400516363</v>
      </c>
      <c r="DQ70" s="19">
        <v>1480</v>
      </c>
      <c r="DR70" s="19">
        <v>1771</v>
      </c>
      <c r="DS70" s="19">
        <v>0.09</v>
      </c>
      <c r="DT70" s="19">
        <v>3.7999999999999999E-2</v>
      </c>
      <c r="DU70" s="19">
        <v>2.8000000000000001E-2</v>
      </c>
      <c r="DV70" s="19">
        <v>1675891</v>
      </c>
      <c r="DW70" s="19">
        <v>147</v>
      </c>
      <c r="DX70" s="19">
        <v>0</v>
      </c>
      <c r="DY70" s="19">
        <v>0</v>
      </c>
      <c r="DZ70" s="19">
        <v>19.13632752756212</v>
      </c>
      <c r="EA70" s="19">
        <f>DataTable[[#This Row],[Sens_11]]/AVERAGEIF(DataTable[Strålkälla],DataTable[[#This Row],[Strålkälla]],DataTable[Sens_11])</f>
        <v>1.0028571905340071</v>
      </c>
      <c r="EB70" s="19">
        <v>1744</v>
      </c>
      <c r="EC70" s="19">
        <v>2197</v>
      </c>
      <c r="ED70" s="19">
        <v>0.115</v>
      </c>
      <c r="EE70" s="19">
        <v>4.2000000000000003E-2</v>
      </c>
      <c r="EF70" s="19">
        <v>2.7E-2</v>
      </c>
      <c r="EG70" s="19">
        <v>1993454</v>
      </c>
      <c r="EH70" s="19">
        <v>147</v>
      </c>
      <c r="EI70" s="19">
        <v>0</v>
      </c>
      <c r="EJ70" s="19">
        <v>2</v>
      </c>
      <c r="EK70" s="19">
        <v>22.762452125543259</v>
      </c>
      <c r="EL70" s="23">
        <f>DataTable[[#This Row],[Sens_12]]/AVERAGEIF(DataTable[Strålkälla],DataTable[[#This Row],[Strålkälla]],DataTable[Sens_12])</f>
        <v>1.0026403385704212</v>
      </c>
      <c r="EM70" s="19">
        <v>1505</v>
      </c>
      <c r="EN70" s="19">
        <v>1855</v>
      </c>
      <c r="EO70" s="19">
        <v>0.104</v>
      </c>
      <c r="EP70" s="19">
        <v>4.8000000000000001E-2</v>
      </c>
      <c r="EQ70" s="19">
        <v>2.8000000000000001E-2</v>
      </c>
      <c r="ER70" s="19">
        <v>1698787</v>
      </c>
      <c r="ES70" s="19">
        <v>158</v>
      </c>
      <c r="ET70" s="19">
        <v>0</v>
      </c>
      <c r="EU70" s="19">
        <v>1</v>
      </c>
      <c r="EV70" s="19">
        <v>18.047290270207245</v>
      </c>
      <c r="EW70" s="19">
        <f>DataTable[[#This Row],[Sens_13]]/AVERAGEIF(DataTable[Strålkälla],DataTable[[#This Row],[Strålkälla]],DataTable[Sens_13])</f>
        <v>1.0017368417566157</v>
      </c>
      <c r="EX70" s="19">
        <v>1277</v>
      </c>
      <c r="EY70" s="19">
        <v>1531</v>
      </c>
      <c r="EZ70" s="19">
        <v>0.09</v>
      </c>
      <c r="FA70" s="19">
        <v>4.2999999999999997E-2</v>
      </c>
      <c r="FB70" s="19">
        <v>2.9000000000000001E-2</v>
      </c>
      <c r="FC70" s="19">
        <v>1440552</v>
      </c>
      <c r="FD70" s="19">
        <v>158</v>
      </c>
      <c r="FE70" s="19">
        <v>0</v>
      </c>
      <c r="FF70" s="19">
        <v>0</v>
      </c>
      <c r="FG70" s="19">
        <v>15.303896305615469</v>
      </c>
      <c r="FH70" s="19">
        <f>DataTable[[#This Row],[Sens_14]]/AVERAGEIF(DataTable[Strålkälla],DataTable[[#This Row],[Strålkälla]],DataTable[Sens_14])</f>
        <v>1.002378992891841</v>
      </c>
      <c r="FI70" s="19">
        <v>1427</v>
      </c>
      <c r="FJ70" s="19">
        <v>1794</v>
      </c>
      <c r="FK70" s="19">
        <v>0.114</v>
      </c>
      <c r="FL70" s="19">
        <v>3.9E-2</v>
      </c>
      <c r="FM70" s="19">
        <v>2.8000000000000001E-2</v>
      </c>
      <c r="FN70" s="19">
        <v>1632033</v>
      </c>
      <c r="FO70" s="19">
        <v>158</v>
      </c>
      <c r="FP70" s="19">
        <v>0</v>
      </c>
      <c r="FQ70" s="19">
        <v>1</v>
      </c>
      <c r="FR70" s="19">
        <v>17.338120247892842</v>
      </c>
      <c r="FS70" s="19">
        <f>DataTable[[#This Row],[Sens_15]]/AVERAGEIF(DataTable[Strålkälla],DataTable[[#This Row],[Strålkälla]],DataTable[Sens_15])</f>
        <v>1.0036632970749648</v>
      </c>
      <c r="FT70" s="19">
        <v>1295</v>
      </c>
      <c r="FU70" s="19">
        <v>1596</v>
      </c>
      <c r="FV70" s="19">
        <v>0.104</v>
      </c>
      <c r="FW70" s="19">
        <v>4.2999999999999997E-2</v>
      </c>
      <c r="FX70" s="19">
        <v>2.9000000000000001E-2</v>
      </c>
      <c r="FY70" s="19">
        <v>1469383</v>
      </c>
      <c r="FZ70" s="19">
        <v>158</v>
      </c>
      <c r="GA70" s="19">
        <v>0</v>
      </c>
      <c r="GB70" s="19">
        <v>0</v>
      </c>
      <c r="GC70" s="19">
        <v>15.610186279449943</v>
      </c>
      <c r="GD70" s="19">
        <f>DataTable[[#This Row],[Sens_16]]/AVERAGEIF(DataTable[Strålkälla],DataTable[[#This Row],[Strålkälla]],DataTable[Sens_16])</f>
        <v>1.0043738354764231</v>
      </c>
      <c r="GE70" s="19">
        <v>1265</v>
      </c>
      <c r="GF70" s="19">
        <v>1573</v>
      </c>
      <c r="GG70" s="19">
        <v>0.109</v>
      </c>
      <c r="GH70" s="19">
        <v>4.5999999999999999E-2</v>
      </c>
      <c r="GI70" s="19">
        <v>0.03</v>
      </c>
      <c r="GJ70" s="19">
        <v>1410171</v>
      </c>
      <c r="GK70" s="19">
        <v>158</v>
      </c>
      <c r="GL70" s="19">
        <v>0</v>
      </c>
      <c r="GM70" s="19">
        <v>1</v>
      </c>
      <c r="GN70" s="19">
        <v>14.981139700049752</v>
      </c>
      <c r="GO70" s="19">
        <f>DataTable[[#This Row],[Sens_17]]/AVERAGEIF(DataTable[Strålkälla],DataTable[[#This Row],[Strålkälla]],DataTable[Sens_17])</f>
        <v>1.0039528130458522</v>
      </c>
      <c r="GP70" s="19">
        <v>1445</v>
      </c>
      <c r="GQ70" s="19">
        <v>1788</v>
      </c>
      <c r="GR70" s="19">
        <v>0.106</v>
      </c>
      <c r="GS70" s="19">
        <v>4.9000000000000002E-2</v>
      </c>
      <c r="GT70" s="19">
        <v>2.9000000000000001E-2</v>
      </c>
      <c r="GU70" s="19">
        <v>1629716</v>
      </c>
      <c r="GV70" s="19">
        <v>158</v>
      </c>
      <c r="GW70" s="19">
        <v>0</v>
      </c>
      <c r="GX70" s="19">
        <v>1</v>
      </c>
      <c r="GY70" s="19">
        <v>17.313505289362979</v>
      </c>
      <c r="GZ70" s="19">
        <f>DataTable[[#This Row],[Sens_18]]/AVERAGEIF(DataTable[Strålkälla],DataTable[[#This Row],[Strålkälla]],DataTable[Sens_18])</f>
        <v>1.0027076834545023</v>
      </c>
      <c r="HA70" s="19">
        <v>1302</v>
      </c>
      <c r="HB70" s="19">
        <v>1641</v>
      </c>
      <c r="HC70" s="19">
        <v>0.115</v>
      </c>
      <c r="HD70" s="19">
        <v>7.4999999999999997E-2</v>
      </c>
      <c r="HE70" s="19">
        <v>3.1E-2</v>
      </c>
      <c r="HF70" s="19">
        <v>1478429</v>
      </c>
      <c r="HG70" s="19">
        <v>158</v>
      </c>
      <c r="HH70" s="19">
        <v>0</v>
      </c>
      <c r="HI70" s="19">
        <v>1</v>
      </c>
      <c r="HJ70" s="19">
        <v>15.706287666960145</v>
      </c>
      <c r="HK70" s="19">
        <f>DataTable[[#This Row],[Sens_19]]/AVERAGEIF(DataTable[Strålkälla],DataTable[[#This Row],[Strålkälla]],DataTable[Sens_19])</f>
        <v>1.0037918780200727</v>
      </c>
      <c r="HL70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0.115</v>
      </c>
      <c r="HM70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9.9368421052631592E-2</v>
      </c>
      <c r="HN70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7.4999999999999997E-2</v>
      </c>
      <c r="HO70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4.5052631578947372E-2</v>
      </c>
      <c r="HP70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0.99691495453748036</v>
      </c>
      <c r="HQ70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1.0019267815736306</v>
      </c>
      <c r="HR70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1.0043738354764231</v>
      </c>
      <c r="HS70" s="49"/>
    </row>
    <row r="71" spans="2:227" x14ac:dyDescent="0.25">
      <c r="B71" s="19" t="s">
        <v>43</v>
      </c>
      <c r="C71" s="20">
        <v>42611</v>
      </c>
      <c r="D71" s="21">
        <v>0.31765046296296295</v>
      </c>
      <c r="E71" s="13" t="s">
        <v>217</v>
      </c>
      <c r="F71" s="13">
        <v>109.8</v>
      </c>
      <c r="G71" s="13">
        <v>134.19999999999999</v>
      </c>
      <c r="H71" s="24">
        <v>7.7062999999999997</v>
      </c>
      <c r="I71" s="22">
        <f>MATCH(DataTable[[#This Row],[Datum]],Övrigt!$D$10:$M$10,1)</f>
        <v>2</v>
      </c>
      <c r="J71" s="13"/>
      <c r="K71" s="22">
        <v>1733</v>
      </c>
      <c r="L71" s="22">
        <v>2258</v>
      </c>
      <c r="M71" s="23">
        <v>0.13200000000000001</v>
      </c>
      <c r="N71" s="23">
        <v>3.5999999999999997E-2</v>
      </c>
      <c r="O71" s="23">
        <v>2.5000000000000001E-2</v>
      </c>
      <c r="P71" s="22">
        <v>2026102</v>
      </c>
      <c r="Q71" s="24">
        <v>154</v>
      </c>
      <c r="R71" s="22">
        <v>1</v>
      </c>
      <c r="S71" s="22">
        <v>1</v>
      </c>
      <c r="T71" s="19">
        <v>22.31011933856816</v>
      </c>
      <c r="U71" s="23">
        <f>DataTable[[#This Row],[Sens_1]]/AVERAGEIF(DataTable[Strålkälla],DataTable[[#This Row],[Strålkälla]],DataTable[Sens_1])</f>
        <v>0.99556151979420382</v>
      </c>
      <c r="V71" s="22">
        <v>2180</v>
      </c>
      <c r="W71" s="22">
        <v>2605</v>
      </c>
      <c r="X71" s="23">
        <v>8.8999999999999996E-2</v>
      </c>
      <c r="Y71" s="23">
        <v>3.3000000000000002E-2</v>
      </c>
      <c r="Z71" s="23">
        <v>2.4E-2</v>
      </c>
      <c r="AA71" s="22">
        <v>2447640</v>
      </c>
      <c r="AB71" s="24">
        <v>154</v>
      </c>
      <c r="AC71" s="22">
        <v>0</v>
      </c>
      <c r="AD71" s="22">
        <v>0</v>
      </c>
      <c r="AE71" s="19">
        <v>26.951822019746768</v>
      </c>
      <c r="AF71" s="23">
        <f>DataTable[[#This Row],[Sens_2]]/AVERAGEIF(DataTable[Strålkälla],DataTable[[#This Row],[Strålkälla]],DataTable[Sens_2])</f>
        <v>0.99666875522512022</v>
      </c>
      <c r="AG71" s="22">
        <v>1941</v>
      </c>
      <c r="AH71" s="22">
        <v>2263</v>
      </c>
      <c r="AI71" s="23">
        <v>7.6999999999999999E-2</v>
      </c>
      <c r="AJ71" s="23">
        <v>3.6999999999999998E-2</v>
      </c>
      <c r="AK71" s="23">
        <v>2.4E-2</v>
      </c>
      <c r="AL71" s="22">
        <v>2138870</v>
      </c>
      <c r="AM71" s="24">
        <v>154</v>
      </c>
      <c r="AN71" s="22">
        <v>0</v>
      </c>
      <c r="AO71" s="22">
        <v>0</v>
      </c>
      <c r="AP71" s="19">
        <v>23.5518473155267</v>
      </c>
      <c r="AQ71" s="23">
        <f>DataTable[[#This Row],[Sens_3]]/AVERAGEIF(DataTable[Strålkälla],DataTable[[#This Row],[Strålkälla]],DataTable[Sens_3])</f>
        <v>0.99739493371216303</v>
      </c>
      <c r="AR71" s="22">
        <v>1800</v>
      </c>
      <c r="AS71" s="22">
        <v>2192</v>
      </c>
      <c r="AT71" s="23">
        <v>9.8000000000000004E-2</v>
      </c>
      <c r="AU71" s="23">
        <v>4.7E-2</v>
      </c>
      <c r="AV71" s="23">
        <v>2.5000000000000001E-2</v>
      </c>
      <c r="AW71" s="22">
        <v>2067560</v>
      </c>
      <c r="AX71" s="24">
        <v>154</v>
      </c>
      <c r="AY71" s="22">
        <v>1</v>
      </c>
      <c r="AZ71" s="22">
        <v>0</v>
      </c>
      <c r="BA71" s="19">
        <v>22.76662790898483</v>
      </c>
      <c r="BB71" s="23">
        <f>DataTable[[#This Row],[Sens_4]]/AVERAGEIF(DataTable[Strålkälla],DataTable[[#This Row],[Strålkälla]],DataTable[Sens_4])</f>
        <v>0.99637922352801256</v>
      </c>
      <c r="BC71" s="22">
        <v>2092</v>
      </c>
      <c r="BD71" s="22">
        <v>2527</v>
      </c>
      <c r="BE71" s="19">
        <v>9.4E-2</v>
      </c>
      <c r="BF71" s="19">
        <v>3.1E-2</v>
      </c>
      <c r="BG71" s="19">
        <v>2.4E-2</v>
      </c>
      <c r="BH71" s="19">
        <v>2336472</v>
      </c>
      <c r="BI71" s="19">
        <v>154</v>
      </c>
      <c r="BJ71" s="19">
        <v>0</v>
      </c>
      <c r="BK71" s="19">
        <v>2</v>
      </c>
      <c r="BL71" s="19">
        <v>25.727712203641783</v>
      </c>
      <c r="BM71" s="23">
        <f>DataTable[[#This Row],[Sens_5]]/AVERAGEIF(DataTable[Strålkälla],DataTable[[#This Row],[Strålkälla]],DataTable[Sens_5])</f>
        <v>0.99977079868373786</v>
      </c>
      <c r="BN71" s="19">
        <v>2020</v>
      </c>
      <c r="BO71" s="19">
        <v>2476</v>
      </c>
      <c r="BP71" s="19">
        <v>0.10100000000000001</v>
      </c>
      <c r="BQ71" s="19">
        <v>3.7999999999999999E-2</v>
      </c>
      <c r="BR71" s="19">
        <v>2.3E-2</v>
      </c>
      <c r="BS71" s="19">
        <v>2328914</v>
      </c>
      <c r="BT71" s="19">
        <v>154</v>
      </c>
      <c r="BU71" s="19">
        <v>1</v>
      </c>
      <c r="BV71" s="19">
        <v>0</v>
      </c>
      <c r="BW71" s="19">
        <v>25.644488416309805</v>
      </c>
      <c r="BX71" s="23">
        <f>DataTable[[#This Row],[Sens_6]]/AVERAGEIF(DataTable[Strålkälla],DataTable[[#This Row],[Strålkälla]],DataTable[Sens_6])</f>
        <v>0.99689068487555876</v>
      </c>
      <c r="BY71" s="19">
        <v>1842</v>
      </c>
      <c r="BZ71" s="19">
        <v>2238</v>
      </c>
      <c r="CA71" s="19">
        <v>9.7000000000000003E-2</v>
      </c>
      <c r="CB71" s="19">
        <v>4.1000000000000002E-2</v>
      </c>
      <c r="CC71" s="19">
        <v>2.5999999999999999E-2</v>
      </c>
      <c r="CD71" s="19">
        <v>2069957</v>
      </c>
      <c r="CE71" s="19">
        <v>154</v>
      </c>
      <c r="CF71" s="19">
        <v>0</v>
      </c>
      <c r="CG71" s="19">
        <v>1</v>
      </c>
      <c r="CH71" s="19">
        <v>22.793022116213564</v>
      </c>
      <c r="CI71" s="23">
        <f>DataTable[[#This Row],[Sens_7]]/AVERAGEIF(DataTable[Strålkälla],DataTable[[#This Row],[Strålkälla]],DataTable[Sens_7])</f>
        <v>0.99683208365458886</v>
      </c>
      <c r="CJ71" s="19">
        <v>2162</v>
      </c>
      <c r="CK71" s="19">
        <v>2629</v>
      </c>
      <c r="CL71" s="19">
        <v>9.7000000000000003E-2</v>
      </c>
      <c r="CM71" s="19">
        <v>4.2999999999999997E-2</v>
      </c>
      <c r="CN71" s="19">
        <v>2.4E-2</v>
      </c>
      <c r="CO71" s="19">
        <v>2452785</v>
      </c>
      <c r="CP71" s="19">
        <v>154</v>
      </c>
      <c r="CQ71" s="19">
        <v>1</v>
      </c>
      <c r="CR71" s="19">
        <v>1</v>
      </c>
      <c r="CS71" s="19">
        <v>27.008475418241481</v>
      </c>
      <c r="CT71" s="23">
        <f>DataTable[[#This Row],[Sens_8]]/AVERAGEIF(DataTable[Strålkälla],DataTable[[#This Row],[Strålkälla]],DataTable[Sens_8])</f>
        <v>0.99963465196491308</v>
      </c>
      <c r="CU71" s="19">
        <v>1674</v>
      </c>
      <c r="CV71" s="19">
        <v>2113</v>
      </c>
      <c r="CW71" s="19">
        <v>0.11600000000000001</v>
      </c>
      <c r="CX71" s="19">
        <v>3.9E-2</v>
      </c>
      <c r="CY71" s="19">
        <v>2.5999999999999999E-2</v>
      </c>
      <c r="CZ71" s="19">
        <v>1963014</v>
      </c>
      <c r="DA71" s="19">
        <v>149</v>
      </c>
      <c r="DB71" s="19">
        <v>1</v>
      </c>
      <c r="DC71" s="19">
        <v>0</v>
      </c>
      <c r="DD71" s="19">
        <v>22.340785432492108</v>
      </c>
      <c r="DE71" s="23">
        <f>DataTable[[#This Row],[Sens_9]]/AVERAGEIF(DataTable[Strålkälla],DataTable[[#This Row],[Strålkälla]],DataTable[Sens_9])</f>
        <v>0.99874746157059102</v>
      </c>
      <c r="DF71" s="19">
        <v>1720</v>
      </c>
      <c r="DG71" s="19">
        <v>2067</v>
      </c>
      <c r="DH71" s="19">
        <v>9.1999999999999998E-2</v>
      </c>
      <c r="DI71" s="19">
        <v>3.5000000000000003E-2</v>
      </c>
      <c r="DJ71" s="19">
        <v>2.5999999999999999E-2</v>
      </c>
      <c r="DK71" s="19">
        <v>1905828</v>
      </c>
      <c r="DL71" s="19">
        <v>149</v>
      </c>
      <c r="DM71" s="19">
        <v>0</v>
      </c>
      <c r="DN71" s="19">
        <v>2</v>
      </c>
      <c r="DO71" s="19">
        <v>21.689959633112942</v>
      </c>
      <c r="DP71" s="23">
        <f>DataTable[[#This Row],[Sens_10]]/AVERAGEIF(DataTable[Strålkälla],DataTable[[#This Row],[Strålkälla]],DataTable[Sens_10])</f>
        <v>0.99971594589763513</v>
      </c>
      <c r="DQ71" s="19">
        <v>1487</v>
      </c>
      <c r="DR71" s="19">
        <v>1800</v>
      </c>
      <c r="DS71" s="19">
        <v>9.5000000000000001E-2</v>
      </c>
      <c r="DT71" s="19">
        <v>4.2000000000000003E-2</v>
      </c>
      <c r="DU71" s="19">
        <v>2.7E-2</v>
      </c>
      <c r="DV71" s="19">
        <v>1674290</v>
      </c>
      <c r="DW71" s="19">
        <v>149</v>
      </c>
      <c r="DX71" s="19">
        <v>0</v>
      </c>
      <c r="DY71" s="19">
        <v>0</v>
      </c>
      <c r="DZ71" s="19">
        <v>19.054858315716146</v>
      </c>
      <c r="EA71" s="19">
        <f>DataTable[[#This Row],[Sens_11]]/AVERAGEIF(DataTable[Strålkälla],DataTable[[#This Row],[Strålkälla]],DataTable[Sens_11])</f>
        <v>0.99858772008367125</v>
      </c>
      <c r="EB71" s="19">
        <v>1717</v>
      </c>
      <c r="EC71" s="19">
        <v>2175</v>
      </c>
      <c r="ED71" s="19">
        <v>0.11799999999999999</v>
      </c>
      <c r="EE71" s="19">
        <v>5.0999999999999997E-2</v>
      </c>
      <c r="EF71" s="19">
        <v>2.8000000000000001E-2</v>
      </c>
      <c r="EG71" s="19">
        <v>1995857</v>
      </c>
      <c r="EH71" s="19">
        <v>149</v>
      </c>
      <c r="EI71" s="19">
        <v>1</v>
      </c>
      <c r="EJ71" s="19">
        <v>2</v>
      </c>
      <c r="EK71" s="19">
        <v>22.71456698267939</v>
      </c>
      <c r="EL71" s="23">
        <f>DataTable[[#This Row],[Sens_12]]/AVERAGEIF(DataTable[Strålkälla],DataTable[[#This Row],[Strålkälla]],DataTable[Sens_12])</f>
        <v>1.0005310941186933</v>
      </c>
      <c r="EM71" s="19">
        <v>1522</v>
      </c>
      <c r="EN71" s="19">
        <v>1826</v>
      </c>
      <c r="EO71" s="19">
        <v>9.0999999999999998E-2</v>
      </c>
      <c r="EP71" s="19">
        <v>3.5999999999999997E-2</v>
      </c>
      <c r="EQ71" s="19">
        <v>2.8000000000000001E-2</v>
      </c>
      <c r="ER71" s="19">
        <v>1698051</v>
      </c>
      <c r="ES71" s="19">
        <v>160</v>
      </c>
      <c r="ET71" s="19">
        <v>0</v>
      </c>
      <c r="EU71" s="19">
        <v>0</v>
      </c>
      <c r="EV71" s="19">
        <v>17.996665980285513</v>
      </c>
      <c r="EW71" s="19">
        <f>DataTable[[#This Row],[Sens_13]]/AVERAGEIF(DataTable[Strålkälla],DataTable[[#This Row],[Strålkälla]],DataTable[Sens_13])</f>
        <v>0.99892687884566922</v>
      </c>
      <c r="EX71" s="19">
        <v>1268</v>
      </c>
      <c r="EY71" s="19">
        <v>1564</v>
      </c>
      <c r="EZ71" s="19">
        <v>0.105</v>
      </c>
      <c r="FA71" s="19">
        <v>4.3999999999999997E-2</v>
      </c>
      <c r="FB71" s="19">
        <v>0.03</v>
      </c>
      <c r="FC71" s="19">
        <v>1442537</v>
      </c>
      <c r="FD71" s="19">
        <v>160</v>
      </c>
      <c r="FE71" s="19">
        <v>0</v>
      </c>
      <c r="FF71" s="19">
        <v>0</v>
      </c>
      <c r="FG71" s="19">
        <v>15.288620043333871</v>
      </c>
      <c r="FH71" s="19">
        <f>DataTable[[#This Row],[Sens_14]]/AVERAGEIF(DataTable[Strålkälla],DataTable[[#This Row],[Strålkälla]],DataTable[Sens_14])</f>
        <v>1.0013784238801862</v>
      </c>
      <c r="FI71" s="19">
        <v>1443</v>
      </c>
      <c r="FJ71" s="19">
        <v>1749</v>
      </c>
      <c r="FK71" s="19">
        <v>9.6000000000000002E-2</v>
      </c>
      <c r="FL71" s="19">
        <v>3.5999999999999997E-2</v>
      </c>
      <c r="FM71" s="19">
        <v>2.8000000000000001E-2</v>
      </c>
      <c r="FN71" s="19">
        <v>1630010</v>
      </c>
      <c r="FO71" s="19">
        <v>160</v>
      </c>
      <c r="FP71" s="19">
        <v>0</v>
      </c>
      <c r="FQ71" s="19">
        <v>0</v>
      </c>
      <c r="FR71" s="19">
        <v>17.275538552449362</v>
      </c>
      <c r="FS71" s="19">
        <f>DataTable[[#This Row],[Sens_15]]/AVERAGEIF(DataTable[Strålkälla],DataTable[[#This Row],[Strålkälla]],DataTable[Sens_15])</f>
        <v>1.0000405888524297</v>
      </c>
      <c r="FT71" s="19">
        <v>1289</v>
      </c>
      <c r="FU71" s="19">
        <v>1602</v>
      </c>
      <c r="FV71" s="19">
        <v>0.108</v>
      </c>
      <c r="FW71" s="19">
        <v>0.04</v>
      </c>
      <c r="FX71" s="19">
        <v>2.8000000000000001E-2</v>
      </c>
      <c r="FY71" s="19">
        <v>1470071</v>
      </c>
      <c r="FZ71" s="19">
        <v>160</v>
      </c>
      <c r="GA71" s="19">
        <v>0</v>
      </c>
      <c r="GB71" s="19">
        <v>1</v>
      </c>
      <c r="GC71" s="19">
        <v>15.580437074212909</v>
      </c>
      <c r="GD71" s="19">
        <f>DataTable[[#This Row],[Sens_16]]/AVERAGEIF(DataTable[Strålkälla],DataTable[[#This Row],[Strålkälla]],DataTable[Sens_16])</f>
        <v>1.00245974407281</v>
      </c>
      <c r="GE71" s="19">
        <v>1250</v>
      </c>
      <c r="GF71" s="19">
        <v>1524</v>
      </c>
      <c r="GG71" s="19">
        <v>9.9000000000000005E-2</v>
      </c>
      <c r="GH71" s="19">
        <v>0.04</v>
      </c>
      <c r="GI71" s="19">
        <v>0.03</v>
      </c>
      <c r="GJ71" s="19">
        <v>1409432</v>
      </c>
      <c r="GK71" s="19">
        <v>160</v>
      </c>
      <c r="GL71" s="19">
        <v>0</v>
      </c>
      <c r="GM71" s="19">
        <v>0</v>
      </c>
      <c r="GN71" s="19">
        <v>14.937759187401186</v>
      </c>
      <c r="GO71" s="19">
        <f>DataTable[[#This Row],[Sens_17]]/AVERAGEIF(DataTable[Strålkälla],DataTable[[#This Row],[Strålkälla]],DataTable[Sens_17])</f>
        <v>1.0010456919204309</v>
      </c>
      <c r="GP71" s="19">
        <v>1441</v>
      </c>
      <c r="GQ71" s="19">
        <v>1784</v>
      </c>
      <c r="GR71" s="19">
        <v>0.106</v>
      </c>
      <c r="GS71" s="19">
        <v>4.5999999999999999E-2</v>
      </c>
      <c r="GT71" s="19">
        <v>2.8000000000000001E-2</v>
      </c>
      <c r="GU71" s="19">
        <v>1630905</v>
      </c>
      <c r="GV71" s="19">
        <v>160</v>
      </c>
      <c r="GW71" s="19">
        <v>0</v>
      </c>
      <c r="GX71" s="19">
        <v>1</v>
      </c>
      <c r="GY71" s="19">
        <v>17.285024142724538</v>
      </c>
      <c r="GZ71" s="19">
        <f>DataTable[[#This Row],[Sens_18]]/AVERAGEIF(DataTable[Strålkälla],DataTable[[#This Row],[Strålkälla]],DataTable[Sens_18])</f>
        <v>1.0010582043865341</v>
      </c>
      <c r="HA71" s="19">
        <v>1324</v>
      </c>
      <c r="HB71" s="19">
        <v>1569</v>
      </c>
      <c r="HC71" s="19">
        <v>8.5000000000000006E-2</v>
      </c>
      <c r="HD71" s="19">
        <v>3.6999999999999998E-2</v>
      </c>
      <c r="HE71" s="19">
        <v>2.8000000000000001E-2</v>
      </c>
      <c r="HF71" s="19">
        <v>1476962</v>
      </c>
      <c r="HG71" s="19">
        <v>160</v>
      </c>
      <c r="HH71" s="19">
        <v>0</v>
      </c>
      <c r="HI71" s="19">
        <v>0</v>
      </c>
      <c r="HJ71" s="19">
        <v>15.653470820119331</v>
      </c>
      <c r="HK71" s="19">
        <f>DataTable[[#This Row],[Sens_19]]/AVERAGEIF(DataTable[Strålkälla],DataTable[[#This Row],[Strålkälla]],DataTable[Sens_19])</f>
        <v>1.0004163431383981</v>
      </c>
      <c r="HL71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0.13200000000000001</v>
      </c>
      <c r="HM71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9.9789473684210539E-2</v>
      </c>
      <c r="HN71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5.0999999999999997E-2</v>
      </c>
      <c r="HO71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3.9578947368421068E-2</v>
      </c>
      <c r="HP71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0.99556151979420382</v>
      </c>
      <c r="HQ71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0.99905477622133421</v>
      </c>
      <c r="HR71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1.00245974407281</v>
      </c>
      <c r="HS71" s="49"/>
    </row>
    <row r="72" spans="2:227" x14ac:dyDescent="0.25">
      <c r="B72" s="19" t="s">
        <v>43</v>
      </c>
      <c r="C72" s="20">
        <v>42613</v>
      </c>
      <c r="D72" s="21">
        <v>0.31107638888888889</v>
      </c>
      <c r="E72" s="13" t="s">
        <v>217</v>
      </c>
      <c r="F72" s="13">
        <v>109.8</v>
      </c>
      <c r="G72" s="13">
        <v>134.19999999999999</v>
      </c>
      <c r="H72" s="24">
        <v>7.7488000000000001</v>
      </c>
      <c r="I72" s="22">
        <f>MATCH(DataTable[[#This Row],[Datum]],Övrigt!$D$10:$M$10,1)</f>
        <v>2</v>
      </c>
      <c r="J72" s="13"/>
      <c r="K72" s="22">
        <v>1784</v>
      </c>
      <c r="L72" s="22">
        <v>2175</v>
      </c>
      <c r="M72" s="23">
        <v>9.9000000000000005E-2</v>
      </c>
      <c r="N72" s="23">
        <v>0.04</v>
      </c>
      <c r="O72" s="23">
        <v>2.7E-2</v>
      </c>
      <c r="P72" s="22">
        <v>2027490</v>
      </c>
      <c r="Q72" s="24">
        <v>154</v>
      </c>
      <c r="R72" s="22">
        <v>0</v>
      </c>
      <c r="S72" s="22">
        <v>0</v>
      </c>
      <c r="T72" s="19">
        <v>22.439588197271863</v>
      </c>
      <c r="U72" s="23">
        <f>DataTable[[#This Row],[Sens_1]]/AVERAGEIF(DataTable[Strålkälla],DataTable[[#This Row],[Strålkälla]],DataTable[Sens_1])</f>
        <v>1.0013389077041939</v>
      </c>
      <c r="V72" s="22">
        <v>2189</v>
      </c>
      <c r="W72" s="22">
        <v>2601</v>
      </c>
      <c r="X72" s="23">
        <v>8.5999999999999993E-2</v>
      </c>
      <c r="Y72" s="23">
        <v>3.5000000000000003E-2</v>
      </c>
      <c r="Z72" s="23">
        <v>2.5000000000000001E-2</v>
      </c>
      <c r="AA72" s="22">
        <v>2448059</v>
      </c>
      <c r="AB72" s="24">
        <v>154</v>
      </c>
      <c r="AC72" s="22">
        <v>0</v>
      </c>
      <c r="AD72" s="22">
        <v>0</v>
      </c>
      <c r="AE72" s="19">
        <v>27.09430667605027</v>
      </c>
      <c r="AF72" s="23">
        <f>DataTable[[#This Row],[Sens_2]]/AVERAGEIF(DataTable[Strålkälla],DataTable[[#This Row],[Strålkälla]],DataTable[Sens_2])</f>
        <v>1.0019377869415156</v>
      </c>
      <c r="AG72" s="22">
        <v>1918</v>
      </c>
      <c r="AH72" s="22">
        <v>2288</v>
      </c>
      <c r="AI72" s="23">
        <v>8.7999999999999995E-2</v>
      </c>
      <c r="AJ72" s="23">
        <v>3.4000000000000002E-2</v>
      </c>
      <c r="AK72" s="23">
        <v>2.5000000000000001E-2</v>
      </c>
      <c r="AL72" s="22">
        <v>2137722</v>
      </c>
      <c r="AM72" s="24">
        <v>154</v>
      </c>
      <c r="AN72" s="22">
        <v>0</v>
      </c>
      <c r="AO72" s="22">
        <v>0</v>
      </c>
      <c r="AP72" s="19">
        <v>23.659599485200125</v>
      </c>
      <c r="AQ72" s="23">
        <f>DataTable[[#This Row],[Sens_3]]/AVERAGEIF(DataTable[Strålkälla],DataTable[[#This Row],[Strålkälla]],DataTable[Sens_3])</f>
        <v>1.0019581200596694</v>
      </c>
      <c r="AR72" s="22">
        <v>1813</v>
      </c>
      <c r="AS72" s="22">
        <v>2184</v>
      </c>
      <c r="AT72" s="23">
        <v>9.2999999999999999E-2</v>
      </c>
      <c r="AU72" s="23">
        <v>3.6999999999999998E-2</v>
      </c>
      <c r="AV72" s="23">
        <v>2.5000000000000001E-2</v>
      </c>
      <c r="AW72" s="22">
        <v>2071562</v>
      </c>
      <c r="AX72" s="24">
        <v>154</v>
      </c>
      <c r="AY72" s="22">
        <v>1</v>
      </c>
      <c r="AZ72" s="22">
        <v>0</v>
      </c>
      <c r="BA72" s="19">
        <v>22.927362504928208</v>
      </c>
      <c r="BB72" s="23">
        <f>DataTable[[#This Row],[Sens_4]]/AVERAGEIF(DataTable[Strålkälla],DataTable[[#This Row],[Strålkälla]],DataTable[Sens_4])</f>
        <v>1.0034137572560815</v>
      </c>
      <c r="BC72" s="22">
        <v>2102</v>
      </c>
      <c r="BD72" s="22">
        <v>2447</v>
      </c>
      <c r="BE72" s="19">
        <v>7.5999999999999998E-2</v>
      </c>
      <c r="BF72" s="19">
        <v>2.9000000000000001E-2</v>
      </c>
      <c r="BG72" s="19">
        <v>2.3E-2</v>
      </c>
      <c r="BH72" s="19">
        <v>2333909</v>
      </c>
      <c r="BI72" s="19">
        <v>154</v>
      </c>
      <c r="BJ72" s="19">
        <v>0</v>
      </c>
      <c r="BK72" s="19">
        <v>0</v>
      </c>
      <c r="BL72" s="19">
        <v>25.830932261025492</v>
      </c>
      <c r="BM72" s="23">
        <f>DataTable[[#This Row],[Sens_5]]/AVERAGEIF(DataTable[Strålkälla],DataTable[[#This Row],[Strålkälla]],DataTable[Sens_5])</f>
        <v>1.0037818976261492</v>
      </c>
      <c r="BN72" s="19">
        <v>2055</v>
      </c>
      <c r="BO72" s="19">
        <v>2416</v>
      </c>
      <c r="BP72" s="19">
        <v>8.1000000000000003E-2</v>
      </c>
      <c r="BQ72" s="19">
        <v>3.9E-2</v>
      </c>
      <c r="BR72" s="19">
        <v>2.3E-2</v>
      </c>
      <c r="BS72" s="19">
        <v>2327276</v>
      </c>
      <c r="BT72" s="19">
        <v>154</v>
      </c>
      <c r="BU72" s="19">
        <v>1</v>
      </c>
      <c r="BV72" s="19">
        <v>0</v>
      </c>
      <c r="BW72" s="19">
        <v>25.7575204126255</v>
      </c>
      <c r="BX72" s="23">
        <f>DataTable[[#This Row],[Sens_6]]/AVERAGEIF(DataTable[Strålkälla],DataTable[[#This Row],[Strålkälla]],DataTable[Sens_6])</f>
        <v>1.0012846327052349</v>
      </c>
      <c r="BY72" s="19">
        <v>1830</v>
      </c>
      <c r="BZ72" s="19">
        <v>2202</v>
      </c>
      <c r="CA72" s="19">
        <v>9.1999999999999998E-2</v>
      </c>
      <c r="CB72" s="19">
        <v>4.4999999999999998E-2</v>
      </c>
      <c r="CC72" s="19">
        <v>2.5999999999999999E-2</v>
      </c>
      <c r="CD72" s="19">
        <v>2072182</v>
      </c>
      <c r="CE72" s="19">
        <v>154</v>
      </c>
      <c r="CF72" s="19">
        <v>0</v>
      </c>
      <c r="CG72" s="19">
        <v>0</v>
      </c>
      <c r="CH72" s="19">
        <v>22.93422445970101</v>
      </c>
      <c r="CI72" s="23">
        <f>DataTable[[#This Row],[Sens_7]]/AVERAGEIF(DataTable[Strålkälla],DataTable[[#This Row],[Strålkälla]],DataTable[Sens_7])</f>
        <v>1.0030074396717876</v>
      </c>
      <c r="CJ72" s="19">
        <v>2183</v>
      </c>
      <c r="CK72" s="19">
        <v>2605</v>
      </c>
      <c r="CL72" s="19">
        <v>8.7999999999999995E-2</v>
      </c>
      <c r="CM72" s="19">
        <v>4.2999999999999997E-2</v>
      </c>
      <c r="CN72" s="19">
        <v>2.4E-2</v>
      </c>
      <c r="CO72" s="19">
        <v>2452205</v>
      </c>
      <c r="CP72" s="19">
        <v>154</v>
      </c>
      <c r="CQ72" s="19">
        <v>0</v>
      </c>
      <c r="CR72" s="19">
        <v>0</v>
      </c>
      <c r="CS72" s="19">
        <v>27.140193231676136</v>
      </c>
      <c r="CT72" s="23">
        <f>DataTable[[#This Row],[Sens_8]]/AVERAGEIF(DataTable[Strålkälla],DataTable[[#This Row],[Strålkälla]],DataTable[Sens_8])</f>
        <v>1.0045097768489115</v>
      </c>
      <c r="CU72" s="19">
        <v>1734</v>
      </c>
      <c r="CV72" s="19">
        <v>2140</v>
      </c>
      <c r="CW72" s="19">
        <v>0.105</v>
      </c>
      <c r="CX72" s="19">
        <v>4.3999999999999997E-2</v>
      </c>
      <c r="CY72" s="19">
        <v>2.5999999999999999E-2</v>
      </c>
      <c r="CZ72" s="19">
        <v>1961989</v>
      </c>
      <c r="DA72" s="19">
        <v>150</v>
      </c>
      <c r="DB72" s="19">
        <v>0</v>
      </c>
      <c r="DC72" s="19">
        <v>2</v>
      </c>
      <c r="DD72" s="19">
        <v>22.293702005819647</v>
      </c>
      <c r="DE72" s="23">
        <f>DataTable[[#This Row],[Sens_9]]/AVERAGEIF(DataTable[Strålkälla],DataTable[[#This Row],[Strålkälla]],DataTable[Sens_9])</f>
        <v>0.99664259139880307</v>
      </c>
      <c r="DF72" s="19">
        <v>1690</v>
      </c>
      <c r="DG72" s="19">
        <v>2004</v>
      </c>
      <c r="DH72" s="19">
        <v>8.5000000000000006E-2</v>
      </c>
      <c r="DI72" s="19">
        <v>4.3999999999999997E-2</v>
      </c>
      <c r="DJ72" s="19">
        <v>2.7E-2</v>
      </c>
      <c r="DK72" s="19">
        <v>1906945</v>
      </c>
      <c r="DL72" s="19">
        <v>150</v>
      </c>
      <c r="DM72" s="19">
        <v>0</v>
      </c>
      <c r="DN72" s="19">
        <v>0</v>
      </c>
      <c r="DO72" s="19">
        <v>21.668247666774761</v>
      </c>
      <c r="DP72" s="23">
        <f>DataTable[[#This Row],[Sens_10]]/AVERAGEIF(DataTable[Strålkälla],DataTable[[#This Row],[Strålkälla]],DataTable[Sens_10])</f>
        <v>0.99871521563661914</v>
      </c>
      <c r="DQ72" s="19">
        <v>1459</v>
      </c>
      <c r="DR72" s="19">
        <v>1786</v>
      </c>
      <c r="DS72" s="19">
        <v>0.10100000000000001</v>
      </c>
      <c r="DT72" s="19">
        <v>4.1000000000000002E-2</v>
      </c>
      <c r="DU72" s="19">
        <v>2.8000000000000001E-2</v>
      </c>
      <c r="DV72" s="19">
        <v>1675624</v>
      </c>
      <c r="DW72" s="19">
        <v>150</v>
      </c>
      <c r="DX72" s="19">
        <v>0</v>
      </c>
      <c r="DY72" s="19">
        <v>0</v>
      </c>
      <c r="DZ72" s="19">
        <v>19.039791828496256</v>
      </c>
      <c r="EA72" s="19">
        <f>DataTable[[#This Row],[Sens_11]]/AVERAGEIF(DataTable[Strålkälla],DataTable[[#This Row],[Strålkälla]],DataTable[Sens_11])</f>
        <v>0.997798146691243</v>
      </c>
      <c r="EB72" s="19">
        <v>1788</v>
      </c>
      <c r="EC72" s="19">
        <v>2169</v>
      </c>
      <c r="ED72" s="19">
        <v>9.6000000000000002E-2</v>
      </c>
      <c r="EE72" s="19">
        <v>3.9E-2</v>
      </c>
      <c r="EF72" s="19">
        <v>2.5999999999999999E-2</v>
      </c>
      <c r="EG72" s="19">
        <v>1994407</v>
      </c>
      <c r="EH72" s="19">
        <v>150</v>
      </c>
      <c r="EI72" s="19">
        <v>0</v>
      </c>
      <c r="EJ72" s="19">
        <v>1</v>
      </c>
      <c r="EK72" s="19">
        <v>22.662061477572376</v>
      </c>
      <c r="EL72" s="23">
        <f>DataTable[[#This Row],[Sens_12]]/AVERAGEIF(DataTable[Strålkälla],DataTable[[#This Row],[Strålkälla]],DataTable[Sens_12])</f>
        <v>0.99821833198186571</v>
      </c>
      <c r="EM72" s="19">
        <v>1536</v>
      </c>
      <c r="EN72" s="19">
        <v>1819</v>
      </c>
      <c r="EO72" s="19">
        <v>8.4000000000000005E-2</v>
      </c>
      <c r="EP72" s="19">
        <v>3.4000000000000002E-2</v>
      </c>
      <c r="EQ72" s="19">
        <v>2.7E-2</v>
      </c>
      <c r="ER72" s="19">
        <v>1701473</v>
      </c>
      <c r="ES72" s="19">
        <v>161</v>
      </c>
      <c r="ET72" s="19">
        <v>0</v>
      </c>
      <c r="EU72" s="19">
        <v>0</v>
      </c>
      <c r="EV72" s="19">
        <v>18.012586045523591</v>
      </c>
      <c r="EW72" s="19">
        <f>DataTable[[#This Row],[Sens_13]]/AVERAGEIF(DataTable[Strålkälla],DataTable[[#This Row],[Strålkälla]],DataTable[Sens_13])</f>
        <v>0.99981054146944148</v>
      </c>
      <c r="EX72" s="19">
        <v>1240</v>
      </c>
      <c r="EY72" s="19">
        <v>1575</v>
      </c>
      <c r="EZ72" s="19">
        <v>0.11899999999999999</v>
      </c>
      <c r="FA72" s="19">
        <v>4.5999999999999999E-2</v>
      </c>
      <c r="FB72" s="19">
        <v>0.03</v>
      </c>
      <c r="FC72" s="19">
        <v>1439811</v>
      </c>
      <c r="FD72" s="19">
        <v>161</v>
      </c>
      <c r="FE72" s="19">
        <v>0</v>
      </c>
      <c r="FF72" s="19">
        <v>1</v>
      </c>
      <c r="FG72" s="19">
        <v>15.242510181937279</v>
      </c>
      <c r="FH72" s="19">
        <f>DataTable[[#This Row],[Sens_14]]/AVERAGEIF(DataTable[Strålkälla],DataTable[[#This Row],[Strålkälla]],DataTable[Sens_14])</f>
        <v>0.99835830694355088</v>
      </c>
      <c r="FI72" s="19">
        <v>1421</v>
      </c>
      <c r="FJ72" s="19">
        <v>1732</v>
      </c>
      <c r="FK72" s="19">
        <v>9.9000000000000005E-2</v>
      </c>
      <c r="FL72" s="19">
        <v>4.7E-2</v>
      </c>
      <c r="FM72" s="19">
        <v>2.7E-2</v>
      </c>
      <c r="FN72" s="19">
        <v>1630557</v>
      </c>
      <c r="FO72" s="19">
        <v>161</v>
      </c>
      <c r="FP72" s="19">
        <v>0</v>
      </c>
      <c r="FQ72" s="19">
        <v>0</v>
      </c>
      <c r="FR72" s="19">
        <v>17.261836223455095</v>
      </c>
      <c r="FS72" s="19">
        <f>DataTable[[#This Row],[Sens_15]]/AVERAGEIF(DataTable[Strålkälla],DataTable[[#This Row],[Strålkälla]],DataTable[Sens_15])</f>
        <v>0.99924739302154586</v>
      </c>
      <c r="FT72" s="19">
        <v>1302</v>
      </c>
      <c r="FU72" s="19">
        <v>1556</v>
      </c>
      <c r="FV72" s="19">
        <v>8.8999999999999996E-2</v>
      </c>
      <c r="FW72" s="19">
        <v>3.9E-2</v>
      </c>
      <c r="FX72" s="19">
        <v>0.03</v>
      </c>
      <c r="FY72" s="19">
        <v>1465890</v>
      </c>
      <c r="FZ72" s="19">
        <v>161</v>
      </c>
      <c r="GA72" s="19">
        <v>0</v>
      </c>
      <c r="GB72" s="19">
        <v>0</v>
      </c>
      <c r="GC72" s="19">
        <v>15.518594628461678</v>
      </c>
      <c r="GD72" s="19">
        <f>DataTable[[#This Row],[Sens_16]]/AVERAGEIF(DataTable[Strålkälla],DataTable[[#This Row],[Strålkälla]],DataTable[Sens_16])</f>
        <v>0.9984807438659915</v>
      </c>
      <c r="GE72" s="19">
        <v>1208</v>
      </c>
      <c r="GF72" s="19">
        <v>1516</v>
      </c>
      <c r="GG72" s="19">
        <v>0.113</v>
      </c>
      <c r="GH72" s="19">
        <v>4.2999999999999997E-2</v>
      </c>
      <c r="GI72" s="19">
        <v>0.03</v>
      </c>
      <c r="GJ72" s="19">
        <v>1409746</v>
      </c>
      <c r="GK72" s="19">
        <v>161</v>
      </c>
      <c r="GL72" s="19">
        <v>1</v>
      </c>
      <c r="GM72" s="19">
        <v>0</v>
      </c>
      <c r="GN72" s="19">
        <v>14.924228081981143</v>
      </c>
      <c r="GO72" s="19">
        <f>DataTable[[#This Row],[Sens_17]]/AVERAGEIF(DataTable[Strålkälla],DataTable[[#This Row],[Strålkälla]],DataTable[Sens_17])</f>
        <v>1.0001389123547864</v>
      </c>
      <c r="GP72" s="19">
        <v>1419</v>
      </c>
      <c r="GQ72" s="19">
        <v>1773</v>
      </c>
      <c r="GR72" s="19">
        <v>0.111</v>
      </c>
      <c r="GS72" s="19">
        <v>4.8000000000000001E-2</v>
      </c>
      <c r="GT72" s="19">
        <v>2.8000000000000001E-2</v>
      </c>
      <c r="GU72" s="19">
        <v>1632122</v>
      </c>
      <c r="GV72" s="19">
        <v>161</v>
      </c>
      <c r="GW72" s="19">
        <v>0</v>
      </c>
      <c r="GX72" s="19">
        <v>0</v>
      </c>
      <c r="GY72" s="19">
        <v>17.278404042727715</v>
      </c>
      <c r="GZ72" s="19">
        <f>DataTable[[#This Row],[Sens_18]]/AVERAGEIF(DataTable[Strålkälla],DataTable[[#This Row],[Strålkälla]],DataTable[Sens_18])</f>
        <v>1.000674802815269</v>
      </c>
      <c r="HA72" s="19">
        <v>1282</v>
      </c>
      <c r="HB72" s="19">
        <v>1583</v>
      </c>
      <c r="HC72" s="19">
        <v>0.105</v>
      </c>
      <c r="HD72" s="19">
        <v>4.9000000000000002E-2</v>
      </c>
      <c r="HE72" s="19">
        <v>0.03</v>
      </c>
      <c r="HF72" s="19">
        <v>1477739</v>
      </c>
      <c r="HG72" s="19">
        <v>161</v>
      </c>
      <c r="HH72" s="19">
        <v>0</v>
      </c>
      <c r="HI72" s="19">
        <v>0</v>
      </c>
      <c r="HJ72" s="19">
        <v>15.644033663964098</v>
      </c>
      <c r="HK72" s="19">
        <f>DataTable[[#This Row],[Sens_19]]/AVERAGEIF(DataTable[Strålkälla],DataTable[[#This Row],[Strålkälla]],DataTable[Sens_19])</f>
        <v>0.99981321266599776</v>
      </c>
      <c r="HL72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0.11899999999999999</v>
      </c>
      <c r="HM72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9.5263157894736827E-2</v>
      </c>
      <c r="HN72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4.9000000000000002E-2</v>
      </c>
      <c r="HO72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4.0842105263157902E-2</v>
      </c>
      <c r="HP72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0.99664259139880307</v>
      </c>
      <c r="HQ72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1.000480553560982</v>
      </c>
      <c r="HR72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1.0045097768489115</v>
      </c>
      <c r="HS72" s="49"/>
    </row>
    <row r="73" spans="2:227" x14ac:dyDescent="0.25">
      <c r="B73" s="19" t="s">
        <v>43</v>
      </c>
      <c r="C73" s="20">
        <v>42614</v>
      </c>
      <c r="D73" s="21">
        <v>0.31413194444444442</v>
      </c>
      <c r="E73" s="13" t="s">
        <v>217</v>
      </c>
      <c r="F73" s="13">
        <v>109.8</v>
      </c>
      <c r="G73" s="13">
        <v>134.19999999999999</v>
      </c>
      <c r="H73" s="24">
        <v>7.7584999999999997</v>
      </c>
      <c r="I73" s="22">
        <f>MATCH(DataTable[[#This Row],[Datum]],Övrigt!$D$10:$M$10,1)</f>
        <v>2</v>
      </c>
      <c r="J73" s="13"/>
      <c r="K73" s="22">
        <v>1762</v>
      </c>
      <c r="L73" s="22">
        <v>2165</v>
      </c>
      <c r="M73" s="23">
        <v>0.10299999999999999</v>
      </c>
      <c r="N73" s="23">
        <v>3.9E-2</v>
      </c>
      <c r="O73" s="23">
        <v>2.5999999999999999E-2</v>
      </c>
      <c r="P73" s="22">
        <v>2030348</v>
      </c>
      <c r="Q73" s="24">
        <v>155</v>
      </c>
      <c r="R73" s="22">
        <v>1</v>
      </c>
      <c r="S73" s="22">
        <v>0</v>
      </c>
      <c r="T73" s="19">
        <v>22.383265869649076</v>
      </c>
      <c r="U73" s="23">
        <f>DataTable[[#This Row],[Sens_1]]/AVERAGEIF(DataTable[Strålkälla],DataTable[[#This Row],[Strålkälla]],DataTable[Sens_1])</f>
        <v>0.99882559339889765</v>
      </c>
      <c r="V73" s="22">
        <v>2178</v>
      </c>
      <c r="W73" s="22">
        <v>2673</v>
      </c>
      <c r="X73" s="23">
        <v>0.10199999999999999</v>
      </c>
      <c r="Y73" s="23">
        <v>3.6999999999999998E-2</v>
      </c>
      <c r="Z73" s="23">
        <v>2.4E-2</v>
      </c>
      <c r="AA73" s="22">
        <v>2453119</v>
      </c>
      <c r="AB73" s="24">
        <v>155</v>
      </c>
      <c r="AC73" s="22">
        <v>0</v>
      </c>
      <c r="AD73" s="22">
        <v>1</v>
      </c>
      <c r="AE73" s="19">
        <v>27.044041113586278</v>
      </c>
      <c r="AF73" s="23">
        <f>DataTable[[#This Row],[Sens_2]]/AVERAGEIF(DataTable[Strålkälla],DataTable[[#This Row],[Strålkälla]],DataTable[Sens_2])</f>
        <v>1.0000789843887616</v>
      </c>
      <c r="AG73" s="22">
        <v>1896</v>
      </c>
      <c r="AH73" s="22">
        <v>2261</v>
      </c>
      <c r="AI73" s="23">
        <v>8.7999999999999995E-2</v>
      </c>
      <c r="AJ73" s="23">
        <v>3.4000000000000002E-2</v>
      </c>
      <c r="AK73" s="23">
        <v>2.4E-2</v>
      </c>
      <c r="AL73" s="22">
        <v>2140226</v>
      </c>
      <c r="AM73" s="24">
        <v>155</v>
      </c>
      <c r="AN73" s="22">
        <v>0</v>
      </c>
      <c r="AO73" s="22">
        <v>0</v>
      </c>
      <c r="AP73" s="19">
        <v>23.59459933919484</v>
      </c>
      <c r="AQ73" s="23">
        <f>DataTable[[#This Row],[Sens_3]]/AVERAGEIF(DataTable[Strålkälla],DataTable[[#This Row],[Strålkälla]],DataTable[Sens_3])</f>
        <v>0.99920543508138826</v>
      </c>
      <c r="AR73" s="22">
        <v>1826</v>
      </c>
      <c r="AS73" s="22">
        <v>2162</v>
      </c>
      <c r="AT73" s="23">
        <v>8.4000000000000005E-2</v>
      </c>
      <c r="AU73" s="23">
        <v>4.5999999999999999E-2</v>
      </c>
      <c r="AV73" s="23">
        <v>2.5000000000000001E-2</v>
      </c>
      <c r="AW73" s="22">
        <v>2073448</v>
      </c>
      <c r="AX73" s="24">
        <v>155</v>
      </c>
      <c r="AY73" s="22">
        <v>0</v>
      </c>
      <c r="AZ73" s="22">
        <v>0</v>
      </c>
      <c r="BA73" s="19">
        <v>22.858415331210285</v>
      </c>
      <c r="BB73" s="23">
        <f>DataTable[[#This Row],[Sens_4]]/AVERAGEIF(DataTable[Strålkälla],DataTable[[#This Row],[Strålkälla]],DataTable[Sens_4])</f>
        <v>1.0003962910029258</v>
      </c>
      <c r="BC73" s="22">
        <v>2086</v>
      </c>
      <c r="BD73" s="22">
        <v>2460</v>
      </c>
      <c r="BE73" s="19">
        <v>8.2000000000000003E-2</v>
      </c>
      <c r="BF73" s="19">
        <v>3.3000000000000002E-2</v>
      </c>
      <c r="BG73" s="19">
        <v>2.4E-2</v>
      </c>
      <c r="BH73" s="19">
        <v>2333716</v>
      </c>
      <c r="BI73" s="19">
        <v>155</v>
      </c>
      <c r="BJ73" s="19">
        <v>0</v>
      </c>
      <c r="BK73" s="19">
        <v>0</v>
      </c>
      <c r="BL73" s="19">
        <v>25.727700715470434</v>
      </c>
      <c r="BM73" s="23">
        <f>DataTable[[#This Row],[Sens_5]]/AVERAGEIF(DataTable[Strålkälla],DataTable[[#This Row],[Strålkälla]],DataTable[Sens_5])</f>
        <v>0.99977035225701494</v>
      </c>
      <c r="BN73" s="19">
        <v>2105</v>
      </c>
      <c r="BO73" s="19">
        <v>2530</v>
      </c>
      <c r="BP73" s="19">
        <v>9.1999999999999998E-2</v>
      </c>
      <c r="BQ73" s="19">
        <v>0.04</v>
      </c>
      <c r="BR73" s="19">
        <v>2.3E-2</v>
      </c>
      <c r="BS73" s="19">
        <v>2329464</v>
      </c>
      <c r="BT73" s="19">
        <v>155</v>
      </c>
      <c r="BU73" s="19">
        <v>0</v>
      </c>
      <c r="BV73" s="19">
        <v>1</v>
      </c>
      <c r="BW73" s="19">
        <v>25.680825181582769</v>
      </c>
      <c r="BX73" s="23">
        <f>DataTable[[#This Row],[Sens_6]]/AVERAGEIF(DataTable[Strålkälla],DataTable[[#This Row],[Strålkälla]],DataTable[Sens_6])</f>
        <v>0.99830322164490559</v>
      </c>
      <c r="BY73" s="19">
        <v>1847</v>
      </c>
      <c r="BZ73" s="19">
        <v>2212</v>
      </c>
      <c r="CA73" s="19">
        <v>0.09</v>
      </c>
      <c r="CB73" s="19">
        <v>3.5999999999999997E-2</v>
      </c>
      <c r="CC73" s="19">
        <v>2.7E-2</v>
      </c>
      <c r="CD73" s="19">
        <v>2069390</v>
      </c>
      <c r="CE73" s="19">
        <v>155</v>
      </c>
      <c r="CF73" s="19">
        <v>0</v>
      </c>
      <c r="CG73" s="19">
        <v>0</v>
      </c>
      <c r="CH73" s="19">
        <v>22.813678521117119</v>
      </c>
      <c r="CI73" s="23">
        <f>DataTable[[#This Row],[Sens_7]]/AVERAGEIF(DataTable[Strålkälla],DataTable[[#This Row],[Strålkälla]],DataTable[Sens_7])</f>
        <v>0.9977354727284834</v>
      </c>
      <c r="CJ73" s="19">
        <v>2166</v>
      </c>
      <c r="CK73" s="19">
        <v>2614</v>
      </c>
      <c r="CL73" s="19">
        <v>9.4E-2</v>
      </c>
      <c r="CM73" s="19">
        <v>3.3000000000000002E-2</v>
      </c>
      <c r="CN73" s="19">
        <v>2.5000000000000001E-2</v>
      </c>
      <c r="CO73" s="19">
        <v>2440965</v>
      </c>
      <c r="CP73" s="19">
        <v>155</v>
      </c>
      <c r="CQ73" s="19">
        <v>0</v>
      </c>
      <c r="CR73" s="19">
        <v>0</v>
      </c>
      <c r="CS73" s="19">
        <v>26.910051170295908</v>
      </c>
      <c r="CT73" s="23">
        <f>DataTable[[#This Row],[Sens_8]]/AVERAGEIF(DataTable[Strålkälla],DataTable[[#This Row],[Strålkälla]],DataTable[Sens_8])</f>
        <v>0.99599178477909889</v>
      </c>
      <c r="CU73" s="19">
        <v>1745</v>
      </c>
      <c r="CV73" s="19">
        <v>2068</v>
      </c>
      <c r="CW73" s="19">
        <v>8.5000000000000006E-2</v>
      </c>
      <c r="CX73" s="19">
        <v>4.2000000000000003E-2</v>
      </c>
      <c r="CY73" s="19">
        <v>2.7E-2</v>
      </c>
      <c r="CZ73" s="19">
        <v>1965839</v>
      </c>
      <c r="DA73" s="19">
        <v>150</v>
      </c>
      <c r="DB73" s="19">
        <v>0</v>
      </c>
      <c r="DC73" s="19">
        <v>0</v>
      </c>
      <c r="DD73" s="19">
        <v>22.394499314266607</v>
      </c>
      <c r="DE73" s="23">
        <f>DataTable[[#This Row],[Sens_9]]/AVERAGEIF(DataTable[Strålkälla],DataTable[[#This Row],[Strålkälla]],DataTable[Sens_9])</f>
        <v>1.0011487470238483</v>
      </c>
      <c r="DF73" s="19">
        <v>1688</v>
      </c>
      <c r="DG73" s="19">
        <v>2019</v>
      </c>
      <c r="DH73" s="19">
        <v>8.8999999999999996E-2</v>
      </c>
      <c r="DI73" s="19">
        <v>3.5999999999999997E-2</v>
      </c>
      <c r="DJ73" s="19">
        <v>2.5999999999999999E-2</v>
      </c>
      <c r="DK73" s="19">
        <v>1905275</v>
      </c>
      <c r="DL73" s="19">
        <v>150</v>
      </c>
      <c r="DM73" s="19">
        <v>0</v>
      </c>
      <c r="DN73" s="19">
        <v>0</v>
      </c>
      <c r="DO73" s="19">
        <v>21.704564657120603</v>
      </c>
      <c r="DP73" s="23">
        <f>DataTable[[#This Row],[Sens_10]]/AVERAGEIF(DataTable[Strålkälla],DataTable[[#This Row],[Strålkälla]],DataTable[Sens_10])</f>
        <v>1.000389108763664</v>
      </c>
      <c r="DQ73" s="19">
        <v>1492</v>
      </c>
      <c r="DR73" s="19">
        <v>1756</v>
      </c>
      <c r="DS73" s="19">
        <v>8.1000000000000003E-2</v>
      </c>
      <c r="DT73" s="19">
        <v>4.2000000000000003E-2</v>
      </c>
      <c r="DU73" s="19">
        <v>2.7E-2</v>
      </c>
      <c r="DV73" s="19">
        <v>1675803</v>
      </c>
      <c r="DW73" s="19">
        <v>150</v>
      </c>
      <c r="DX73" s="19">
        <v>0</v>
      </c>
      <c r="DY73" s="19">
        <v>0</v>
      </c>
      <c r="DZ73" s="19">
        <v>19.090459154765941</v>
      </c>
      <c r="EA73" s="19">
        <f>DataTable[[#This Row],[Sens_11]]/AVERAGEIF(DataTable[Strålkälla],DataTable[[#This Row],[Strålkälla]],DataTable[Sens_11])</f>
        <v>1.0004534154412945</v>
      </c>
      <c r="EB73" s="19">
        <v>1755</v>
      </c>
      <c r="EC73" s="19">
        <v>2136</v>
      </c>
      <c r="ED73" s="19">
        <v>9.8000000000000004E-2</v>
      </c>
      <c r="EE73" s="19">
        <v>4.1000000000000002E-2</v>
      </c>
      <c r="EF73" s="19">
        <v>2.7E-2</v>
      </c>
      <c r="EG73" s="19">
        <v>1992441</v>
      </c>
      <c r="EH73" s="19">
        <v>150</v>
      </c>
      <c r="EI73" s="19">
        <v>0</v>
      </c>
      <c r="EJ73" s="19">
        <v>0</v>
      </c>
      <c r="EK73" s="19">
        <v>22.69754471664092</v>
      </c>
      <c r="EL73" s="23">
        <f>DataTable[[#This Row],[Sens_12]]/AVERAGEIF(DataTable[Strålkälla],DataTable[[#This Row],[Strålkälla]],DataTable[Sens_12])</f>
        <v>0.99978129745838995</v>
      </c>
      <c r="EM73" s="19">
        <v>1507</v>
      </c>
      <c r="EN73" s="19">
        <v>1858</v>
      </c>
      <c r="EO73" s="19">
        <v>0.104</v>
      </c>
      <c r="EP73" s="19">
        <v>4.2000000000000003E-2</v>
      </c>
      <c r="EQ73" s="19">
        <v>2.7E-2</v>
      </c>
      <c r="ER73" s="19">
        <v>1702185</v>
      </c>
      <c r="ES73" s="19">
        <v>161</v>
      </c>
      <c r="ET73" s="19">
        <v>0</v>
      </c>
      <c r="EU73" s="19">
        <v>1</v>
      </c>
      <c r="EV73" s="19">
        <v>18.066147535742747</v>
      </c>
      <c r="EW73" s="19">
        <f>DataTable[[#This Row],[Sens_13]]/AVERAGEIF(DataTable[Strålkälla],DataTable[[#This Row],[Strålkälla]],DataTable[Sens_13])</f>
        <v>1.0027835372626375</v>
      </c>
      <c r="EX73" s="19">
        <v>1284</v>
      </c>
      <c r="EY73" s="19">
        <v>1567</v>
      </c>
      <c r="EZ73" s="19">
        <v>9.9000000000000005E-2</v>
      </c>
      <c r="FA73" s="19">
        <v>4.9000000000000002E-2</v>
      </c>
      <c r="FB73" s="19">
        <v>3.1E-2</v>
      </c>
      <c r="FC73" s="19">
        <v>1442566</v>
      </c>
      <c r="FD73" s="19">
        <v>161</v>
      </c>
      <c r="FE73" s="19">
        <v>0</v>
      </c>
      <c r="FF73" s="19">
        <v>0</v>
      </c>
      <c r="FG73" s="19">
        <v>15.310680205762754</v>
      </c>
      <c r="FH73" s="19">
        <f>DataTable[[#This Row],[Sens_14]]/AVERAGEIF(DataTable[Strålkälla],DataTable[[#This Row],[Strålkälla]],DataTable[Sens_14])</f>
        <v>1.0028233267308659</v>
      </c>
      <c r="FI73" s="19">
        <v>1452</v>
      </c>
      <c r="FJ73" s="19">
        <v>1723</v>
      </c>
      <c r="FK73" s="19">
        <v>8.5000000000000006E-2</v>
      </c>
      <c r="FL73" s="19">
        <v>3.7999999999999999E-2</v>
      </c>
      <c r="FM73" s="19">
        <v>2.8000000000000001E-2</v>
      </c>
      <c r="FN73" s="19">
        <v>1630068</v>
      </c>
      <c r="FO73" s="19">
        <v>161</v>
      </c>
      <c r="FP73" s="19">
        <v>0</v>
      </c>
      <c r="FQ73" s="19">
        <v>0</v>
      </c>
      <c r="FR73" s="19">
        <v>17.300733458051333</v>
      </c>
      <c r="FS73" s="19">
        <f>DataTable[[#This Row],[Sens_15]]/AVERAGEIF(DataTable[Strålkälla],DataTable[[#This Row],[Strålkälla]],DataTable[Sens_15])</f>
        <v>1.0014990631082556</v>
      </c>
      <c r="FT73" s="19">
        <v>1298</v>
      </c>
      <c r="FU73" s="19">
        <v>1582</v>
      </c>
      <c r="FV73" s="19">
        <v>9.9000000000000005E-2</v>
      </c>
      <c r="FW73" s="19">
        <v>0.04</v>
      </c>
      <c r="FX73" s="19">
        <v>2.9000000000000001E-2</v>
      </c>
      <c r="FY73" s="19">
        <v>1467789</v>
      </c>
      <c r="FZ73" s="19">
        <v>161</v>
      </c>
      <c r="GA73" s="19">
        <v>0</v>
      </c>
      <c r="GB73" s="19">
        <v>0</v>
      </c>
      <c r="GC73" s="19">
        <v>15.578384620555529</v>
      </c>
      <c r="GD73" s="19">
        <f>DataTable[[#This Row],[Sens_16]]/AVERAGEIF(DataTable[Strålkälla],DataTable[[#This Row],[Strålkälla]],DataTable[Sens_16])</f>
        <v>1.0023276873045499</v>
      </c>
      <c r="GE73" s="19">
        <v>1244</v>
      </c>
      <c r="GF73" s="19">
        <v>1530</v>
      </c>
      <c r="GG73" s="19">
        <v>0.10299999999999999</v>
      </c>
      <c r="GH73" s="19">
        <v>5.5E-2</v>
      </c>
      <c r="GI73" s="19">
        <v>0.03</v>
      </c>
      <c r="GJ73" s="19">
        <v>1407227</v>
      </c>
      <c r="GK73" s="19">
        <v>161</v>
      </c>
      <c r="GL73" s="19">
        <v>0</v>
      </c>
      <c r="GM73" s="19">
        <v>0</v>
      </c>
      <c r="GN73" s="19">
        <v>14.935609583142055</v>
      </c>
      <c r="GO73" s="19">
        <f>DataTable[[#This Row],[Sens_17]]/AVERAGEIF(DataTable[Strålkälla],DataTable[[#This Row],[Strålkälla]],DataTable[Sens_17])</f>
        <v>1.0009016373767781</v>
      </c>
      <c r="GP73" s="19">
        <v>1421</v>
      </c>
      <c r="GQ73" s="19">
        <v>1743</v>
      </c>
      <c r="GR73" s="19">
        <v>0.10199999999999999</v>
      </c>
      <c r="GS73" s="19">
        <v>4.2999999999999997E-2</v>
      </c>
      <c r="GT73" s="19">
        <v>2.8000000000000001E-2</v>
      </c>
      <c r="GU73" s="19">
        <v>1629508</v>
      </c>
      <c r="GV73" s="19">
        <v>161</v>
      </c>
      <c r="GW73" s="19">
        <v>0</v>
      </c>
      <c r="GX73" s="19">
        <v>0</v>
      </c>
      <c r="GY73" s="19">
        <v>17.294789895735828</v>
      </c>
      <c r="GZ73" s="19">
        <f>DataTable[[#This Row],[Sens_18]]/AVERAGEIF(DataTable[Strålkälla],DataTable[[#This Row],[Strålkälla]],DataTable[Sens_18])</f>
        <v>1.0016237857298544</v>
      </c>
      <c r="HA73" s="19">
        <v>1302</v>
      </c>
      <c r="HB73" s="19">
        <v>1649</v>
      </c>
      <c r="HC73" s="19">
        <v>0.11799999999999999</v>
      </c>
      <c r="HD73" s="19">
        <v>6.0999999999999999E-2</v>
      </c>
      <c r="HE73" s="19">
        <v>0.03</v>
      </c>
      <c r="HF73" s="19">
        <v>1478236</v>
      </c>
      <c r="HG73" s="19">
        <v>161</v>
      </c>
      <c r="HH73" s="19">
        <v>0</v>
      </c>
      <c r="HI73" s="19">
        <v>1</v>
      </c>
      <c r="HJ73" s="19">
        <v>15.689263898252079</v>
      </c>
      <c r="HK73" s="19">
        <f>DataTable[[#This Row],[Sens_19]]/AVERAGEIF(DataTable[Strålkälla],DataTable[[#This Row],[Strålkälla]],DataTable[Sens_19])</f>
        <v>1.0027038856742814</v>
      </c>
      <c r="HL73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0.11799999999999999</v>
      </c>
      <c r="HM73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9.4631578947368428E-2</v>
      </c>
      <c r="HN73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6.0999999999999999E-2</v>
      </c>
      <c r="HO73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4.1421052631578956E-2</v>
      </c>
      <c r="HP73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0.99599178477909889</v>
      </c>
      <c r="HQ73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1.0003548751134681</v>
      </c>
      <c r="HR73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1.0028233267308659</v>
      </c>
      <c r="HS73" s="49"/>
    </row>
    <row r="74" spans="2:227" x14ac:dyDescent="0.25">
      <c r="B74" s="19" t="s">
        <v>43</v>
      </c>
      <c r="C74" s="20">
        <v>42618</v>
      </c>
      <c r="D74" s="21">
        <v>0.33935185185185185</v>
      </c>
      <c r="E74" s="13" t="s">
        <v>217</v>
      </c>
      <c r="F74" s="13">
        <v>109.8</v>
      </c>
      <c r="G74" s="13">
        <v>134.19999999999999</v>
      </c>
      <c r="H74" s="24">
        <v>7.8494000000000002</v>
      </c>
      <c r="I74" s="22">
        <f>MATCH(DataTable[[#This Row],[Datum]],Övrigt!$D$10:$M$10,1)</f>
        <v>2</v>
      </c>
      <c r="J74" s="13"/>
      <c r="K74" s="22">
        <v>1780</v>
      </c>
      <c r="L74" s="22">
        <v>2152</v>
      </c>
      <c r="M74" s="23">
        <v>9.5000000000000001E-2</v>
      </c>
      <c r="N74" s="23">
        <v>3.5999999999999997E-2</v>
      </c>
      <c r="O74" s="23">
        <v>2.7E-2</v>
      </c>
      <c r="P74" s="22">
        <v>2031249</v>
      </c>
      <c r="Q74" s="24">
        <v>156</v>
      </c>
      <c r="R74" s="22">
        <v>0</v>
      </c>
      <c r="S74" s="22">
        <v>0</v>
      </c>
      <c r="T74" s="19">
        <v>22.477830034575241</v>
      </c>
      <c r="U74" s="23">
        <f>DataTable[[#This Row],[Sens_1]]/AVERAGEIF(DataTable[Strålkälla],DataTable[[#This Row],[Strålkälla]],DataTable[Sens_1])</f>
        <v>1.0030454024605737</v>
      </c>
      <c r="V74" s="22">
        <v>2196</v>
      </c>
      <c r="W74" s="22">
        <v>2605</v>
      </c>
      <c r="X74" s="23">
        <v>8.5000000000000006E-2</v>
      </c>
      <c r="Y74" s="23">
        <v>3.6999999999999998E-2</v>
      </c>
      <c r="Z74" s="23">
        <v>2.4E-2</v>
      </c>
      <c r="AA74" s="22">
        <v>2452860</v>
      </c>
      <c r="AB74" s="24">
        <v>156</v>
      </c>
      <c r="AC74" s="22">
        <v>0</v>
      </c>
      <c r="AD74" s="22">
        <v>0</v>
      </c>
      <c r="AE74" s="19">
        <v>27.143383296980442</v>
      </c>
      <c r="AF74" s="23">
        <f>DataTable[[#This Row],[Sens_2]]/AVERAGEIF(DataTable[Strålkälla],DataTable[[#This Row],[Strålkälla]],DataTable[Sens_2])</f>
        <v>1.0037526228608571</v>
      </c>
      <c r="AG74" s="22">
        <v>1903</v>
      </c>
      <c r="AH74" s="22">
        <v>2325</v>
      </c>
      <c r="AI74" s="23">
        <v>0.1</v>
      </c>
      <c r="AJ74" s="23">
        <v>3.9E-2</v>
      </c>
      <c r="AK74" s="23">
        <v>2.5000000000000001E-2</v>
      </c>
      <c r="AL74" s="22">
        <v>2143251</v>
      </c>
      <c r="AM74" s="24">
        <v>156</v>
      </c>
      <c r="AN74" s="22">
        <v>0</v>
      </c>
      <c r="AO74" s="22">
        <v>1</v>
      </c>
      <c r="AP74" s="19">
        <v>23.717245743595896</v>
      </c>
      <c r="AQ74" s="23">
        <f>DataTable[[#This Row],[Sens_3]]/AVERAGEIF(DataTable[Strålkälla],DataTable[[#This Row],[Strålkälla]],DataTable[Sens_3])</f>
        <v>1.0043993759535754</v>
      </c>
      <c r="AR74" s="22">
        <v>1805</v>
      </c>
      <c r="AS74" s="22">
        <v>2197</v>
      </c>
      <c r="AT74" s="23">
        <v>9.8000000000000004E-2</v>
      </c>
      <c r="AU74" s="23">
        <v>3.5999999999999997E-2</v>
      </c>
      <c r="AV74" s="23">
        <v>2.5000000000000001E-2</v>
      </c>
      <c r="AW74" s="22">
        <v>2070012</v>
      </c>
      <c r="AX74" s="24">
        <v>156</v>
      </c>
      <c r="AY74" s="22">
        <v>1</v>
      </c>
      <c r="AZ74" s="22">
        <v>0</v>
      </c>
      <c r="BA74" s="19">
        <v>22.906781938369527</v>
      </c>
      <c r="BB74" s="23">
        <f>DataTable[[#This Row],[Sens_4]]/AVERAGEIF(DataTable[Strålkälla],DataTable[[#This Row],[Strålkälla]],DataTable[Sens_4])</f>
        <v>1.0025130507918005</v>
      </c>
      <c r="BC74" s="22">
        <v>2088</v>
      </c>
      <c r="BD74" s="22">
        <v>2490</v>
      </c>
      <c r="BE74" s="19">
        <v>8.7999999999999995E-2</v>
      </c>
      <c r="BF74" s="19">
        <v>3.7999999999999999E-2</v>
      </c>
      <c r="BG74" s="19">
        <v>2.4E-2</v>
      </c>
      <c r="BH74" s="19">
        <v>2334201</v>
      </c>
      <c r="BI74" s="19">
        <v>156</v>
      </c>
      <c r="BJ74" s="19">
        <v>0</v>
      </c>
      <c r="BK74" s="19">
        <v>0</v>
      </c>
      <c r="BL74" s="19">
        <v>25.830301132227298</v>
      </c>
      <c r="BM74" s="23">
        <f>DataTable[[#This Row],[Sens_5]]/AVERAGEIF(DataTable[Strålkälla],DataTable[[#This Row],[Strålkälla]],DataTable[Sens_5])</f>
        <v>1.0037573721596931</v>
      </c>
      <c r="BN74" s="19">
        <v>2062</v>
      </c>
      <c r="BO74" s="19">
        <v>2438</v>
      </c>
      <c r="BP74" s="19">
        <v>8.4000000000000005E-2</v>
      </c>
      <c r="BQ74" s="19">
        <v>3.5000000000000003E-2</v>
      </c>
      <c r="BR74" s="19">
        <v>2.4E-2</v>
      </c>
      <c r="BS74" s="19">
        <v>2328012</v>
      </c>
      <c r="BT74" s="19">
        <v>156</v>
      </c>
      <c r="BU74" s="19">
        <v>0</v>
      </c>
      <c r="BV74" s="19">
        <v>0</v>
      </c>
      <c r="BW74" s="19">
        <v>25.761813571084382</v>
      </c>
      <c r="BX74" s="23">
        <f>DataTable[[#This Row],[Sens_6]]/AVERAGEIF(DataTable[Strålkälla],DataTable[[#This Row],[Strålkälla]],DataTable[Sens_6])</f>
        <v>1.0014515227444074</v>
      </c>
      <c r="BY74" s="19">
        <v>1834</v>
      </c>
      <c r="BZ74" s="19">
        <v>2215</v>
      </c>
      <c r="CA74" s="19">
        <v>9.4E-2</v>
      </c>
      <c r="CB74" s="19">
        <v>4.2000000000000003E-2</v>
      </c>
      <c r="CC74" s="19">
        <v>2.5999999999999999E-2</v>
      </c>
      <c r="CD74" s="19">
        <v>2069488</v>
      </c>
      <c r="CE74" s="19">
        <v>156</v>
      </c>
      <c r="CF74" s="19">
        <v>0</v>
      </c>
      <c r="CG74" s="19">
        <v>0</v>
      </c>
      <c r="CH74" s="19">
        <v>22.900983346991456</v>
      </c>
      <c r="CI74" s="23">
        <f>DataTable[[#This Row],[Sens_7]]/AVERAGEIF(DataTable[Strålkälla],DataTable[[#This Row],[Strålkälla]],DataTable[Sens_7])</f>
        <v>1.0015536698523966</v>
      </c>
      <c r="CJ74" s="19">
        <v>2096</v>
      </c>
      <c r="CK74" s="19">
        <v>2654</v>
      </c>
      <c r="CL74" s="19">
        <v>0.11700000000000001</v>
      </c>
      <c r="CM74" s="19">
        <v>3.9E-2</v>
      </c>
      <c r="CN74" s="19">
        <v>2.5999999999999999E-2</v>
      </c>
      <c r="CO74" s="19">
        <v>2441020</v>
      </c>
      <c r="CP74" s="19">
        <v>156</v>
      </c>
      <c r="CQ74" s="19">
        <v>2</v>
      </c>
      <c r="CR74" s="19">
        <v>1</v>
      </c>
      <c r="CS74" s="19">
        <v>27.012361690269806</v>
      </c>
      <c r="CT74" s="23">
        <f>DataTable[[#This Row],[Sens_8]]/AVERAGEIF(DataTable[Strålkälla],DataTable[[#This Row],[Strålkälla]],DataTable[Sens_8])</f>
        <v>0.99977849022776633</v>
      </c>
      <c r="CU74" s="19">
        <v>1706</v>
      </c>
      <c r="CV74" s="19">
        <v>2084</v>
      </c>
      <c r="CW74" s="19">
        <v>0.1</v>
      </c>
      <c r="CX74" s="19">
        <v>4.7E-2</v>
      </c>
      <c r="CY74" s="19">
        <v>2.7E-2</v>
      </c>
      <c r="CZ74" s="19">
        <v>1965218</v>
      </c>
      <c r="DA74" s="19">
        <v>152</v>
      </c>
      <c r="DB74" s="19">
        <v>1</v>
      </c>
      <c r="DC74" s="19">
        <v>0</v>
      </c>
      <c r="DD74" s="19">
        <v>22.319422955124857</v>
      </c>
      <c r="DE74" s="23">
        <f>DataTable[[#This Row],[Sens_9]]/AVERAGEIF(DataTable[Strålkälla],DataTable[[#This Row],[Strålkälla]],DataTable[Sens_9])</f>
        <v>0.99779244948706902</v>
      </c>
      <c r="DF74" s="19">
        <v>1708</v>
      </c>
      <c r="DG74" s="19">
        <v>2028</v>
      </c>
      <c r="DH74" s="19">
        <v>8.5999999999999993E-2</v>
      </c>
      <c r="DI74" s="19">
        <v>3.3000000000000002E-2</v>
      </c>
      <c r="DJ74" s="19">
        <v>2.5999999999999999E-2</v>
      </c>
      <c r="DK74" s="19">
        <v>1902622</v>
      </c>
      <c r="DL74" s="19">
        <v>152</v>
      </c>
      <c r="DM74" s="19">
        <v>0</v>
      </c>
      <c r="DN74" s="19">
        <v>0</v>
      </c>
      <c r="DO74" s="19">
        <v>21.608506100455809</v>
      </c>
      <c r="DP74" s="23">
        <f>DataTable[[#This Row],[Sens_10]]/AVERAGEIF(DataTable[Strålkälla],DataTable[[#This Row],[Strålkälla]],DataTable[Sens_10])</f>
        <v>0.99596165604074149</v>
      </c>
      <c r="DQ74" s="19">
        <v>1489</v>
      </c>
      <c r="DR74" s="19">
        <v>1855</v>
      </c>
      <c r="DS74" s="19">
        <v>0.109</v>
      </c>
      <c r="DT74" s="19">
        <v>4.3999999999999997E-2</v>
      </c>
      <c r="DU74" s="19">
        <v>2.7E-2</v>
      </c>
      <c r="DV74" s="19">
        <v>1675664</v>
      </c>
      <c r="DW74" s="19">
        <v>152</v>
      </c>
      <c r="DX74" s="19">
        <v>0</v>
      </c>
      <c r="DY74" s="19">
        <v>1</v>
      </c>
      <c r="DZ74" s="19">
        <v>19.030893034094099</v>
      </c>
      <c r="EA74" s="19">
        <f>DataTable[[#This Row],[Sens_11]]/AVERAGEIF(DataTable[Strålkälla],DataTable[[#This Row],[Strålkälla]],DataTable[Sens_11])</f>
        <v>0.99733179702512065</v>
      </c>
      <c r="EB74" s="19">
        <v>1731</v>
      </c>
      <c r="EC74" s="19">
        <v>2139</v>
      </c>
      <c r="ED74" s="19">
        <v>0.105</v>
      </c>
      <c r="EE74" s="19">
        <v>5.1999999999999998E-2</v>
      </c>
      <c r="EF74" s="19">
        <v>2.8000000000000001E-2</v>
      </c>
      <c r="EG74" s="19">
        <v>1995571</v>
      </c>
      <c r="EH74" s="19">
        <v>152</v>
      </c>
      <c r="EI74" s="19">
        <v>1</v>
      </c>
      <c r="EJ74" s="19">
        <v>0</v>
      </c>
      <c r="EK74" s="19">
        <v>22.66414880485598</v>
      </c>
      <c r="EL74" s="23">
        <f>DataTable[[#This Row],[Sens_12]]/AVERAGEIF(DataTable[Strålkälla],DataTable[[#This Row],[Strålkälla]],DataTable[Sens_12])</f>
        <v>0.99831027456005528</v>
      </c>
      <c r="EM74" s="19">
        <v>1509</v>
      </c>
      <c r="EN74" s="19">
        <v>1804</v>
      </c>
      <c r="EO74" s="19">
        <v>8.8999999999999996E-2</v>
      </c>
      <c r="EP74" s="19">
        <v>4.2000000000000003E-2</v>
      </c>
      <c r="EQ74" s="19">
        <v>2.7E-2</v>
      </c>
      <c r="ER74" s="19">
        <v>1703574</v>
      </c>
      <c r="ES74" s="19">
        <v>163</v>
      </c>
      <c r="ET74" s="19">
        <v>0</v>
      </c>
      <c r="EU74" s="19">
        <v>0</v>
      </c>
      <c r="EV74" s="19">
        <v>18.042188489860877</v>
      </c>
      <c r="EW74" s="19">
        <f>DataTable[[#This Row],[Sens_13]]/AVERAGEIF(DataTable[Strålkälla],DataTable[[#This Row],[Strålkälla]],DataTable[Sens_13])</f>
        <v>1.0014536612206466</v>
      </c>
      <c r="EX74" s="19">
        <v>1252</v>
      </c>
      <c r="EY74" s="19">
        <v>1563</v>
      </c>
      <c r="EZ74" s="19">
        <v>0.11</v>
      </c>
      <c r="FA74" s="19">
        <v>4.9000000000000002E-2</v>
      </c>
      <c r="FB74" s="19">
        <v>0.03</v>
      </c>
      <c r="FC74" s="19">
        <v>1442593</v>
      </c>
      <c r="FD74" s="19">
        <v>163</v>
      </c>
      <c r="FE74" s="19">
        <v>0</v>
      </c>
      <c r="FF74" s="19">
        <v>0</v>
      </c>
      <c r="FG74" s="19">
        <v>15.278194443067266</v>
      </c>
      <c r="FH74" s="19">
        <f>DataTable[[#This Row],[Sens_14]]/AVERAGEIF(DataTable[Strålkälla],DataTable[[#This Row],[Strålkälla]],DataTable[Sens_14])</f>
        <v>1.0006955649214713</v>
      </c>
      <c r="FI74" s="19">
        <v>1405</v>
      </c>
      <c r="FJ74" s="19">
        <v>1736</v>
      </c>
      <c r="FK74" s="19">
        <v>0.105</v>
      </c>
      <c r="FL74" s="19">
        <v>4.3999999999999997E-2</v>
      </c>
      <c r="FM74" s="19">
        <v>2.7E-2</v>
      </c>
      <c r="FN74" s="19">
        <v>1629236</v>
      </c>
      <c r="FO74" s="19">
        <v>163</v>
      </c>
      <c r="FP74" s="19">
        <v>1</v>
      </c>
      <c r="FQ74" s="19">
        <v>0</v>
      </c>
      <c r="FR74" s="19">
        <v>17.254890604380542</v>
      </c>
      <c r="FS74" s="19">
        <f>DataTable[[#This Row],[Sens_15]]/AVERAGEIF(DataTable[Strålkälla],DataTable[[#This Row],[Strålkälla]],DataTable[Sens_15])</f>
        <v>0.99884532735116616</v>
      </c>
      <c r="FT74" s="19">
        <v>1293</v>
      </c>
      <c r="FU74" s="19">
        <v>1573</v>
      </c>
      <c r="FV74" s="19">
        <v>9.8000000000000004E-2</v>
      </c>
      <c r="FW74" s="19">
        <v>4.1000000000000002E-2</v>
      </c>
      <c r="FX74" s="19">
        <v>2.9000000000000001E-2</v>
      </c>
      <c r="FY74" s="19">
        <v>1468175</v>
      </c>
      <c r="FZ74" s="19">
        <v>163</v>
      </c>
      <c r="GA74" s="19">
        <v>0</v>
      </c>
      <c r="GB74" s="19">
        <v>0</v>
      </c>
      <c r="GC74" s="19">
        <v>15.549127942843395</v>
      </c>
      <c r="GD74" s="19">
        <f>DataTable[[#This Row],[Sens_16]]/AVERAGEIF(DataTable[Strålkälla],DataTable[[#This Row],[Strålkälla]],DataTable[Sens_16])</f>
        <v>1.0004452855778188</v>
      </c>
      <c r="GE74" s="19">
        <v>1229</v>
      </c>
      <c r="GF74" s="19">
        <v>1517</v>
      </c>
      <c r="GG74" s="19">
        <v>0.105</v>
      </c>
      <c r="GH74" s="19">
        <v>4.1000000000000002E-2</v>
      </c>
      <c r="GI74" s="19">
        <v>2.9000000000000001E-2</v>
      </c>
      <c r="GJ74" s="19">
        <v>1408155</v>
      </c>
      <c r="GK74" s="19">
        <v>163</v>
      </c>
      <c r="GL74" s="19">
        <v>0</v>
      </c>
      <c r="GM74" s="19">
        <v>0</v>
      </c>
      <c r="GN74" s="19">
        <v>14.913468938208757</v>
      </c>
      <c r="GO74" s="19">
        <f>DataTable[[#This Row],[Sens_17]]/AVERAGEIF(DataTable[Strålkälla],DataTable[[#This Row],[Strålkälla]],DataTable[Sens_17])</f>
        <v>0.99941789426987948</v>
      </c>
      <c r="GP74" s="19">
        <v>1453</v>
      </c>
      <c r="GQ74" s="19">
        <v>1761</v>
      </c>
      <c r="GR74" s="19">
        <v>9.6000000000000002E-2</v>
      </c>
      <c r="GS74" s="19">
        <v>4.9000000000000002E-2</v>
      </c>
      <c r="GT74" s="19">
        <v>2.8000000000000001E-2</v>
      </c>
      <c r="GU74" s="19">
        <v>1627581</v>
      </c>
      <c r="GV74" s="19">
        <v>163</v>
      </c>
      <c r="GW74" s="19">
        <v>0</v>
      </c>
      <c r="GX74" s="19">
        <v>0</v>
      </c>
      <c r="GY74" s="19">
        <v>17.237362852753247</v>
      </c>
      <c r="GZ74" s="19">
        <f>DataTable[[#This Row],[Sens_18]]/AVERAGEIF(DataTable[Strålkälla],DataTable[[#This Row],[Strålkälla]],DataTable[Sens_18])</f>
        <v>0.99829791172142446</v>
      </c>
      <c r="HA74" s="19">
        <v>1327</v>
      </c>
      <c r="HB74" s="19">
        <v>1586</v>
      </c>
      <c r="HC74" s="19">
        <v>8.8999999999999996E-2</v>
      </c>
      <c r="HD74" s="19">
        <v>4.8000000000000001E-2</v>
      </c>
      <c r="HE74" s="19">
        <v>2.9000000000000001E-2</v>
      </c>
      <c r="HF74" s="19">
        <v>1476843</v>
      </c>
      <c r="HG74" s="19">
        <v>163</v>
      </c>
      <c r="HH74" s="19">
        <v>0</v>
      </c>
      <c r="HI74" s="19">
        <v>0</v>
      </c>
      <c r="HJ74" s="19">
        <v>15.640928880067205</v>
      </c>
      <c r="HK74" s="19">
        <f>DataTable[[#This Row],[Sens_19]]/AVERAGEIF(DataTable[Strålkälla],DataTable[[#This Row],[Strålkälla]],DataTable[Sens_19])</f>
        <v>0.99961478532754633</v>
      </c>
      <c r="HL74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0.11700000000000001</v>
      </c>
      <c r="HM74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9.7526315789473683E-2</v>
      </c>
      <c r="HN74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5.1999999999999998E-2</v>
      </c>
      <c r="HO74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4.1684210526315803E-2</v>
      </c>
      <c r="HP74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0.99596165604074149</v>
      </c>
      <c r="HQ74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1.0004430586607371</v>
      </c>
      <c r="HR74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1.0043993759535754</v>
      </c>
      <c r="HS74" s="49"/>
    </row>
    <row r="75" spans="2:227" x14ac:dyDescent="0.25">
      <c r="B75" s="19" t="s">
        <v>43</v>
      </c>
      <c r="C75" s="20">
        <v>42620</v>
      </c>
      <c r="D75" s="21">
        <v>0.34538194444444442</v>
      </c>
      <c r="E75" s="13" t="s">
        <v>217</v>
      </c>
      <c r="F75" s="13">
        <v>109.8</v>
      </c>
      <c r="G75" s="13">
        <v>134.19999999999999</v>
      </c>
      <c r="H75" s="24">
        <v>7.8853999999999997</v>
      </c>
      <c r="I75" s="22">
        <f>MATCH(DataTable[[#This Row],[Datum]],Övrigt!$D$10:$M$10,1)</f>
        <v>2</v>
      </c>
      <c r="J75" s="13"/>
      <c r="K75" s="22">
        <v>1775</v>
      </c>
      <c r="L75" s="22">
        <v>2180</v>
      </c>
      <c r="M75" s="23">
        <v>0.10199999999999999</v>
      </c>
      <c r="N75" s="23">
        <v>3.5999999999999997E-2</v>
      </c>
      <c r="O75" s="23">
        <v>2.5999999999999999E-2</v>
      </c>
      <c r="P75" s="22">
        <v>2031377</v>
      </c>
      <c r="Q75" s="24">
        <v>157</v>
      </c>
      <c r="R75" s="22">
        <v>1</v>
      </c>
      <c r="S75" s="22">
        <v>0</v>
      </c>
      <c r="T75" s="19">
        <v>22.450306213856567</v>
      </c>
      <c r="U75" s="23">
        <f>DataTable[[#This Row],[Sens_1]]/AVERAGEIF(DataTable[Strålkälla],DataTable[[#This Row],[Strålkälla]],DataTable[Sens_1])</f>
        <v>1.0018171859562426</v>
      </c>
      <c r="V75" s="22">
        <v>2117</v>
      </c>
      <c r="W75" s="22">
        <v>2622</v>
      </c>
      <c r="X75" s="23">
        <v>0.107</v>
      </c>
      <c r="Y75" s="23">
        <v>3.4000000000000002E-2</v>
      </c>
      <c r="Z75" s="23">
        <v>2.4E-2</v>
      </c>
      <c r="AA75" s="22">
        <v>2452468</v>
      </c>
      <c r="AB75" s="24">
        <v>157</v>
      </c>
      <c r="AC75" s="22">
        <v>1</v>
      </c>
      <c r="AD75" s="22">
        <v>0</v>
      </c>
      <c r="AE75" s="19">
        <v>27.104106022508077</v>
      </c>
      <c r="AF75" s="23">
        <f>DataTable[[#This Row],[Sens_2]]/AVERAGEIF(DataTable[Strålkälla],DataTable[[#This Row],[Strålkälla]],DataTable[Sens_2])</f>
        <v>1.0023001632746988</v>
      </c>
      <c r="AG75" s="22">
        <v>1918</v>
      </c>
      <c r="AH75" s="22">
        <v>2328</v>
      </c>
      <c r="AI75" s="23">
        <v>9.7000000000000003E-2</v>
      </c>
      <c r="AJ75" s="23">
        <v>4.8000000000000001E-2</v>
      </c>
      <c r="AK75" s="23">
        <v>2.5999999999999999E-2</v>
      </c>
      <c r="AL75" s="22">
        <v>2138901</v>
      </c>
      <c r="AM75" s="24">
        <v>157</v>
      </c>
      <c r="AN75" s="22">
        <v>0</v>
      </c>
      <c r="AO75" s="22">
        <v>1</v>
      </c>
      <c r="AP75" s="19">
        <v>23.638636457498546</v>
      </c>
      <c r="AQ75" s="23">
        <f>DataTable[[#This Row],[Sens_3]]/AVERAGEIF(DataTable[Strålkälla],DataTable[[#This Row],[Strålkälla]],DataTable[Sens_3])</f>
        <v>1.0010703588006604</v>
      </c>
      <c r="AR75" s="22">
        <v>1851</v>
      </c>
      <c r="AS75" s="22">
        <v>2260</v>
      </c>
      <c r="AT75" s="23">
        <v>9.9000000000000005E-2</v>
      </c>
      <c r="AU75" s="23">
        <v>3.5999999999999997E-2</v>
      </c>
      <c r="AV75" s="23">
        <v>2.4E-2</v>
      </c>
      <c r="AW75" s="22">
        <v>2070866</v>
      </c>
      <c r="AX75" s="24">
        <v>157</v>
      </c>
      <c r="AY75" s="22">
        <v>0</v>
      </c>
      <c r="AZ75" s="22">
        <v>1</v>
      </c>
      <c r="BA75" s="19">
        <v>22.886729458817488</v>
      </c>
      <c r="BB75" s="23">
        <f>DataTable[[#This Row],[Sens_4]]/AVERAGEIF(DataTable[Strålkälla],DataTable[[#This Row],[Strålkälla]],DataTable[Sens_4])</f>
        <v>1.0016354560032465</v>
      </c>
      <c r="BC75" s="22">
        <v>2108</v>
      </c>
      <c r="BD75" s="22">
        <v>2433</v>
      </c>
      <c r="BE75" s="19">
        <v>7.1999999999999995E-2</v>
      </c>
      <c r="BF75" s="19">
        <v>3.7999999999999999E-2</v>
      </c>
      <c r="BG75" s="19">
        <v>2.3E-2</v>
      </c>
      <c r="BH75" s="19">
        <v>2334805</v>
      </c>
      <c r="BI75" s="19">
        <v>157</v>
      </c>
      <c r="BJ75" s="19">
        <v>0</v>
      </c>
      <c r="BK75" s="19">
        <v>0</v>
      </c>
      <c r="BL75" s="19">
        <v>25.803721908657714</v>
      </c>
      <c r="BM75" s="23">
        <f>DataTable[[#This Row],[Sens_5]]/AVERAGEIF(DataTable[Strålkälla],DataTable[[#This Row],[Strålkälla]],DataTable[Sens_5])</f>
        <v>1.0027245118973338</v>
      </c>
      <c r="BN75" s="19">
        <v>2066</v>
      </c>
      <c r="BO75" s="19">
        <v>2445</v>
      </c>
      <c r="BP75" s="19">
        <v>8.4000000000000005E-2</v>
      </c>
      <c r="BQ75" s="19">
        <v>3.9E-2</v>
      </c>
      <c r="BR75" s="19">
        <v>2.4E-2</v>
      </c>
      <c r="BS75" s="19">
        <v>2327590</v>
      </c>
      <c r="BT75" s="19">
        <v>157</v>
      </c>
      <c r="BU75" s="19">
        <v>0</v>
      </c>
      <c r="BV75" s="19">
        <v>0</v>
      </c>
      <c r="BW75" s="19">
        <v>25.723983406482603</v>
      </c>
      <c r="BX75" s="23">
        <f>DataTable[[#This Row],[Sens_6]]/AVERAGEIF(DataTable[Strålkälla],DataTable[[#This Row],[Strålkälla]],DataTable[Sens_6])</f>
        <v>0.99998093233579399</v>
      </c>
      <c r="BY75" s="19">
        <v>1816</v>
      </c>
      <c r="BZ75" s="19">
        <v>2234</v>
      </c>
      <c r="CA75" s="19">
        <v>0.10299999999999999</v>
      </c>
      <c r="CB75" s="19">
        <v>3.4000000000000002E-2</v>
      </c>
      <c r="CC75" s="19">
        <v>2.5999999999999999E-2</v>
      </c>
      <c r="CD75" s="19">
        <v>2067482</v>
      </c>
      <c r="CE75" s="19">
        <v>157</v>
      </c>
      <c r="CF75" s="19">
        <v>0</v>
      </c>
      <c r="CG75" s="19">
        <v>2</v>
      </c>
      <c r="CH75" s="19">
        <v>22.849330277755733</v>
      </c>
      <c r="CI75" s="23">
        <f>DataTable[[#This Row],[Sens_7]]/AVERAGEIF(DataTable[Strålkälla],DataTable[[#This Row],[Strålkälla]],DataTable[Sens_7])</f>
        <v>0.99929466986674864</v>
      </c>
      <c r="CJ75" s="19">
        <v>2156</v>
      </c>
      <c r="CK75" s="19">
        <v>2561</v>
      </c>
      <c r="CL75" s="19">
        <v>8.5999999999999993E-2</v>
      </c>
      <c r="CM75" s="19">
        <v>3.5000000000000003E-2</v>
      </c>
      <c r="CN75" s="19">
        <v>2.3E-2</v>
      </c>
      <c r="CO75" s="19">
        <v>2446188</v>
      </c>
      <c r="CP75" s="19">
        <v>157</v>
      </c>
      <c r="CQ75" s="19">
        <v>1</v>
      </c>
      <c r="CR75" s="19">
        <v>0</v>
      </c>
      <c r="CS75" s="19">
        <v>27.034700922901742</v>
      </c>
      <c r="CT75" s="23">
        <f>DataTable[[#This Row],[Sens_8]]/AVERAGEIF(DataTable[Strålkälla],DataTable[[#This Row],[Strålkälla]],DataTable[Sens_8])</f>
        <v>1.0006053073913188</v>
      </c>
      <c r="CU75" s="19">
        <v>1730</v>
      </c>
      <c r="CV75" s="19">
        <v>2109</v>
      </c>
      <c r="CW75" s="19">
        <v>9.9000000000000005E-2</v>
      </c>
      <c r="CX75" s="19">
        <v>4.1000000000000002E-2</v>
      </c>
      <c r="CY75" s="19">
        <v>2.7E-2</v>
      </c>
      <c r="CZ75" s="19">
        <v>1966090</v>
      </c>
      <c r="DA75" s="19">
        <v>152</v>
      </c>
      <c r="DB75" s="19">
        <v>0</v>
      </c>
      <c r="DC75" s="19">
        <v>0</v>
      </c>
      <c r="DD75" s="19">
        <v>22.443531625825727</v>
      </c>
      <c r="DE75" s="23">
        <f>DataTable[[#This Row],[Sens_9]]/AVERAGEIF(DataTable[Strålkälla],DataTable[[#This Row],[Strålkälla]],DataTable[Sens_9])</f>
        <v>1.0033407423255616</v>
      </c>
      <c r="DF75" s="19">
        <v>1690</v>
      </c>
      <c r="DG75" s="19">
        <v>2049</v>
      </c>
      <c r="DH75" s="19">
        <v>9.6000000000000002E-2</v>
      </c>
      <c r="DI75" s="19">
        <v>0.05</v>
      </c>
      <c r="DJ75" s="19">
        <v>2.5999999999999999E-2</v>
      </c>
      <c r="DK75" s="19">
        <v>1904819</v>
      </c>
      <c r="DL75" s="19">
        <v>152</v>
      </c>
      <c r="DM75" s="19">
        <v>0</v>
      </c>
      <c r="DN75" s="19">
        <v>0</v>
      </c>
      <c r="DO75" s="19">
        <v>21.744104017605366</v>
      </c>
      <c r="DP75" s="23">
        <f>DataTable[[#This Row],[Sens_10]]/AVERAGEIF(DataTable[Strålkälla],DataTable[[#This Row],[Strålkälla]],DataTable[Sens_10])</f>
        <v>1.0022115247494858</v>
      </c>
      <c r="DQ75" s="19">
        <v>1506</v>
      </c>
      <c r="DR75" s="19">
        <v>1772</v>
      </c>
      <c r="DS75" s="19">
        <v>8.1000000000000003E-2</v>
      </c>
      <c r="DT75" s="19">
        <v>3.7999999999999999E-2</v>
      </c>
      <c r="DU75" s="19">
        <v>2.7E-2</v>
      </c>
      <c r="DV75" s="19">
        <v>1675714</v>
      </c>
      <c r="DW75" s="19">
        <v>152</v>
      </c>
      <c r="DX75" s="19">
        <v>0</v>
      </c>
      <c r="DY75" s="19">
        <v>0</v>
      </c>
      <c r="DZ75" s="19">
        <v>19.128798862126828</v>
      </c>
      <c r="EA75" s="19">
        <f>DataTable[[#This Row],[Sens_11]]/AVERAGEIF(DataTable[Strålkälla],DataTable[[#This Row],[Strålkälla]],DataTable[Sens_11])</f>
        <v>1.0024626437613291</v>
      </c>
      <c r="EB75" s="19">
        <v>1775</v>
      </c>
      <c r="EC75" s="19">
        <v>2190</v>
      </c>
      <c r="ED75" s="19">
        <v>0.105</v>
      </c>
      <c r="EE75" s="19">
        <v>4.1000000000000002E-2</v>
      </c>
      <c r="EF75" s="19">
        <v>2.5999999999999999E-2</v>
      </c>
      <c r="EG75" s="19">
        <v>1992854</v>
      </c>
      <c r="EH75" s="19">
        <v>152</v>
      </c>
      <c r="EI75" s="19">
        <v>0</v>
      </c>
      <c r="EJ75" s="19">
        <v>1</v>
      </c>
      <c r="EK75" s="19">
        <v>22.749051047842826</v>
      </c>
      <c r="EL75" s="23">
        <f>DataTable[[#This Row],[Sens_12]]/AVERAGEIF(DataTable[Strålkälla],DataTable[[#This Row],[Strålkälla]],DataTable[Sens_12])</f>
        <v>1.0020500479897463</v>
      </c>
      <c r="EM75" s="19">
        <v>1494</v>
      </c>
      <c r="EN75" s="19">
        <v>1847</v>
      </c>
      <c r="EO75" s="19">
        <v>0.106</v>
      </c>
      <c r="EP75" s="19">
        <v>3.6999999999999998E-2</v>
      </c>
      <c r="EQ75" s="19">
        <v>2.7E-2</v>
      </c>
      <c r="ER75" s="19">
        <v>1703477</v>
      </c>
      <c r="ES75" s="19">
        <v>164</v>
      </c>
      <c r="ET75" s="19">
        <v>0</v>
      </c>
      <c r="EU75" s="19">
        <v>1</v>
      </c>
      <c r="EV75" s="19">
        <v>18.02286446068625</v>
      </c>
      <c r="EW75" s="19">
        <f>DataTable[[#This Row],[Sens_13]]/AVERAGEIF(DataTable[Strålkälla],DataTable[[#This Row],[Strålkälla]],DataTable[Sens_13])</f>
        <v>1.0003810574299623</v>
      </c>
      <c r="EX75" s="19">
        <v>1279</v>
      </c>
      <c r="EY75" s="19">
        <v>1542</v>
      </c>
      <c r="EZ75" s="19">
        <v>9.2999999999999999E-2</v>
      </c>
      <c r="FA75" s="19">
        <v>0.06</v>
      </c>
      <c r="FB75" s="19">
        <v>3.1E-2</v>
      </c>
      <c r="FC75" s="19">
        <v>1442686</v>
      </c>
      <c r="FD75" s="19">
        <v>164</v>
      </c>
      <c r="FE75" s="19">
        <v>0</v>
      </c>
      <c r="FF75" s="19">
        <v>0</v>
      </c>
      <c r="FG75" s="19">
        <v>15.263683769918586</v>
      </c>
      <c r="FH75" s="19">
        <f>DataTable[[#This Row],[Sens_14]]/AVERAGEIF(DataTable[Strålkälla],DataTable[[#This Row],[Strålkälla]],DataTable[Sens_14])</f>
        <v>0.99974514068659059</v>
      </c>
      <c r="FI75" s="19">
        <v>1440</v>
      </c>
      <c r="FJ75" s="19">
        <v>1734</v>
      </c>
      <c r="FK75" s="19">
        <v>9.2999999999999999E-2</v>
      </c>
      <c r="FL75" s="19">
        <v>0.04</v>
      </c>
      <c r="FM75" s="19">
        <v>2.8000000000000001E-2</v>
      </c>
      <c r="FN75" s="19">
        <v>1629608</v>
      </c>
      <c r="FO75" s="19">
        <v>164</v>
      </c>
      <c r="FP75" s="19">
        <v>0</v>
      </c>
      <c r="FQ75" s="19">
        <v>0</v>
      </c>
      <c r="FR75" s="19">
        <v>17.241327066963628</v>
      </c>
      <c r="FS75" s="19">
        <f>DataTable[[#This Row],[Sens_15]]/AVERAGEIF(DataTable[Strålkälla],DataTable[[#This Row],[Strålkälla]],DataTable[Sens_15])</f>
        <v>0.99806016584062041</v>
      </c>
      <c r="FT75" s="19">
        <v>1286</v>
      </c>
      <c r="FU75" s="19">
        <v>1564</v>
      </c>
      <c r="FV75" s="19">
        <v>9.8000000000000004E-2</v>
      </c>
      <c r="FW75" s="19">
        <v>4.1000000000000002E-2</v>
      </c>
      <c r="FX75" s="19">
        <v>0.03</v>
      </c>
      <c r="FY75" s="19">
        <v>1466751</v>
      </c>
      <c r="FZ75" s="19">
        <v>164</v>
      </c>
      <c r="GA75" s="19">
        <v>0</v>
      </c>
      <c r="GB75" s="19">
        <v>0</v>
      </c>
      <c r="GC75" s="19">
        <v>15.518292569007986</v>
      </c>
      <c r="GD75" s="19">
        <f>DataTable[[#This Row],[Sens_16]]/AVERAGEIF(DataTable[Strålkälla],DataTable[[#This Row],[Strålkälla]],DataTable[Sens_16])</f>
        <v>0.99846130908112629</v>
      </c>
      <c r="GE75" s="19">
        <v>1211</v>
      </c>
      <c r="GF75" s="19">
        <v>1514</v>
      </c>
      <c r="GG75" s="19">
        <v>0.111</v>
      </c>
      <c r="GH75" s="19">
        <v>4.2999999999999997E-2</v>
      </c>
      <c r="GI75" s="19">
        <v>0.03</v>
      </c>
      <c r="GJ75" s="19">
        <v>1407533</v>
      </c>
      <c r="GK75" s="19">
        <v>164</v>
      </c>
      <c r="GL75" s="19">
        <v>0</v>
      </c>
      <c r="GM75" s="19">
        <v>0</v>
      </c>
      <c r="GN75" s="19">
        <v>14.891763424421404</v>
      </c>
      <c r="GO75" s="19">
        <f>DataTable[[#This Row],[Sens_17]]/AVERAGEIF(DataTable[Strålkälla],DataTable[[#This Row],[Strålkälla]],DataTable[Sens_17])</f>
        <v>0.99796331123669768</v>
      </c>
      <c r="GP75" s="19">
        <v>1433</v>
      </c>
      <c r="GQ75" s="19">
        <v>1753</v>
      </c>
      <c r="GR75" s="19">
        <v>0.1</v>
      </c>
      <c r="GS75" s="19">
        <v>0.04</v>
      </c>
      <c r="GT75" s="19">
        <v>2.8000000000000001E-2</v>
      </c>
      <c r="GU75" s="19">
        <v>1629773</v>
      </c>
      <c r="GV75" s="19">
        <v>164</v>
      </c>
      <c r="GW75" s="19">
        <v>0</v>
      </c>
      <c r="GX75" s="19">
        <v>0</v>
      </c>
      <c r="GY75" s="19">
        <v>17.243072774499456</v>
      </c>
      <c r="GZ75" s="19">
        <f>DataTable[[#This Row],[Sens_18]]/AVERAGEIF(DataTable[Strålkälla],DataTable[[#This Row],[Strålkälla]],DataTable[Sens_18])</f>
        <v>0.99862860052829283</v>
      </c>
      <c r="HA75" s="19">
        <v>1266</v>
      </c>
      <c r="HB75" s="19">
        <v>1579</v>
      </c>
      <c r="HC75" s="19">
        <v>0.11</v>
      </c>
      <c r="HD75" s="19">
        <v>4.4999999999999998E-2</v>
      </c>
      <c r="HE75" s="19">
        <v>0.03</v>
      </c>
      <c r="HF75" s="19">
        <v>1476042</v>
      </c>
      <c r="HG75" s="19">
        <v>164</v>
      </c>
      <c r="HH75" s="19">
        <v>1</v>
      </c>
      <c r="HI75" s="19">
        <v>0</v>
      </c>
      <c r="HJ75" s="19">
        <v>15.616591773343728</v>
      </c>
      <c r="HK75" s="19">
        <f>DataTable[[#This Row],[Sens_19]]/AVERAGEIF(DataTable[Strålkälla],DataTable[[#This Row],[Strålkälla]],DataTable[Sens_19])</f>
        <v>0.99805939613682593</v>
      </c>
      <c r="HL75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0.111</v>
      </c>
      <c r="HM75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9.6947368421052643E-2</v>
      </c>
      <c r="HN75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0.06</v>
      </c>
      <c r="HO75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4.0842105263157902E-2</v>
      </c>
      <c r="HP75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0.99796331123669768</v>
      </c>
      <c r="HQ75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1.0005680276469622</v>
      </c>
      <c r="HR75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1.0033407423255616</v>
      </c>
      <c r="HS75" s="49"/>
    </row>
    <row r="76" spans="2:227" x14ac:dyDescent="0.25">
      <c r="B76" s="19" t="s">
        <v>43</v>
      </c>
      <c r="C76" s="20">
        <v>42625</v>
      </c>
      <c r="D76" s="21">
        <v>0.35769675925925926</v>
      </c>
      <c r="E76" s="13" t="s">
        <v>217</v>
      </c>
      <c r="F76" s="13">
        <v>109.8</v>
      </c>
      <c r="G76" s="13">
        <v>134.19999999999999</v>
      </c>
      <c r="H76" s="24">
        <v>7.9890999999999996</v>
      </c>
      <c r="I76" s="22">
        <f>MATCH(DataTable[[#This Row],[Datum]],Övrigt!$D$10:$M$10,1)</f>
        <v>2</v>
      </c>
      <c r="J76" s="13"/>
      <c r="K76" s="22">
        <v>1814</v>
      </c>
      <c r="L76" s="22">
        <v>2192</v>
      </c>
      <c r="M76" s="23">
        <v>9.4E-2</v>
      </c>
      <c r="N76" s="23">
        <v>4.1000000000000002E-2</v>
      </c>
      <c r="O76" s="23">
        <v>2.5999999999999999E-2</v>
      </c>
      <c r="P76" s="22">
        <v>2028715</v>
      </c>
      <c r="Q76" s="24">
        <v>159</v>
      </c>
      <c r="R76" s="22">
        <v>0</v>
      </c>
      <c r="S76" s="22">
        <v>1</v>
      </c>
      <c r="T76" s="19">
        <v>22.423027042923952</v>
      </c>
      <c r="U76" s="23">
        <f>DataTable[[#This Row],[Sens_1]]/AVERAGEIF(DataTable[Strålkälla],DataTable[[#This Row],[Strålkälla]],DataTable[Sens_1])</f>
        <v>1.0005998866464423</v>
      </c>
      <c r="V76" s="22">
        <v>2104</v>
      </c>
      <c r="W76" s="22">
        <v>2675</v>
      </c>
      <c r="X76" s="23">
        <v>0.11899999999999999</v>
      </c>
      <c r="Y76" s="23">
        <v>4.5999999999999999E-2</v>
      </c>
      <c r="Z76" s="23">
        <v>2.5000000000000001E-2</v>
      </c>
      <c r="AA76" s="22">
        <v>2450534</v>
      </c>
      <c r="AB76" s="24">
        <v>159</v>
      </c>
      <c r="AC76" s="22">
        <v>2</v>
      </c>
      <c r="AD76" s="22">
        <v>1</v>
      </c>
      <c r="AE76" s="19">
        <v>27.085317627958883</v>
      </c>
      <c r="AF76" s="23">
        <f>DataTable[[#This Row],[Sens_2]]/AVERAGEIF(DataTable[Strålkälla],DataTable[[#This Row],[Strålkälla]],DataTable[Sens_2])</f>
        <v>1.0016053751526082</v>
      </c>
      <c r="AG76" s="22">
        <v>1897</v>
      </c>
      <c r="AH76" s="22">
        <v>2250</v>
      </c>
      <c r="AI76" s="23">
        <v>8.5000000000000006E-2</v>
      </c>
      <c r="AJ76" s="23">
        <v>3.7999999999999999E-2</v>
      </c>
      <c r="AK76" s="23">
        <v>2.5000000000000001E-2</v>
      </c>
      <c r="AL76" s="22">
        <v>2138038</v>
      </c>
      <c r="AM76" s="24">
        <v>159</v>
      </c>
      <c r="AN76" s="22">
        <v>0</v>
      </c>
      <c r="AO76" s="22">
        <v>0</v>
      </c>
      <c r="AP76" s="19">
        <v>23.631354770285153</v>
      </c>
      <c r="AQ76" s="23">
        <f>DataTable[[#This Row],[Sens_3]]/AVERAGEIF(DataTable[Strålkälla],DataTable[[#This Row],[Strålkälla]],DataTable[Sens_3])</f>
        <v>1.0007619873239684</v>
      </c>
      <c r="AR76" s="22">
        <v>1849</v>
      </c>
      <c r="AS76" s="22">
        <v>2205</v>
      </c>
      <c r="AT76" s="23">
        <v>8.7999999999999995E-2</v>
      </c>
      <c r="AU76" s="23">
        <v>3.7999999999999999E-2</v>
      </c>
      <c r="AV76" s="23">
        <v>2.5000000000000001E-2</v>
      </c>
      <c r="AW76" s="22">
        <v>2072186</v>
      </c>
      <c r="AX76" s="24">
        <v>159</v>
      </c>
      <c r="AY76" s="22">
        <v>0</v>
      </c>
      <c r="AZ76" s="22">
        <v>0</v>
      </c>
      <c r="BA76" s="19">
        <v>22.903504295067773</v>
      </c>
      <c r="BB76" s="23">
        <f>DataTable[[#This Row],[Sens_4]]/AVERAGEIF(DataTable[Strålkälla],DataTable[[#This Row],[Strålkälla]],DataTable[Sens_4])</f>
        <v>1.0023696050561799</v>
      </c>
      <c r="BC76" s="22">
        <v>2086</v>
      </c>
      <c r="BD76" s="22">
        <v>2482</v>
      </c>
      <c r="BE76" s="19">
        <v>8.6999999999999994E-2</v>
      </c>
      <c r="BF76" s="19">
        <v>3.4000000000000002E-2</v>
      </c>
      <c r="BG76" s="19">
        <v>2.4E-2</v>
      </c>
      <c r="BH76" s="19">
        <v>2332846</v>
      </c>
      <c r="BI76" s="19">
        <v>159</v>
      </c>
      <c r="BJ76" s="19">
        <v>0</v>
      </c>
      <c r="BK76" s="19">
        <v>0</v>
      </c>
      <c r="BL76" s="19">
        <v>25.784533039375649</v>
      </c>
      <c r="BM76" s="23">
        <f>DataTable[[#This Row],[Sens_5]]/AVERAGEIF(DataTable[Strålkälla],DataTable[[#This Row],[Strålkälla]],DataTable[Sens_5])</f>
        <v>1.0019788384765447</v>
      </c>
      <c r="BN76" s="19">
        <v>2068</v>
      </c>
      <c r="BO76" s="19">
        <v>2479</v>
      </c>
      <c r="BP76" s="19">
        <v>0.09</v>
      </c>
      <c r="BQ76" s="19">
        <v>3.9E-2</v>
      </c>
      <c r="BR76" s="19">
        <v>2.4E-2</v>
      </c>
      <c r="BS76" s="19">
        <v>2335622</v>
      </c>
      <c r="BT76" s="19">
        <v>159</v>
      </c>
      <c r="BU76" s="19">
        <v>0</v>
      </c>
      <c r="BV76" s="19">
        <v>0</v>
      </c>
      <c r="BW76" s="19">
        <v>25.815215674970673</v>
      </c>
      <c r="BX76" s="23">
        <f>DataTable[[#This Row],[Sens_6]]/AVERAGEIF(DataTable[Strålkälla],DataTable[[#This Row],[Strålkälla]],DataTable[Sens_6])</f>
        <v>1.0035274487310277</v>
      </c>
      <c r="BY76" s="19">
        <v>1847</v>
      </c>
      <c r="BZ76" s="19">
        <v>2216</v>
      </c>
      <c r="CA76" s="19">
        <v>9.0999999999999998E-2</v>
      </c>
      <c r="CB76" s="19">
        <v>4.8000000000000001E-2</v>
      </c>
      <c r="CC76" s="19">
        <v>2.5999999999999999E-2</v>
      </c>
      <c r="CD76" s="19">
        <v>2068267</v>
      </c>
      <c r="CE76" s="19">
        <v>159</v>
      </c>
      <c r="CF76" s="19">
        <v>0</v>
      </c>
      <c r="CG76" s="19">
        <v>0</v>
      </c>
      <c r="CH76" s="19">
        <v>22.860188283217305</v>
      </c>
      <c r="CI76" s="23">
        <f>DataTable[[#This Row],[Sens_7]]/AVERAGEIF(DataTable[Strålkälla],DataTable[[#This Row],[Strålkälla]],DataTable[Sens_7])</f>
        <v>0.99976953485627951</v>
      </c>
      <c r="CJ76" s="19">
        <v>2153</v>
      </c>
      <c r="CK76" s="19">
        <v>2624</v>
      </c>
      <c r="CL76" s="19">
        <v>9.9000000000000005E-2</v>
      </c>
      <c r="CM76" s="19">
        <v>4.2000000000000003E-2</v>
      </c>
      <c r="CN76" s="19">
        <v>2.5999999999999999E-2</v>
      </c>
      <c r="CO76" s="19">
        <v>2446301</v>
      </c>
      <c r="CP76" s="19">
        <v>159</v>
      </c>
      <c r="CQ76" s="19">
        <v>0</v>
      </c>
      <c r="CR76" s="19">
        <v>0</v>
      </c>
      <c r="CS76" s="19">
        <v>27.038531029805522</v>
      </c>
      <c r="CT76" s="23">
        <f>DataTable[[#This Row],[Sens_8]]/AVERAGEIF(DataTable[Strålkälla],DataTable[[#This Row],[Strålkälla]],DataTable[Sens_8])</f>
        <v>1.0007470668769047</v>
      </c>
      <c r="CU76" s="19">
        <v>1739</v>
      </c>
      <c r="CV76" s="19">
        <v>2095</v>
      </c>
      <c r="CW76" s="19">
        <v>9.2999999999999999E-2</v>
      </c>
      <c r="CX76" s="19">
        <v>0.05</v>
      </c>
      <c r="CY76" s="19">
        <v>2.5999999999999999E-2</v>
      </c>
      <c r="CZ76" s="19">
        <v>1963935</v>
      </c>
      <c r="DA76" s="19">
        <v>154</v>
      </c>
      <c r="DB76" s="19">
        <v>0</v>
      </c>
      <c r="DC76" s="19">
        <v>0</v>
      </c>
      <c r="DD76" s="19">
        <v>22.41179873880127</v>
      </c>
      <c r="DE76" s="23">
        <f>DataTable[[#This Row],[Sens_9]]/AVERAGEIF(DataTable[Strålkälla],DataTable[[#This Row],[Strålkälla]],DataTable[Sens_9])</f>
        <v>1.0019221198487578</v>
      </c>
      <c r="DF76" s="19">
        <v>1682</v>
      </c>
      <c r="DG76" s="19">
        <v>2007</v>
      </c>
      <c r="DH76" s="19">
        <v>8.7999999999999995E-2</v>
      </c>
      <c r="DI76" s="19">
        <v>3.7999999999999999E-2</v>
      </c>
      <c r="DJ76" s="19">
        <v>2.5999999999999999E-2</v>
      </c>
      <c r="DK76" s="19">
        <v>1905595</v>
      </c>
      <c r="DL76" s="19">
        <v>154</v>
      </c>
      <c r="DM76" s="19">
        <v>0</v>
      </c>
      <c r="DN76" s="19">
        <v>0</v>
      </c>
      <c r="DO76" s="19">
        <v>21.746041298549088</v>
      </c>
      <c r="DP76" s="23">
        <f>DataTable[[#This Row],[Sens_10]]/AVERAGEIF(DataTable[Strålkälla],DataTable[[#This Row],[Strålkälla]],DataTable[Sens_10])</f>
        <v>1.0023008163241995</v>
      </c>
      <c r="DQ76" s="19">
        <v>1477</v>
      </c>
      <c r="DR76" s="19">
        <v>1827</v>
      </c>
      <c r="DS76" s="19">
        <v>0.106</v>
      </c>
      <c r="DT76" s="19">
        <v>0.04</v>
      </c>
      <c r="DU76" s="19">
        <v>2.8000000000000001E-2</v>
      </c>
      <c r="DV76" s="19">
        <v>1674963</v>
      </c>
      <c r="DW76" s="19">
        <v>154</v>
      </c>
      <c r="DX76" s="19">
        <v>0</v>
      </c>
      <c r="DY76" s="19">
        <v>1</v>
      </c>
      <c r="DZ76" s="19">
        <v>19.114142601938855</v>
      </c>
      <c r="EA76" s="19">
        <f>DataTable[[#This Row],[Sens_11]]/AVERAGEIF(DataTable[Strålkälla],DataTable[[#This Row],[Strålkälla]],DataTable[Sens_11])</f>
        <v>1.001694568701228</v>
      </c>
      <c r="EB76" s="19">
        <v>1692</v>
      </c>
      <c r="EC76" s="19">
        <v>2113</v>
      </c>
      <c r="ED76" s="19">
        <v>0.111</v>
      </c>
      <c r="EE76" s="19">
        <v>4.5999999999999999E-2</v>
      </c>
      <c r="EF76" s="19">
        <v>2.7E-2</v>
      </c>
      <c r="EG76" s="19">
        <v>1994975</v>
      </c>
      <c r="EH76" s="19">
        <v>154</v>
      </c>
      <c r="EI76" s="19">
        <v>1</v>
      </c>
      <c r="EJ76" s="19">
        <v>0</v>
      </c>
      <c r="EK76" s="19">
        <v>22.766017301458582</v>
      </c>
      <c r="EL76" s="23">
        <f>DataTable[[#This Row],[Sens_12]]/AVERAGEIF(DataTable[Strålkälla],DataTable[[#This Row],[Strålkälla]],DataTable[Sens_12])</f>
        <v>1.0027973774152297</v>
      </c>
      <c r="EM76" s="19">
        <v>1400</v>
      </c>
      <c r="EN76" s="19">
        <v>1817</v>
      </c>
      <c r="EO76" s="19">
        <v>0.13</v>
      </c>
      <c r="EP76" s="19">
        <v>4.1000000000000002E-2</v>
      </c>
      <c r="EQ76" s="19">
        <v>2.8000000000000001E-2</v>
      </c>
      <c r="ER76" s="19">
        <v>1699277</v>
      </c>
      <c r="ES76" s="19">
        <v>166</v>
      </c>
      <c r="ET76" s="19">
        <v>1</v>
      </c>
      <c r="EU76" s="19">
        <v>0</v>
      </c>
      <c r="EV76" s="19">
        <v>17.989803343622171</v>
      </c>
      <c r="EW76" s="19">
        <f>DataTable[[#This Row],[Sens_13]]/AVERAGEIF(DataTable[Strålkälla],DataTable[[#This Row],[Strålkälla]],DataTable[Sens_13])</f>
        <v>0.99854595983376582</v>
      </c>
      <c r="EX76" s="19">
        <v>1226</v>
      </c>
      <c r="EY76" s="19">
        <v>1593</v>
      </c>
      <c r="EZ76" s="19">
        <v>0.13</v>
      </c>
      <c r="FA76" s="19">
        <v>3.6999999999999998E-2</v>
      </c>
      <c r="FB76" s="19">
        <v>3.1E-2</v>
      </c>
      <c r="FC76" s="19">
        <v>1441622</v>
      </c>
      <c r="FD76" s="19">
        <v>166</v>
      </c>
      <c r="FE76" s="19">
        <v>1</v>
      </c>
      <c r="FF76" s="19">
        <v>1</v>
      </c>
      <c r="FG76" s="19">
        <v>15.262076916146857</v>
      </c>
      <c r="FH76" s="19">
        <f>DataTable[[#This Row],[Sens_14]]/AVERAGEIF(DataTable[Strålkälla],DataTable[[#This Row],[Strålkälla]],DataTable[Sens_14])</f>
        <v>0.99963989451703572</v>
      </c>
      <c r="FI76" s="19">
        <v>1433</v>
      </c>
      <c r="FJ76" s="19">
        <v>1762</v>
      </c>
      <c r="FK76" s="19">
        <v>0.10299999999999999</v>
      </c>
      <c r="FL76" s="19">
        <v>4.1000000000000002E-2</v>
      </c>
      <c r="FM76" s="19">
        <v>2.7E-2</v>
      </c>
      <c r="FN76" s="19">
        <v>1631731</v>
      </c>
      <c r="FO76" s="19">
        <v>166</v>
      </c>
      <c r="FP76" s="19">
        <v>0</v>
      </c>
      <c r="FQ76" s="19">
        <v>0</v>
      </c>
      <c r="FR76" s="19">
        <v>17.274711421205577</v>
      </c>
      <c r="FS76" s="19">
        <f>DataTable[[#This Row],[Sens_15]]/AVERAGEIF(DataTable[Strålkälla],DataTable[[#This Row],[Strålkälla]],DataTable[Sens_15])</f>
        <v>0.99999270815605767</v>
      </c>
      <c r="FT76" s="19">
        <v>1300</v>
      </c>
      <c r="FU76" s="19">
        <v>1574</v>
      </c>
      <c r="FV76" s="19">
        <v>9.5000000000000001E-2</v>
      </c>
      <c r="FW76" s="19">
        <v>4.7E-2</v>
      </c>
      <c r="FX76" s="19">
        <v>2.9000000000000001E-2</v>
      </c>
      <c r="FY76" s="19">
        <v>1467374</v>
      </c>
      <c r="FZ76" s="19">
        <v>166</v>
      </c>
      <c r="GA76" s="19">
        <v>0</v>
      </c>
      <c r="GB76" s="19">
        <v>0</v>
      </c>
      <c r="GC76" s="19">
        <v>15.53470663790791</v>
      </c>
      <c r="GD76" s="19">
        <f>DataTable[[#This Row],[Sens_16]]/AVERAGEIF(DataTable[Strålkälla],DataTable[[#This Row],[Strålkälla]],DataTable[Sens_16])</f>
        <v>0.99951740546855339</v>
      </c>
      <c r="GE76" s="19">
        <v>1200</v>
      </c>
      <c r="GF76" s="19">
        <v>1513</v>
      </c>
      <c r="GG76" s="19">
        <v>0.115</v>
      </c>
      <c r="GH76" s="19">
        <v>4.4999999999999998E-2</v>
      </c>
      <c r="GI76" s="19">
        <v>2.9000000000000001E-2</v>
      </c>
      <c r="GJ76" s="19">
        <v>1408721</v>
      </c>
      <c r="GK76" s="19">
        <v>166</v>
      </c>
      <c r="GL76" s="19">
        <v>1</v>
      </c>
      <c r="GM76" s="19">
        <v>0</v>
      </c>
      <c r="GN76" s="19">
        <v>14.913762591991045</v>
      </c>
      <c r="GO76" s="19">
        <f>DataTable[[#This Row],[Sens_17]]/AVERAGEIF(DataTable[Strålkälla],DataTable[[#This Row],[Strålkälla]],DataTable[Sens_17])</f>
        <v>0.99943757331611316</v>
      </c>
      <c r="GP76" s="19">
        <v>1435</v>
      </c>
      <c r="GQ76" s="19">
        <v>1770</v>
      </c>
      <c r="GR76" s="19">
        <v>0.105</v>
      </c>
      <c r="GS76" s="19">
        <v>3.5999999999999997E-2</v>
      </c>
      <c r="GT76" s="19">
        <v>2.8000000000000001E-2</v>
      </c>
      <c r="GU76" s="19">
        <v>1629713</v>
      </c>
      <c r="GV76" s="19">
        <v>166</v>
      </c>
      <c r="GW76" s="19">
        <v>0</v>
      </c>
      <c r="GX76" s="19">
        <v>1</v>
      </c>
      <c r="GY76" s="19">
        <v>17.253347380412091</v>
      </c>
      <c r="GZ76" s="19">
        <f>DataTable[[#This Row],[Sens_18]]/AVERAGEIF(DataTable[Strålkälla],DataTable[[#This Row],[Strålkälla]],DataTable[Sens_18])</f>
        <v>0.99922365197055596</v>
      </c>
      <c r="HA76" s="19">
        <v>1280</v>
      </c>
      <c r="HB76" s="19">
        <v>1622</v>
      </c>
      <c r="HC76" s="19">
        <v>0.11799999999999999</v>
      </c>
      <c r="HD76" s="19">
        <v>5.1999999999999998E-2</v>
      </c>
      <c r="HE76" s="19">
        <v>3.1E-2</v>
      </c>
      <c r="HF76" s="19">
        <v>1476975</v>
      </c>
      <c r="HG76" s="19">
        <v>166</v>
      </c>
      <c r="HH76" s="19">
        <v>0</v>
      </c>
      <c r="HI76" s="19">
        <v>1</v>
      </c>
      <c r="HJ76" s="19">
        <v>15.636349926142916</v>
      </c>
      <c r="HK76" s="19">
        <f>DataTable[[#This Row],[Sens_19]]/AVERAGEIF(DataTable[Strålkälla],DataTable[[#This Row],[Strålkälla]],DataTable[Sens_19])</f>
        <v>0.99932214349794968</v>
      </c>
      <c r="HL76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</v>
      </c>
      <c r="HM76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0.1024736842105263</v>
      </c>
      <c r="HN76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5.1999999999999998E-2</v>
      </c>
      <c r="HO76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4.2052631578947376E-2</v>
      </c>
      <c r="HP76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0.99854595983376582</v>
      </c>
      <c r="HQ76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1.0008291559036528</v>
      </c>
      <c r="HR76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1.0035274487310277</v>
      </c>
      <c r="HS76" s="49"/>
    </row>
    <row r="77" spans="2:227" x14ac:dyDescent="0.25">
      <c r="B77" s="19" t="s">
        <v>43</v>
      </c>
      <c r="C77" s="20">
        <v>42627</v>
      </c>
      <c r="D77" s="21">
        <v>0.3357060185185185</v>
      </c>
      <c r="E77" s="13" t="s">
        <v>217</v>
      </c>
      <c r="F77" s="13">
        <v>109.8</v>
      </c>
      <c r="G77" s="13">
        <v>134.19999999999999</v>
      </c>
      <c r="H77" s="24">
        <v>8.0296000000000003</v>
      </c>
      <c r="I77" s="22">
        <f>MATCH(DataTable[[#This Row],[Datum]],Övrigt!$D$10:$M$10,1)</f>
        <v>2</v>
      </c>
      <c r="J77" s="13"/>
      <c r="K77" s="22">
        <v>1749</v>
      </c>
      <c r="L77" s="22">
        <v>2159</v>
      </c>
      <c r="M77" s="23">
        <v>0.105</v>
      </c>
      <c r="N77" s="23">
        <v>5.0999999999999997E-2</v>
      </c>
      <c r="O77" s="23">
        <v>2.7E-2</v>
      </c>
      <c r="P77" s="22">
        <v>2028070</v>
      </c>
      <c r="Q77" s="24">
        <v>160</v>
      </c>
      <c r="R77" s="22">
        <v>1</v>
      </c>
      <c r="S77" s="22">
        <v>0</v>
      </c>
      <c r="T77" s="19">
        <v>22.389730007974794</v>
      </c>
      <c r="U77" s="23">
        <f>DataTable[[#This Row],[Sens_1]]/AVERAGEIF(DataTable[Strålkälla],DataTable[[#This Row],[Strålkälla]],DataTable[Sens_1])</f>
        <v>0.99911404758769207</v>
      </c>
      <c r="V77" s="22">
        <v>2195</v>
      </c>
      <c r="W77" s="22">
        <v>2608</v>
      </c>
      <c r="X77" s="23">
        <v>8.5999999999999993E-2</v>
      </c>
      <c r="Y77" s="23">
        <v>3.6999999999999998E-2</v>
      </c>
      <c r="Z77" s="23">
        <v>2.4E-2</v>
      </c>
      <c r="AA77" s="22">
        <v>2448368</v>
      </c>
      <c r="AB77" s="24">
        <v>160</v>
      </c>
      <c r="AC77" s="22">
        <v>0</v>
      </c>
      <c r="AD77" s="22">
        <v>0</v>
      </c>
      <c r="AE77" s="19">
        <v>27.029786190893429</v>
      </c>
      <c r="AF77" s="23">
        <f>DataTable[[#This Row],[Sens_2]]/AVERAGEIF(DataTable[Strålkälla],DataTable[[#This Row],[Strålkälla]],DataTable[Sens_2])</f>
        <v>0.99955184243725637</v>
      </c>
      <c r="AG77" s="22">
        <v>1959</v>
      </c>
      <c r="AH77" s="22">
        <v>2320</v>
      </c>
      <c r="AI77" s="23">
        <v>8.4000000000000005E-2</v>
      </c>
      <c r="AJ77" s="23">
        <v>3.6999999999999998E-2</v>
      </c>
      <c r="AK77" s="23">
        <v>2.5000000000000001E-2</v>
      </c>
      <c r="AL77" s="22">
        <v>2138316</v>
      </c>
      <c r="AM77" s="24">
        <v>160</v>
      </c>
      <c r="AN77" s="22">
        <v>0</v>
      </c>
      <c r="AO77" s="22">
        <v>1</v>
      </c>
      <c r="AP77" s="19">
        <v>23.606836998591088</v>
      </c>
      <c r="AQ77" s="23">
        <f>DataTable[[#This Row],[Sens_3]]/AVERAGEIF(DataTable[Strålkälla],DataTable[[#This Row],[Strålkälla]],DataTable[Sens_3])</f>
        <v>0.99972368655095634</v>
      </c>
      <c r="AR77" s="22">
        <v>1839</v>
      </c>
      <c r="AS77" s="22">
        <v>2214</v>
      </c>
      <c r="AT77" s="23">
        <v>9.2999999999999999E-2</v>
      </c>
      <c r="AU77" s="23">
        <v>3.6999999999999998E-2</v>
      </c>
      <c r="AV77" s="23">
        <v>2.5000000000000001E-2</v>
      </c>
      <c r="AW77" s="22">
        <v>2069811</v>
      </c>
      <c r="AX77" s="24">
        <v>160</v>
      </c>
      <c r="AY77" s="22">
        <v>0</v>
      </c>
      <c r="AZ77" s="22">
        <v>0</v>
      </c>
      <c r="BA77" s="19">
        <v>22.850547297448468</v>
      </c>
      <c r="BB77" s="23">
        <f>DataTable[[#This Row],[Sens_4]]/AVERAGEIF(DataTable[Strålkälla],DataTable[[#This Row],[Strålkälla]],DataTable[Sens_4])</f>
        <v>1.0000519472818605</v>
      </c>
      <c r="BC77" s="22">
        <v>2069</v>
      </c>
      <c r="BD77" s="22">
        <v>2509</v>
      </c>
      <c r="BE77" s="19">
        <v>9.6000000000000002E-2</v>
      </c>
      <c r="BF77" s="19">
        <v>0.04</v>
      </c>
      <c r="BG77" s="19">
        <v>2.3E-2</v>
      </c>
      <c r="BH77" s="19">
        <v>2331938</v>
      </c>
      <c r="BI77" s="19">
        <v>160</v>
      </c>
      <c r="BJ77" s="19">
        <v>1</v>
      </c>
      <c r="BK77" s="19">
        <v>1</v>
      </c>
      <c r="BL77" s="19">
        <v>25.744408336663295</v>
      </c>
      <c r="BM77" s="23">
        <f>DataTable[[#This Row],[Sens_5]]/AVERAGEIF(DataTable[Strålkälla],DataTable[[#This Row],[Strålkälla]],DataTable[Sens_5])</f>
        <v>1.0004196051580065</v>
      </c>
      <c r="BN77" s="19">
        <v>2110</v>
      </c>
      <c r="BO77" s="19">
        <v>2471</v>
      </c>
      <c r="BP77" s="19">
        <v>7.9000000000000001E-2</v>
      </c>
      <c r="BQ77" s="19">
        <v>3.2000000000000001E-2</v>
      </c>
      <c r="BR77" s="19">
        <v>2.4E-2</v>
      </c>
      <c r="BS77" s="19">
        <v>2337707</v>
      </c>
      <c r="BT77" s="19">
        <v>160</v>
      </c>
      <c r="BU77" s="19">
        <v>0</v>
      </c>
      <c r="BV77" s="19">
        <v>0</v>
      </c>
      <c r="BW77" s="19">
        <v>25.808097633588947</v>
      </c>
      <c r="BX77" s="23">
        <f>DataTable[[#This Row],[Sens_6]]/AVERAGEIF(DataTable[Strålkälla],DataTable[[#This Row],[Strålkälla]],DataTable[Sens_6])</f>
        <v>1.0032507456425197</v>
      </c>
      <c r="BY77" s="19">
        <v>1828</v>
      </c>
      <c r="BZ77" s="19">
        <v>2217</v>
      </c>
      <c r="CA77" s="19">
        <v>9.6000000000000002E-2</v>
      </c>
      <c r="CB77" s="19">
        <v>3.9E-2</v>
      </c>
      <c r="CC77" s="19">
        <v>2.5999999999999999E-2</v>
      </c>
      <c r="CD77" s="19">
        <v>2068585</v>
      </c>
      <c r="CE77" s="19">
        <v>160</v>
      </c>
      <c r="CF77" s="19">
        <v>0</v>
      </c>
      <c r="CG77" s="19">
        <v>0</v>
      </c>
      <c r="CH77" s="19">
        <v>22.837012355858793</v>
      </c>
      <c r="CI77" s="23">
        <f>DataTable[[#This Row],[Sens_7]]/AVERAGEIF(DataTable[Strålkälla],DataTable[[#This Row],[Strålkälla]],DataTable[Sens_7])</f>
        <v>0.99875595676024542</v>
      </c>
      <c r="CJ77" s="19">
        <v>2177</v>
      </c>
      <c r="CK77" s="19">
        <v>2674</v>
      </c>
      <c r="CL77" s="19">
        <v>0.10199999999999999</v>
      </c>
      <c r="CM77" s="19">
        <v>0.04</v>
      </c>
      <c r="CN77" s="19">
        <v>2.5999999999999999E-2</v>
      </c>
      <c r="CO77" s="19">
        <v>2449536</v>
      </c>
      <c r="CP77" s="19">
        <v>160</v>
      </c>
      <c r="CQ77" s="19">
        <v>0</v>
      </c>
      <c r="CR77" s="19">
        <v>1</v>
      </c>
      <c r="CS77" s="19">
        <v>27.042680817138731</v>
      </c>
      <c r="CT77" s="23">
        <f>DataTable[[#This Row],[Sens_8]]/AVERAGEIF(DataTable[Strålkälla],DataTable[[#This Row],[Strålkälla]],DataTable[Sens_8])</f>
        <v>1.0009006583385598</v>
      </c>
      <c r="CU77" s="19">
        <v>1761</v>
      </c>
      <c r="CV77" s="19">
        <v>2139</v>
      </c>
      <c r="CW77" s="19">
        <v>9.7000000000000003E-2</v>
      </c>
      <c r="CX77" s="19">
        <v>3.5000000000000003E-2</v>
      </c>
      <c r="CY77" s="19">
        <v>2.7E-2</v>
      </c>
      <c r="CZ77" s="19">
        <v>1965260</v>
      </c>
      <c r="DA77" s="19">
        <v>155</v>
      </c>
      <c r="DB77" s="19">
        <v>0</v>
      </c>
      <c r="DC77" s="19">
        <v>1</v>
      </c>
      <c r="DD77" s="19">
        <v>22.396193702913823</v>
      </c>
      <c r="DE77" s="23">
        <f>DataTable[[#This Row],[Sens_9]]/AVERAGEIF(DataTable[Strålkälla],DataTable[[#This Row],[Strålkälla]],DataTable[Sens_9])</f>
        <v>1.0012244948692153</v>
      </c>
      <c r="DF77" s="19">
        <v>1701</v>
      </c>
      <c r="DG77" s="19">
        <v>2075</v>
      </c>
      <c r="DH77" s="19">
        <v>9.9000000000000005E-2</v>
      </c>
      <c r="DI77" s="19">
        <v>3.9E-2</v>
      </c>
      <c r="DJ77" s="19">
        <v>2.5999999999999999E-2</v>
      </c>
      <c r="DK77" s="19">
        <v>1903942</v>
      </c>
      <c r="DL77" s="19">
        <v>155</v>
      </c>
      <c r="DM77" s="19">
        <v>0</v>
      </c>
      <c r="DN77" s="19">
        <v>1</v>
      </c>
      <c r="DO77" s="19">
        <v>21.697410943647736</v>
      </c>
      <c r="DP77" s="23">
        <f>DataTable[[#This Row],[Sens_10]]/AVERAGEIF(DataTable[Strålkälla],DataTable[[#This Row],[Strålkälla]],DataTable[Sens_10])</f>
        <v>1.000059385631294</v>
      </c>
      <c r="DQ77" s="19">
        <v>1469</v>
      </c>
      <c r="DR77" s="19">
        <v>1768</v>
      </c>
      <c r="DS77" s="19">
        <v>9.1999999999999998E-2</v>
      </c>
      <c r="DT77" s="19">
        <v>3.6999999999999998E-2</v>
      </c>
      <c r="DU77" s="19">
        <v>2.7E-2</v>
      </c>
      <c r="DV77" s="19">
        <v>1677515</v>
      </c>
      <c r="DW77" s="19">
        <v>155</v>
      </c>
      <c r="DX77" s="19">
        <v>0</v>
      </c>
      <c r="DY77" s="19">
        <v>0</v>
      </c>
      <c r="DZ77" s="19">
        <v>19.117038396722815</v>
      </c>
      <c r="EA77" s="19">
        <f>DataTable[[#This Row],[Sens_11]]/AVERAGEIF(DataTable[Strålkälla],DataTable[[#This Row],[Strålkälla]],DataTable[Sens_11])</f>
        <v>1.0018463255426191</v>
      </c>
      <c r="EB77" s="19">
        <v>1780</v>
      </c>
      <c r="EC77" s="19">
        <v>2168</v>
      </c>
      <c r="ED77" s="19">
        <v>9.8000000000000004E-2</v>
      </c>
      <c r="EE77" s="19">
        <v>3.9E-2</v>
      </c>
      <c r="EF77" s="19">
        <v>2.7E-2</v>
      </c>
      <c r="EG77" s="19">
        <v>1992735</v>
      </c>
      <c r="EH77" s="19">
        <v>155</v>
      </c>
      <c r="EI77" s="19">
        <v>0</v>
      </c>
      <c r="EJ77" s="19">
        <v>1</v>
      </c>
      <c r="EK77" s="19">
        <v>22.709300071530475</v>
      </c>
      <c r="EL77" s="23">
        <f>DataTable[[#This Row],[Sens_12]]/AVERAGEIF(DataTable[Strålkälla],DataTable[[#This Row],[Strålkälla]],DataTable[Sens_12])</f>
        <v>1.0002990972517283</v>
      </c>
      <c r="EM77" s="19">
        <v>1520</v>
      </c>
      <c r="EN77" s="19">
        <v>1808</v>
      </c>
      <c r="EO77" s="19">
        <v>8.6999999999999994E-2</v>
      </c>
      <c r="EP77" s="19">
        <v>3.3000000000000002E-2</v>
      </c>
      <c r="EQ77" s="19">
        <v>2.7E-2</v>
      </c>
      <c r="ER77" s="19">
        <v>1702202</v>
      </c>
      <c r="ES77" s="19">
        <v>167</v>
      </c>
      <c r="ET77" s="19">
        <v>0</v>
      </c>
      <c r="EU77" s="19">
        <v>0</v>
      </c>
      <c r="EV77" s="19">
        <v>18.004477552300632</v>
      </c>
      <c r="EW77" s="19">
        <f>DataTable[[#This Row],[Sens_13]]/AVERAGEIF(DataTable[Strålkälla],DataTable[[#This Row],[Strålkälla]],DataTable[Sens_13])</f>
        <v>0.99936046967079695</v>
      </c>
      <c r="EX77" s="19">
        <v>1252</v>
      </c>
      <c r="EY77" s="19">
        <v>1590</v>
      </c>
      <c r="EZ77" s="19">
        <v>0.11899999999999999</v>
      </c>
      <c r="FA77" s="19">
        <v>4.4999999999999998E-2</v>
      </c>
      <c r="FB77" s="19">
        <v>0.03</v>
      </c>
      <c r="FC77" s="19">
        <v>1443496</v>
      </c>
      <c r="FD77" s="19">
        <v>167</v>
      </c>
      <c r="FE77" s="19">
        <v>0</v>
      </c>
      <c r="FF77" s="19">
        <v>1</v>
      </c>
      <c r="FG77" s="19">
        <v>15.268100571398547</v>
      </c>
      <c r="FH77" s="19">
        <f>DataTable[[#This Row],[Sens_14]]/AVERAGEIF(DataTable[Strålkälla],DataTable[[#This Row],[Strålkälla]],DataTable[Sens_14])</f>
        <v>1.0000344336176765</v>
      </c>
      <c r="FI77" s="19">
        <v>1436</v>
      </c>
      <c r="FJ77" s="19">
        <v>1757</v>
      </c>
      <c r="FK77" s="19">
        <v>0.10100000000000001</v>
      </c>
      <c r="FL77" s="19">
        <v>4.1000000000000002E-2</v>
      </c>
      <c r="FM77" s="19">
        <v>2.7E-2</v>
      </c>
      <c r="FN77" s="19">
        <v>1629813</v>
      </c>
      <c r="FO77" s="19">
        <v>167</v>
      </c>
      <c r="FP77" s="19">
        <v>0</v>
      </c>
      <c r="FQ77" s="19">
        <v>0</v>
      </c>
      <c r="FR77" s="19">
        <v>17.238806894215696</v>
      </c>
      <c r="FS77" s="19">
        <f>DataTable[[#This Row],[Sens_15]]/AVERAGEIF(DataTable[Strålkälla],DataTable[[#This Row],[Strålkälla]],DataTable[Sens_15])</f>
        <v>0.99791427892478268</v>
      </c>
      <c r="FT77" s="19">
        <v>1260</v>
      </c>
      <c r="FU77" s="19">
        <v>1578</v>
      </c>
      <c r="FV77" s="19">
        <v>0.112</v>
      </c>
      <c r="FW77" s="19">
        <v>4.1000000000000002E-2</v>
      </c>
      <c r="FX77" s="19">
        <v>0.03</v>
      </c>
      <c r="FY77" s="19">
        <v>1467646</v>
      </c>
      <c r="FZ77" s="19">
        <v>167</v>
      </c>
      <c r="GA77" s="19">
        <v>1</v>
      </c>
      <c r="GB77" s="19">
        <v>0</v>
      </c>
      <c r="GC77" s="19">
        <v>15.523539193188476</v>
      </c>
      <c r="GD77" s="19">
        <f>DataTable[[#This Row],[Sens_16]]/AVERAGEIF(DataTable[Strålkälla],DataTable[[#This Row],[Strålkälla]],DataTable[Sens_16])</f>
        <v>0.99879888173766784</v>
      </c>
      <c r="GE77" s="19">
        <v>1246</v>
      </c>
      <c r="GF77" s="19">
        <v>1510</v>
      </c>
      <c r="GG77" s="19">
        <v>9.6000000000000002E-2</v>
      </c>
      <c r="GH77" s="19">
        <v>4.2000000000000003E-2</v>
      </c>
      <c r="GI77" s="19">
        <v>0.03</v>
      </c>
      <c r="GJ77" s="19">
        <v>1408670</v>
      </c>
      <c r="GK77" s="19">
        <v>167</v>
      </c>
      <c r="GL77" s="19">
        <v>0</v>
      </c>
      <c r="GM77" s="19">
        <v>0</v>
      </c>
      <c r="GN77" s="19">
        <v>14.899740097590843</v>
      </c>
      <c r="GO77" s="19">
        <f>DataTable[[#This Row],[Sens_17]]/AVERAGEIF(DataTable[Strålkälla],DataTable[[#This Row],[Strålkälla]],DataTable[Sens_17])</f>
        <v>0.99849786358902504</v>
      </c>
      <c r="GP77" s="19">
        <v>1450</v>
      </c>
      <c r="GQ77" s="19">
        <v>1809</v>
      </c>
      <c r="GR77" s="19">
        <v>0.11</v>
      </c>
      <c r="GS77" s="19">
        <v>0.04</v>
      </c>
      <c r="GT77" s="19">
        <v>2.8000000000000001E-2</v>
      </c>
      <c r="GU77" s="19">
        <v>1628624</v>
      </c>
      <c r="GV77" s="19">
        <v>167</v>
      </c>
      <c r="GW77" s="19">
        <v>0</v>
      </c>
      <c r="GX77" s="19">
        <v>2</v>
      </c>
      <c r="GY77" s="19">
        <v>17.226230640745378</v>
      </c>
      <c r="GZ77" s="19">
        <f>DataTable[[#This Row],[Sens_18]]/AVERAGEIF(DataTable[Strålkälla],DataTable[[#This Row],[Strålkälla]],DataTable[Sens_18])</f>
        <v>0.997653192219072</v>
      </c>
      <c r="HA77" s="19">
        <v>1313</v>
      </c>
      <c r="HB77" s="19">
        <v>1601</v>
      </c>
      <c r="HC77" s="19">
        <v>9.9000000000000005E-2</v>
      </c>
      <c r="HD77" s="19">
        <v>5.3999999999999999E-2</v>
      </c>
      <c r="HE77" s="19">
        <v>0.03</v>
      </c>
      <c r="HF77" s="19">
        <v>1476113</v>
      </c>
      <c r="HG77" s="19">
        <v>167</v>
      </c>
      <c r="HH77" s="19">
        <v>0</v>
      </c>
      <c r="HI77" s="19">
        <v>0</v>
      </c>
      <c r="HJ77" s="19">
        <v>15.61309607975971</v>
      </c>
      <c r="HK77" s="19">
        <f>DataTable[[#This Row],[Sens_19]]/AVERAGEIF(DataTable[Strålkälla],DataTable[[#This Row],[Strålkälla]],DataTable[Sens_19])</f>
        <v>0.99783598568477716</v>
      </c>
      <c r="HL77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0.11899999999999999</v>
      </c>
      <c r="HM77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9.7421052631578964E-2</v>
      </c>
      <c r="HN77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5.3999999999999999E-2</v>
      </c>
      <c r="HO77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3.9947368421052641E-2</v>
      </c>
      <c r="HP77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0.997653192219072</v>
      </c>
      <c r="HQ77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0.99975225781556609</v>
      </c>
      <c r="HR77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1.0032507456425197</v>
      </c>
      <c r="HS77" s="49"/>
    </row>
    <row r="78" spans="2:227" x14ac:dyDescent="0.25">
      <c r="B78" s="19" t="s">
        <v>43</v>
      </c>
      <c r="C78" s="20">
        <v>42634</v>
      </c>
      <c r="D78" s="21">
        <v>0.3140162037037037</v>
      </c>
      <c r="E78" s="13" t="s">
        <v>217</v>
      </c>
      <c r="F78" s="13">
        <v>109.8</v>
      </c>
      <c r="G78" s="13">
        <v>134.19999999999999</v>
      </c>
      <c r="H78" s="24">
        <v>8.1806999999999999</v>
      </c>
      <c r="I78" s="22">
        <f>MATCH(DataTable[[#This Row],[Datum]],Övrigt!$D$10:$M$10,1)</f>
        <v>2</v>
      </c>
      <c r="J78" s="13"/>
      <c r="K78" s="22">
        <v>1819</v>
      </c>
      <c r="L78" s="22">
        <v>2151</v>
      </c>
      <c r="M78" s="23">
        <v>8.4000000000000005E-2</v>
      </c>
      <c r="N78" s="23">
        <v>3.6999999999999998E-2</v>
      </c>
      <c r="O78" s="23">
        <v>2.5999999999999999E-2</v>
      </c>
      <c r="P78" s="22">
        <v>2028513</v>
      </c>
      <c r="Q78" s="24">
        <v>163</v>
      </c>
      <c r="R78" s="22">
        <v>0</v>
      </c>
      <c r="S78" s="22">
        <v>0</v>
      </c>
      <c r="T78" s="19">
        <v>22.378480631707337</v>
      </c>
      <c r="U78" s="23">
        <f>DataTable[[#This Row],[Sens_1]]/AVERAGEIF(DataTable[Strålkälla],DataTable[[#This Row],[Strålkälla]],DataTable[Sens_1])</f>
        <v>0.99861205806609388</v>
      </c>
      <c r="V78" s="22">
        <v>2203</v>
      </c>
      <c r="W78" s="22">
        <v>2649</v>
      </c>
      <c r="X78" s="23">
        <v>9.1999999999999998E-2</v>
      </c>
      <c r="Y78" s="23">
        <v>4.7E-2</v>
      </c>
      <c r="Z78" s="23">
        <v>2.5000000000000001E-2</v>
      </c>
      <c r="AA78" s="22">
        <v>2450118</v>
      </c>
      <c r="AB78" s="24">
        <v>163</v>
      </c>
      <c r="AC78" s="22">
        <v>0</v>
      </c>
      <c r="AD78" s="22">
        <v>2</v>
      </c>
      <c r="AE78" s="19">
        <v>27.029611448582045</v>
      </c>
      <c r="AF78" s="23">
        <f>DataTable[[#This Row],[Sens_2]]/AVERAGEIF(DataTable[Strålkälla],DataTable[[#This Row],[Strålkälla]],DataTable[Sens_2])</f>
        <v>0.99954538052897268</v>
      </c>
      <c r="AG78" s="22">
        <v>1848</v>
      </c>
      <c r="AH78" s="22">
        <v>2261</v>
      </c>
      <c r="AI78" s="23">
        <v>0.10100000000000001</v>
      </c>
      <c r="AJ78" s="23">
        <v>3.4000000000000002E-2</v>
      </c>
      <c r="AK78" s="23">
        <v>2.5000000000000001E-2</v>
      </c>
      <c r="AL78" s="22">
        <v>2136387</v>
      </c>
      <c r="AM78" s="24">
        <v>163</v>
      </c>
      <c r="AN78" s="22">
        <v>1</v>
      </c>
      <c r="AO78" s="22">
        <v>0</v>
      </c>
      <c r="AP78" s="19">
        <v>23.56854262276423</v>
      </c>
      <c r="AQ78" s="23">
        <f>DataTable[[#This Row],[Sens_3]]/AVERAGEIF(DataTable[Strålkälla],DataTable[[#This Row],[Strålkälla]],DataTable[Sens_3])</f>
        <v>0.99810196168463561</v>
      </c>
      <c r="AR78" s="22">
        <v>1833</v>
      </c>
      <c r="AS78" s="22">
        <v>2197</v>
      </c>
      <c r="AT78" s="23">
        <v>0.09</v>
      </c>
      <c r="AU78" s="23">
        <v>3.7999999999999999E-2</v>
      </c>
      <c r="AV78" s="23">
        <v>2.5999999999999999E-2</v>
      </c>
      <c r="AW78" s="22">
        <v>2071583</v>
      </c>
      <c r="AX78" s="24">
        <v>163</v>
      </c>
      <c r="AY78" s="22">
        <v>0</v>
      </c>
      <c r="AZ78" s="22">
        <v>0</v>
      </c>
      <c r="BA78" s="19">
        <v>22.853627283864672</v>
      </c>
      <c r="BB78" s="23">
        <f>DataTable[[#This Row],[Sens_4]]/AVERAGEIF(DataTable[Strålkälla],DataTable[[#This Row],[Strålkälla]],DataTable[Sens_4])</f>
        <v>1.0001867425833924</v>
      </c>
      <c r="BC78" s="22">
        <v>2100</v>
      </c>
      <c r="BD78" s="22">
        <v>2455</v>
      </c>
      <c r="BE78" s="19">
        <v>7.8E-2</v>
      </c>
      <c r="BF78" s="19">
        <v>0.03</v>
      </c>
      <c r="BG78" s="19">
        <v>2.3E-2</v>
      </c>
      <c r="BH78" s="19">
        <v>2333040</v>
      </c>
      <c r="BI78" s="19">
        <v>163</v>
      </c>
      <c r="BJ78" s="19">
        <v>0</v>
      </c>
      <c r="BK78" s="19">
        <v>0</v>
      </c>
      <c r="BL78" s="19">
        <v>25.738011268844954</v>
      </c>
      <c r="BM78" s="23">
        <f>DataTable[[#This Row],[Sens_5]]/AVERAGEIF(DataTable[Strålkälla],DataTable[[#This Row],[Strålkälla]],DataTable[Sens_5])</f>
        <v>1.0001710171160014</v>
      </c>
      <c r="BN78" s="19">
        <v>2083</v>
      </c>
      <c r="BO78" s="19">
        <v>2469</v>
      </c>
      <c r="BP78" s="19">
        <v>8.5000000000000006E-2</v>
      </c>
      <c r="BQ78" s="19">
        <v>3.9E-2</v>
      </c>
      <c r="BR78" s="19">
        <v>2.4E-2</v>
      </c>
      <c r="BS78" s="19">
        <v>2335472</v>
      </c>
      <c r="BT78" s="19">
        <v>163</v>
      </c>
      <c r="BU78" s="19">
        <v>0</v>
      </c>
      <c r="BV78" s="19">
        <v>0</v>
      </c>
      <c r="BW78" s="19">
        <v>25.764841003185484</v>
      </c>
      <c r="BX78" s="23">
        <f>DataTable[[#This Row],[Sens_6]]/AVERAGEIF(DataTable[Strålkälla],DataTable[[#This Row],[Strålkälla]],DataTable[Sens_6])</f>
        <v>1.0015692095865736</v>
      </c>
      <c r="BY78" s="19">
        <v>1854</v>
      </c>
      <c r="BZ78" s="19">
        <v>2191</v>
      </c>
      <c r="CA78" s="19">
        <v>8.3000000000000004E-2</v>
      </c>
      <c r="CB78" s="19">
        <v>3.7999999999999999E-2</v>
      </c>
      <c r="CC78" s="19">
        <v>2.5000000000000001E-2</v>
      </c>
      <c r="CD78" s="19">
        <v>2069785</v>
      </c>
      <c r="CE78" s="19">
        <v>163</v>
      </c>
      <c r="CF78" s="19">
        <v>0</v>
      </c>
      <c r="CG78" s="19">
        <v>0</v>
      </c>
      <c r="CH78" s="19">
        <v>22.833791814150743</v>
      </c>
      <c r="CI78" s="23">
        <f>DataTable[[#This Row],[Sens_7]]/AVERAGEIF(DataTable[Strålkälla],DataTable[[#This Row],[Strålkälla]],DataTable[Sens_7])</f>
        <v>0.99861510929890562</v>
      </c>
      <c r="CJ78" s="19">
        <v>2083</v>
      </c>
      <c r="CK78" s="19">
        <v>2643</v>
      </c>
      <c r="CL78" s="19">
        <v>0.11799999999999999</v>
      </c>
      <c r="CM78" s="19">
        <v>4.1000000000000002E-2</v>
      </c>
      <c r="CN78" s="19">
        <v>2.5000000000000001E-2</v>
      </c>
      <c r="CO78" s="19">
        <v>2448360</v>
      </c>
      <c r="CP78" s="19">
        <v>163</v>
      </c>
      <c r="CQ78" s="19">
        <v>1</v>
      </c>
      <c r="CR78" s="19">
        <v>1</v>
      </c>
      <c r="CS78" s="19">
        <v>27.010217257393457</v>
      </c>
      <c r="CT78" s="23">
        <f>DataTable[[#This Row],[Sens_8]]/AVERAGEIF(DataTable[Strålkälla],DataTable[[#This Row],[Strålkälla]],DataTable[Sens_8])</f>
        <v>0.99969912071953548</v>
      </c>
      <c r="CU78" s="19">
        <v>1748</v>
      </c>
      <c r="CV78" s="19">
        <v>2117</v>
      </c>
      <c r="CW78" s="19">
        <v>9.5000000000000001E-2</v>
      </c>
      <c r="CX78" s="19">
        <v>3.5999999999999997E-2</v>
      </c>
      <c r="CY78" s="19">
        <v>2.7E-2</v>
      </c>
      <c r="CZ78" s="19">
        <v>1964783</v>
      </c>
      <c r="DA78" s="19">
        <v>158</v>
      </c>
      <c r="DB78" s="19">
        <v>0</v>
      </c>
      <c r="DC78" s="19">
        <v>0</v>
      </c>
      <c r="DD78" s="19">
        <v>22.361344432010977</v>
      </c>
      <c r="DE78" s="23">
        <f>DataTable[[#This Row],[Sens_9]]/AVERAGEIF(DataTable[Strålkälla],DataTable[[#This Row],[Strålkälla]],DataTable[Sens_9])</f>
        <v>0.99966655408163752</v>
      </c>
      <c r="DF78" s="19">
        <v>1701</v>
      </c>
      <c r="DG78" s="19">
        <v>2032</v>
      </c>
      <c r="DH78" s="19">
        <v>8.8999999999999996E-2</v>
      </c>
      <c r="DI78" s="19">
        <v>0.04</v>
      </c>
      <c r="DJ78" s="19">
        <v>2.5999999999999999E-2</v>
      </c>
      <c r="DK78" s="19">
        <v>1903486</v>
      </c>
      <c r="DL78" s="19">
        <v>158</v>
      </c>
      <c r="DM78" s="19">
        <v>0</v>
      </c>
      <c r="DN78" s="19">
        <v>0</v>
      </c>
      <c r="DO78" s="19">
        <v>21.663718623130823</v>
      </c>
      <c r="DP78" s="23">
        <f>DataTable[[#This Row],[Sens_10]]/AVERAGEIF(DataTable[Strålkälla],DataTable[[#This Row],[Strålkälla]],DataTable[Sens_10])</f>
        <v>0.99850646664735876</v>
      </c>
      <c r="DQ78" s="19">
        <v>1473</v>
      </c>
      <c r="DR78" s="19">
        <v>1758</v>
      </c>
      <c r="DS78" s="19">
        <v>8.7999999999999995E-2</v>
      </c>
      <c r="DT78" s="19">
        <v>3.3000000000000002E-2</v>
      </c>
      <c r="DU78" s="19">
        <v>2.7E-2</v>
      </c>
      <c r="DV78" s="19">
        <v>1676055</v>
      </c>
      <c r="DW78" s="19">
        <v>158</v>
      </c>
      <c r="DX78" s="19">
        <v>0</v>
      </c>
      <c r="DY78" s="19">
        <v>0</v>
      </c>
      <c r="DZ78" s="19">
        <v>19.075309152203655</v>
      </c>
      <c r="EA78" s="19">
        <f>DataTable[[#This Row],[Sens_11]]/AVERAGEIF(DataTable[Strålkälla],DataTable[[#This Row],[Strålkälla]],DataTable[Sens_11])</f>
        <v>0.99965946534902561</v>
      </c>
      <c r="EB78" s="19">
        <v>1747</v>
      </c>
      <c r="EC78" s="19">
        <v>2115</v>
      </c>
      <c r="ED78" s="19">
        <v>9.5000000000000001E-2</v>
      </c>
      <c r="EE78" s="19">
        <v>4.3999999999999997E-2</v>
      </c>
      <c r="EF78" s="19">
        <v>2.7E-2</v>
      </c>
      <c r="EG78" s="19">
        <v>1993934</v>
      </c>
      <c r="EH78" s="19">
        <v>158</v>
      </c>
      <c r="EI78" s="19">
        <v>0</v>
      </c>
      <c r="EJ78" s="19">
        <v>0</v>
      </c>
      <c r="EK78" s="19">
        <v>22.693114175304537</v>
      </c>
      <c r="EL78" s="23">
        <f>DataTable[[#This Row],[Sens_12]]/AVERAGEIF(DataTable[Strålkälla],DataTable[[#This Row],[Strålkälla]],DataTable[Sens_12])</f>
        <v>0.99958614100331822</v>
      </c>
      <c r="EM78" s="19">
        <v>1512</v>
      </c>
      <c r="EN78" s="19">
        <v>1849</v>
      </c>
      <c r="EO78" s="19">
        <v>0.1</v>
      </c>
      <c r="EP78" s="19">
        <v>4.3999999999999997E-2</v>
      </c>
      <c r="EQ78" s="19">
        <v>2.8000000000000001E-2</v>
      </c>
      <c r="ER78" s="19">
        <v>1703062</v>
      </c>
      <c r="ES78" s="19">
        <v>170</v>
      </c>
      <c r="ET78" s="19">
        <v>0</v>
      </c>
      <c r="EU78" s="19">
        <v>0</v>
      </c>
      <c r="EV78" s="19">
        <v>18.014488842755235</v>
      </c>
      <c r="EW78" s="19">
        <f>DataTable[[#This Row],[Sens_13]]/AVERAGEIF(DataTable[Strålkälla],DataTable[[#This Row],[Strålkälla]],DataTable[Sens_13])</f>
        <v>0.99991615854883631</v>
      </c>
      <c r="EX78" s="19">
        <v>1273</v>
      </c>
      <c r="EY78" s="19">
        <v>1547</v>
      </c>
      <c r="EZ78" s="19">
        <v>9.7000000000000003E-2</v>
      </c>
      <c r="FA78" s="19">
        <v>4.3999999999999997E-2</v>
      </c>
      <c r="FB78" s="19">
        <v>0.03</v>
      </c>
      <c r="FC78" s="19">
        <v>1439342</v>
      </c>
      <c r="FD78" s="19">
        <v>170</v>
      </c>
      <c r="FE78" s="19">
        <v>0</v>
      </c>
      <c r="FF78" s="19">
        <v>0</v>
      </c>
      <c r="FG78" s="19">
        <v>15.224936261809027</v>
      </c>
      <c r="FH78" s="19">
        <f>DataTable[[#This Row],[Sens_14]]/AVERAGEIF(DataTable[Strålkälla],DataTable[[#This Row],[Strålkälla]],DataTable[Sens_14])</f>
        <v>0.99720724527876059</v>
      </c>
      <c r="FI78" s="19">
        <v>1415</v>
      </c>
      <c r="FJ78" s="19">
        <v>1725</v>
      </c>
      <c r="FK78" s="19">
        <v>9.9000000000000005E-2</v>
      </c>
      <c r="FL78" s="19">
        <v>4.7E-2</v>
      </c>
      <c r="FM78" s="19">
        <v>2.5999999999999999E-2</v>
      </c>
      <c r="FN78" s="19">
        <v>1632417</v>
      </c>
      <c r="FO78" s="19">
        <v>170</v>
      </c>
      <c r="FP78" s="19">
        <v>2</v>
      </c>
      <c r="FQ78" s="19">
        <v>0</v>
      </c>
      <c r="FR78" s="19">
        <v>17.267226814539914</v>
      </c>
      <c r="FS78" s="19">
        <f>DataTable[[#This Row],[Sens_15]]/AVERAGEIF(DataTable[Strålkälla],DataTable[[#This Row],[Strålkälla]],DataTable[Sens_15])</f>
        <v>0.99955944175255107</v>
      </c>
      <c r="FT78" s="19">
        <v>1302</v>
      </c>
      <c r="FU78" s="19">
        <v>1537</v>
      </c>
      <c r="FV78" s="19">
        <v>8.3000000000000004E-2</v>
      </c>
      <c r="FW78" s="19">
        <v>4.4999999999999998E-2</v>
      </c>
      <c r="FX78" s="19">
        <v>2.9000000000000001E-2</v>
      </c>
      <c r="FY78" s="19">
        <v>1467285</v>
      </c>
      <c r="FZ78" s="19">
        <v>170</v>
      </c>
      <c r="GA78" s="19">
        <v>0</v>
      </c>
      <c r="GB78" s="19">
        <v>0</v>
      </c>
      <c r="GC78" s="19">
        <v>15.520509095759353</v>
      </c>
      <c r="GD78" s="19">
        <f>DataTable[[#This Row],[Sens_16]]/AVERAGEIF(DataTable[Strålkälla],DataTable[[#This Row],[Strålkälla]],DataTable[Sens_16])</f>
        <v>0.99860392246413487</v>
      </c>
      <c r="GE78" s="19">
        <v>1253</v>
      </c>
      <c r="GF78" s="19">
        <v>1518</v>
      </c>
      <c r="GG78" s="19">
        <v>9.6000000000000002E-2</v>
      </c>
      <c r="GH78" s="19">
        <v>0.04</v>
      </c>
      <c r="GI78" s="19">
        <v>2.8000000000000001E-2</v>
      </c>
      <c r="GJ78" s="19">
        <v>1405024</v>
      </c>
      <c r="GK78" s="19">
        <v>170</v>
      </c>
      <c r="GL78" s="19">
        <v>0</v>
      </c>
      <c r="GM78" s="19">
        <v>0</v>
      </c>
      <c r="GN78" s="19">
        <v>14.861930553205539</v>
      </c>
      <c r="GO78" s="19">
        <f>DataTable[[#This Row],[Sens_17]]/AVERAGEIF(DataTable[Strålkälla],DataTable[[#This Row],[Strålkälla]],DataTable[Sens_17])</f>
        <v>0.9959640778286879</v>
      </c>
      <c r="GP78" s="19">
        <v>1427</v>
      </c>
      <c r="GQ78" s="19">
        <v>1754</v>
      </c>
      <c r="GR78" s="19">
        <v>0.10299999999999999</v>
      </c>
      <c r="GS78" s="19">
        <v>4.3999999999999997E-2</v>
      </c>
      <c r="GT78" s="19">
        <v>2.9000000000000001E-2</v>
      </c>
      <c r="GU78" s="19">
        <v>1630091</v>
      </c>
      <c r="GV78" s="19">
        <v>170</v>
      </c>
      <c r="GW78" s="19">
        <v>0</v>
      </c>
      <c r="GX78" s="19">
        <v>0</v>
      </c>
      <c r="GY78" s="19">
        <v>17.242623070784109</v>
      </c>
      <c r="GZ78" s="19">
        <f>DataTable[[#This Row],[Sens_18]]/AVERAGEIF(DataTable[Strålkälla],DataTable[[#This Row],[Strålkälla]],DataTable[Sens_18])</f>
        <v>0.99860255604087567</v>
      </c>
      <c r="HA78" s="19">
        <v>1315</v>
      </c>
      <c r="HB78" s="19">
        <v>1607</v>
      </c>
      <c r="HC78" s="19">
        <v>0.1</v>
      </c>
      <c r="HD78" s="19">
        <v>0.04</v>
      </c>
      <c r="HE78" s="19">
        <v>2.9000000000000001E-2</v>
      </c>
      <c r="HF78" s="19">
        <v>1478600</v>
      </c>
      <c r="HG78" s="19">
        <v>170</v>
      </c>
      <c r="HH78" s="19">
        <v>0</v>
      </c>
      <c r="HI78" s="19">
        <v>0</v>
      </c>
      <c r="HJ78" s="19">
        <v>15.640195837202574</v>
      </c>
      <c r="HK78" s="19">
        <f>DataTable[[#This Row],[Sens_19]]/AVERAGEIF(DataTable[Strålkälla],DataTable[[#This Row],[Strålkälla]],DataTable[Sens_19])</f>
        <v>0.99956793641650121</v>
      </c>
      <c r="HL78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0.11799999999999999</v>
      </c>
      <c r="HM78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9.347368421052632E-2</v>
      </c>
      <c r="HN78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4.7E-2</v>
      </c>
      <c r="HO78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4.0052631578947374E-2</v>
      </c>
      <c r="HP78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0.9959640778286879</v>
      </c>
      <c r="HQ78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0.99912318763135766</v>
      </c>
      <c r="HR78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1.0015692095865736</v>
      </c>
      <c r="HS78" s="49"/>
    </row>
    <row r="79" spans="2:227" x14ac:dyDescent="0.25">
      <c r="B79" s="19" t="s">
        <v>43</v>
      </c>
      <c r="C79" s="20">
        <v>42639</v>
      </c>
      <c r="D79" s="21">
        <v>0.31659722222222225</v>
      </c>
      <c r="E79" s="13" t="s">
        <v>217</v>
      </c>
      <c r="F79" s="13">
        <v>109.8</v>
      </c>
      <c r="G79" s="13">
        <v>134.19999999999999</v>
      </c>
      <c r="H79" s="24">
        <v>8.2716999999999992</v>
      </c>
      <c r="I79" s="22">
        <f>MATCH(DataTable[[#This Row],[Datum]],Övrigt!$D$10:$M$10,1)</f>
        <v>2</v>
      </c>
      <c r="J79" s="13"/>
      <c r="K79" s="22">
        <v>1809</v>
      </c>
      <c r="L79" s="22">
        <v>2164</v>
      </c>
      <c r="M79" s="23">
        <v>8.8999999999999996E-2</v>
      </c>
      <c r="N79" s="23">
        <v>4.2000000000000003E-2</v>
      </c>
      <c r="O79" s="23">
        <v>2.7E-2</v>
      </c>
      <c r="P79" s="22">
        <v>2029229</v>
      </c>
      <c r="Q79" s="24">
        <v>165</v>
      </c>
      <c r="R79" s="22">
        <v>0</v>
      </c>
      <c r="S79" s="22">
        <v>0</v>
      </c>
      <c r="T79" s="19">
        <v>22.398887912662275</v>
      </c>
      <c r="U79" s="23">
        <f>DataTable[[#This Row],[Sens_1]]/AVERAGEIF(DataTable[Strålkälla],DataTable[[#This Row],[Strålkälla]],DataTable[Sens_1])</f>
        <v>0.99952270777325358</v>
      </c>
      <c r="V79" s="22">
        <v>2210</v>
      </c>
      <c r="W79" s="22">
        <v>2648</v>
      </c>
      <c r="X79" s="23">
        <v>0.09</v>
      </c>
      <c r="Y79" s="23">
        <v>3.5999999999999997E-2</v>
      </c>
      <c r="Z79" s="23">
        <v>2.4E-2</v>
      </c>
      <c r="AA79" s="22">
        <v>2445392</v>
      </c>
      <c r="AB79" s="24">
        <v>165</v>
      </c>
      <c r="AC79" s="22">
        <v>0</v>
      </c>
      <c r="AD79" s="22">
        <v>1</v>
      </c>
      <c r="AE79" s="19">
        <v>26.992548061614052</v>
      </c>
      <c r="AF79" s="23">
        <f>DataTable[[#This Row],[Sens_2]]/AVERAGEIF(DataTable[Strålkälla],DataTable[[#This Row],[Strålkälla]],DataTable[Sens_2])</f>
        <v>0.99817478971226448</v>
      </c>
      <c r="AG79" s="22">
        <v>1821</v>
      </c>
      <c r="AH79" s="22">
        <v>2249</v>
      </c>
      <c r="AI79" s="23">
        <v>0.105</v>
      </c>
      <c r="AJ79" s="23">
        <v>4.1000000000000002E-2</v>
      </c>
      <c r="AK79" s="23">
        <v>2.5999999999999999E-2</v>
      </c>
      <c r="AL79" s="22">
        <v>2138869</v>
      </c>
      <c r="AM79" s="24">
        <v>165</v>
      </c>
      <c r="AN79" s="22">
        <v>1</v>
      </c>
      <c r="AO79" s="22">
        <v>0</v>
      </c>
      <c r="AP79" s="19">
        <v>23.609108183880696</v>
      </c>
      <c r="AQ79" s="23">
        <f>DataTable[[#This Row],[Sens_3]]/AVERAGEIF(DataTable[Strålkälla],DataTable[[#This Row],[Strålkälla]],DataTable[Sens_3])</f>
        <v>0.99981986875997919</v>
      </c>
      <c r="AR79" s="22">
        <v>1869</v>
      </c>
      <c r="AS79" s="22">
        <v>2204</v>
      </c>
      <c r="AT79" s="23">
        <v>8.2000000000000003E-2</v>
      </c>
      <c r="AU79" s="23">
        <v>4.8000000000000001E-2</v>
      </c>
      <c r="AV79" s="23">
        <v>2.5000000000000001E-2</v>
      </c>
      <c r="AW79" s="22">
        <v>2072728</v>
      </c>
      <c r="AX79" s="24">
        <v>165</v>
      </c>
      <c r="AY79" s="22">
        <v>0</v>
      </c>
      <c r="AZ79" s="22">
        <v>0</v>
      </c>
      <c r="BA79" s="19">
        <v>22.879035409722928</v>
      </c>
      <c r="BB79" s="23">
        <f>DataTable[[#This Row],[Sens_4]]/AVERAGEIF(DataTable[Strålkälla],DataTable[[#This Row],[Strålkälla]],DataTable[Sens_4])</f>
        <v>1.0012987267039726</v>
      </c>
      <c r="BC79" s="22">
        <v>2113</v>
      </c>
      <c r="BD79" s="22">
        <v>2495</v>
      </c>
      <c r="BE79" s="19">
        <v>8.3000000000000004E-2</v>
      </c>
      <c r="BF79" s="19">
        <v>3.5000000000000003E-2</v>
      </c>
      <c r="BG79" s="19">
        <v>2.4E-2</v>
      </c>
      <c r="BH79" s="19">
        <v>2333822</v>
      </c>
      <c r="BI79" s="19">
        <v>165</v>
      </c>
      <c r="BJ79" s="19">
        <v>0</v>
      </c>
      <c r="BK79" s="19">
        <v>0</v>
      </c>
      <c r="BL79" s="19">
        <v>25.761024204811431</v>
      </c>
      <c r="BM79" s="23">
        <f>DataTable[[#This Row],[Sens_5]]/AVERAGEIF(DataTable[Strålkälla],DataTable[[#This Row],[Strålkälla]],DataTable[Sens_5])</f>
        <v>1.0010652925645587</v>
      </c>
      <c r="BN79" s="19">
        <v>2085</v>
      </c>
      <c r="BO79" s="19">
        <v>2479</v>
      </c>
      <c r="BP79" s="19">
        <v>8.5999999999999993E-2</v>
      </c>
      <c r="BQ79" s="19">
        <v>3.1E-2</v>
      </c>
      <c r="BR79" s="19">
        <v>2.4E-2</v>
      </c>
      <c r="BS79" s="19">
        <v>2333183</v>
      </c>
      <c r="BT79" s="19">
        <v>165</v>
      </c>
      <c r="BU79" s="19">
        <v>0</v>
      </c>
      <c r="BV79" s="19">
        <v>0</v>
      </c>
      <c r="BW79" s="19">
        <v>25.753970841501427</v>
      </c>
      <c r="BX79" s="23">
        <f>DataTable[[#This Row],[Sens_6]]/AVERAGEIF(DataTable[Strålkälla],DataTable[[#This Row],[Strålkälla]],DataTable[Sens_6])</f>
        <v>1.001146648498592</v>
      </c>
      <c r="BY79" s="19">
        <v>1838</v>
      </c>
      <c r="BZ79" s="19">
        <v>2203</v>
      </c>
      <c r="CA79" s="19">
        <v>0.09</v>
      </c>
      <c r="CB79" s="19">
        <v>3.9E-2</v>
      </c>
      <c r="CC79" s="19">
        <v>2.7E-2</v>
      </c>
      <c r="CD79" s="19">
        <v>2076655</v>
      </c>
      <c r="CE79" s="19">
        <v>165</v>
      </c>
      <c r="CF79" s="19">
        <v>0</v>
      </c>
      <c r="CG79" s="19">
        <v>0</v>
      </c>
      <c r="CH79" s="19">
        <v>22.92238213541679</v>
      </c>
      <c r="CI79" s="23">
        <f>DataTable[[#This Row],[Sens_7]]/AVERAGEIF(DataTable[Strålkälla],DataTable[[#This Row],[Strålkälla]],DataTable[Sens_7])</f>
        <v>1.0024895263941465</v>
      </c>
      <c r="CJ79" s="19">
        <v>2107</v>
      </c>
      <c r="CK79" s="19">
        <v>2631</v>
      </c>
      <c r="CL79" s="19">
        <v>0.111</v>
      </c>
      <c r="CM79" s="19">
        <v>4.2999999999999997E-2</v>
      </c>
      <c r="CN79" s="19">
        <v>2.5999999999999999E-2</v>
      </c>
      <c r="CO79" s="19">
        <v>2445971</v>
      </c>
      <c r="CP79" s="19">
        <v>165</v>
      </c>
      <c r="CQ79" s="19">
        <v>2</v>
      </c>
      <c r="CR79" s="19">
        <v>0</v>
      </c>
      <c r="CS79" s="19">
        <v>26.998939137289312</v>
      </c>
      <c r="CT79" s="23">
        <f>DataTable[[#This Row],[Sens_8]]/AVERAGEIF(DataTable[Strålkälla],DataTable[[#This Row],[Strålkälla]],DataTable[Sens_8])</f>
        <v>0.99928169620776497</v>
      </c>
      <c r="CU79" s="19">
        <v>1748</v>
      </c>
      <c r="CV79" s="19">
        <v>2091</v>
      </c>
      <c r="CW79" s="19">
        <v>8.8999999999999996E-2</v>
      </c>
      <c r="CX79" s="19">
        <v>4.2000000000000003E-2</v>
      </c>
      <c r="CY79" s="19">
        <v>2.5999999999999999E-2</v>
      </c>
      <c r="CZ79" s="19">
        <v>1965266</v>
      </c>
      <c r="DA79" s="19">
        <v>160</v>
      </c>
      <c r="DB79" s="19">
        <v>0</v>
      </c>
      <c r="DC79" s="19">
        <v>0</v>
      </c>
      <c r="DD79" s="19">
        <v>22.370757935259562</v>
      </c>
      <c r="DE79" s="23">
        <f>DataTable[[#This Row],[Sens_9]]/AVERAGEIF(DataTable[Strålkälla],DataTable[[#This Row],[Strålkälla]],DataTable[Sens_9])</f>
        <v>1.0000873858604673</v>
      </c>
      <c r="DF79" s="19">
        <v>1667</v>
      </c>
      <c r="DG79" s="19">
        <v>2045</v>
      </c>
      <c r="DH79" s="19">
        <v>0.10199999999999999</v>
      </c>
      <c r="DI79" s="19">
        <v>4.3999999999999997E-2</v>
      </c>
      <c r="DJ79" s="19">
        <v>2.5999999999999999E-2</v>
      </c>
      <c r="DK79" s="19">
        <v>1903882</v>
      </c>
      <c r="DL79" s="19">
        <v>160</v>
      </c>
      <c r="DM79" s="19">
        <v>0</v>
      </c>
      <c r="DN79" s="19">
        <v>0</v>
      </c>
      <c r="DO79" s="19">
        <v>21.672019644820519</v>
      </c>
      <c r="DP79" s="23">
        <f>DataTable[[#This Row],[Sens_10]]/AVERAGEIF(DataTable[Strålkälla],DataTable[[#This Row],[Strålkälla]],DataTable[Sens_10])</f>
        <v>0.99888907057520382</v>
      </c>
      <c r="DQ79" s="19">
        <v>1473</v>
      </c>
      <c r="DR79" s="19">
        <v>1778</v>
      </c>
      <c r="DS79" s="19">
        <v>9.4E-2</v>
      </c>
      <c r="DT79" s="19">
        <v>4.7E-2</v>
      </c>
      <c r="DU79" s="19">
        <v>2.8000000000000001E-2</v>
      </c>
      <c r="DV79" s="19">
        <v>1674798</v>
      </c>
      <c r="DW79" s="19">
        <v>160</v>
      </c>
      <c r="DX79" s="19">
        <v>0</v>
      </c>
      <c r="DY79" s="19">
        <v>0</v>
      </c>
      <c r="DZ79" s="19">
        <v>19.064340729680787</v>
      </c>
      <c r="EA79" s="19">
        <f>DataTable[[#This Row],[Sens_11]]/AVERAGEIF(DataTable[Strålkälla],DataTable[[#This Row],[Strålkälla]],DataTable[Sens_11])</f>
        <v>0.99908465488029641</v>
      </c>
      <c r="EB79" s="19">
        <v>1740</v>
      </c>
      <c r="EC79" s="19">
        <v>2151</v>
      </c>
      <c r="ED79" s="19">
        <v>0.106</v>
      </c>
      <c r="EE79" s="19">
        <v>5.0999999999999997E-2</v>
      </c>
      <c r="EF79" s="19">
        <v>2.8000000000000001E-2</v>
      </c>
      <c r="EG79" s="19">
        <v>1994414</v>
      </c>
      <c r="EH79" s="19">
        <v>160</v>
      </c>
      <c r="EI79" s="19">
        <v>0</v>
      </c>
      <c r="EJ79" s="19">
        <v>0</v>
      </c>
      <c r="EK79" s="19">
        <v>22.70255162237212</v>
      </c>
      <c r="EL79" s="23">
        <f>DataTable[[#This Row],[Sens_12]]/AVERAGEIF(DataTable[Strålkälla],DataTable[[#This Row],[Strålkälla]],DataTable[Sens_12])</f>
        <v>1.0000018416084593</v>
      </c>
      <c r="EM79" s="19">
        <v>1445</v>
      </c>
      <c r="EN79" s="19">
        <v>1836</v>
      </c>
      <c r="EO79" s="19">
        <v>0.11899999999999999</v>
      </c>
      <c r="EP79" s="19">
        <v>4.2999999999999997E-2</v>
      </c>
      <c r="EQ79" s="19">
        <v>2.8000000000000001E-2</v>
      </c>
      <c r="ER79" s="19">
        <v>1697466</v>
      </c>
      <c r="ES79" s="19">
        <v>172</v>
      </c>
      <c r="ET79" s="19">
        <v>1</v>
      </c>
      <c r="EU79" s="19">
        <v>0</v>
      </c>
      <c r="EV79" s="19">
        <v>17.974299657185082</v>
      </c>
      <c r="EW79" s="19">
        <f>DataTable[[#This Row],[Sens_13]]/AVERAGEIF(DataTable[Strålkälla],DataTable[[#This Row],[Strålkälla]],DataTable[Sens_13])</f>
        <v>0.9976854088228081</v>
      </c>
      <c r="EX79" s="19">
        <v>1265</v>
      </c>
      <c r="EY79" s="19">
        <v>1555</v>
      </c>
      <c r="EZ79" s="19">
        <v>0.10299999999999999</v>
      </c>
      <c r="FA79" s="19">
        <v>3.7999999999999999E-2</v>
      </c>
      <c r="FB79" s="19">
        <v>0.03</v>
      </c>
      <c r="FC79" s="19">
        <v>1438697</v>
      </c>
      <c r="FD79" s="19">
        <v>172</v>
      </c>
      <c r="FE79" s="19">
        <v>0</v>
      </c>
      <c r="FF79" s="19">
        <v>0</v>
      </c>
      <c r="FG79" s="19">
        <v>15.234220298900365</v>
      </c>
      <c r="FH79" s="19">
        <f>DataTable[[#This Row],[Sens_14]]/AVERAGEIF(DataTable[Strålkälla],DataTable[[#This Row],[Strålkälla]],DataTable[Sens_14])</f>
        <v>0.99781533380495968</v>
      </c>
      <c r="FI79" s="19">
        <v>1438</v>
      </c>
      <c r="FJ79" s="19">
        <v>1749</v>
      </c>
      <c r="FK79" s="19">
        <v>9.8000000000000004E-2</v>
      </c>
      <c r="FL79" s="19">
        <v>3.7999999999999999E-2</v>
      </c>
      <c r="FM79" s="19">
        <v>2.7E-2</v>
      </c>
      <c r="FN79" s="19">
        <v>1629343</v>
      </c>
      <c r="FO79" s="19">
        <v>172</v>
      </c>
      <c r="FP79" s="19">
        <v>0</v>
      </c>
      <c r="FQ79" s="19">
        <v>0</v>
      </c>
      <c r="FR79" s="19">
        <v>17.252951945038614</v>
      </c>
      <c r="FS79" s="19">
        <f>DataTable[[#This Row],[Sens_15]]/AVERAGEIF(DataTable[Strålkälla],DataTable[[#This Row],[Strålkälla]],DataTable[Sens_15])</f>
        <v>0.99873310288858286</v>
      </c>
      <c r="FT79" s="19">
        <v>1285</v>
      </c>
      <c r="FU79" s="19">
        <v>1580</v>
      </c>
      <c r="FV79" s="19">
        <v>0.10299999999999999</v>
      </c>
      <c r="FW79" s="19">
        <v>0.04</v>
      </c>
      <c r="FX79" s="19">
        <v>2.9000000000000001E-2</v>
      </c>
      <c r="FY79" s="19">
        <v>1469002</v>
      </c>
      <c r="FZ79" s="19">
        <v>172</v>
      </c>
      <c r="GA79" s="19">
        <v>0</v>
      </c>
      <c r="GB79" s="19">
        <v>0</v>
      </c>
      <c r="GC79" s="19">
        <v>15.555116947852976</v>
      </c>
      <c r="GD79" s="19">
        <f>DataTable[[#This Row],[Sens_16]]/AVERAGEIF(DataTable[Strålkälla],DataTable[[#This Row],[Strålkälla]],DataTable[Sens_16])</f>
        <v>1.0008306237041216</v>
      </c>
      <c r="GE79" s="19">
        <v>1242</v>
      </c>
      <c r="GF79" s="19">
        <v>1538</v>
      </c>
      <c r="GG79" s="19">
        <v>0.106</v>
      </c>
      <c r="GH79" s="19">
        <v>4.7E-2</v>
      </c>
      <c r="GI79" s="19">
        <v>0.03</v>
      </c>
      <c r="GJ79" s="19">
        <v>1409112</v>
      </c>
      <c r="GK79" s="19">
        <v>172</v>
      </c>
      <c r="GL79" s="19">
        <v>0</v>
      </c>
      <c r="GM79" s="19">
        <v>0</v>
      </c>
      <c r="GN79" s="19">
        <v>14.920947658766295</v>
      </c>
      <c r="GO79" s="19">
        <f>DataTable[[#This Row],[Sens_17]]/AVERAGEIF(DataTable[Strålkälla],DataTable[[#This Row],[Strålkälla]],DataTable[Sens_17])</f>
        <v>0.99991907660260282</v>
      </c>
      <c r="GP79" s="19">
        <v>1447</v>
      </c>
      <c r="GQ79" s="19">
        <v>1766</v>
      </c>
      <c r="GR79" s="19">
        <v>9.9000000000000005E-2</v>
      </c>
      <c r="GS79" s="19">
        <v>4.5999999999999999E-2</v>
      </c>
      <c r="GT79" s="19">
        <v>2.8000000000000001E-2</v>
      </c>
      <c r="GU79" s="19">
        <v>1634110</v>
      </c>
      <c r="GV79" s="19">
        <v>172</v>
      </c>
      <c r="GW79" s="19">
        <v>0</v>
      </c>
      <c r="GX79" s="19">
        <v>0</v>
      </c>
      <c r="GY79" s="19">
        <v>17.303429236758035</v>
      </c>
      <c r="GZ79" s="19">
        <f>DataTable[[#This Row],[Sens_18]]/AVERAGEIF(DataTable[Strålkälla],DataTable[[#This Row],[Strålkälla]],DataTable[Sens_18])</f>
        <v>1.0021241311814639</v>
      </c>
      <c r="HA79" s="19">
        <v>1298</v>
      </c>
      <c r="HB79" s="19">
        <v>1703</v>
      </c>
      <c r="HC79" s="19">
        <v>0.13500000000000001</v>
      </c>
      <c r="HD79" s="19">
        <v>8.5000000000000006E-2</v>
      </c>
      <c r="HE79" s="19">
        <v>3.3000000000000002E-2</v>
      </c>
      <c r="HF79" s="19">
        <v>1478816</v>
      </c>
      <c r="HG79" s="19">
        <v>172</v>
      </c>
      <c r="HH79" s="19">
        <v>0</v>
      </c>
      <c r="HI79" s="19">
        <v>3</v>
      </c>
      <c r="HJ79" s="19">
        <v>15.659036423610143</v>
      </c>
      <c r="HK79" s="19">
        <f>DataTable[[#This Row],[Sens_19]]/AVERAGEIF(DataTable[Strålkälla],DataTable[[#This Row],[Strålkälla]],DataTable[Sens_19])</f>
        <v>1.0007720419323347</v>
      </c>
      <c r="HL79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0.13500000000000001</v>
      </c>
      <c r="HM79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9.9473684210526325E-2</v>
      </c>
      <c r="HN79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8.5000000000000006E-2</v>
      </c>
      <c r="HO79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4.4000000000000004E-2</v>
      </c>
      <c r="HP79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0.9976854088228081</v>
      </c>
      <c r="HQ79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0.9999337857092544</v>
      </c>
      <c r="HR79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1.0024895263941465</v>
      </c>
      <c r="HS79" s="49"/>
    </row>
    <row r="80" spans="2:227" x14ac:dyDescent="0.25">
      <c r="B80" s="19" t="s">
        <v>43</v>
      </c>
      <c r="C80" s="20">
        <v>42641</v>
      </c>
      <c r="D80" s="21">
        <v>0.30459490740740741</v>
      </c>
      <c r="E80" s="13" t="s">
        <v>217</v>
      </c>
      <c r="F80" s="13">
        <v>109.8</v>
      </c>
      <c r="G80" s="13">
        <v>134.19999999999999</v>
      </c>
      <c r="H80" s="24">
        <v>8.3170000000000002</v>
      </c>
      <c r="I80" s="22">
        <f>MATCH(DataTable[[#This Row],[Datum]],Övrigt!$D$10:$M$10,1)</f>
        <v>2</v>
      </c>
      <c r="J80" s="13"/>
      <c r="K80" s="22">
        <v>1815</v>
      </c>
      <c r="L80" s="22">
        <v>2143</v>
      </c>
      <c r="M80" s="23">
        <v>8.3000000000000004E-2</v>
      </c>
      <c r="N80" s="23">
        <v>3.6999999999999998E-2</v>
      </c>
      <c r="O80" s="23">
        <v>2.5999999999999999E-2</v>
      </c>
      <c r="P80" s="22">
        <v>2027543</v>
      </c>
      <c r="Q80" s="24">
        <v>166</v>
      </c>
      <c r="R80" s="22">
        <v>0</v>
      </c>
      <c r="S80" s="22">
        <v>0</v>
      </c>
      <c r="T80" s="19">
        <v>22.359232892229844</v>
      </c>
      <c r="U80" s="23">
        <f>DataTable[[#This Row],[Sens_1]]/AVERAGEIF(DataTable[Strålkälla],DataTable[[#This Row],[Strålkälla]],DataTable[Sens_1])</f>
        <v>0.9977531514651915</v>
      </c>
      <c r="V80" s="22">
        <v>2138</v>
      </c>
      <c r="W80" s="22">
        <v>2597</v>
      </c>
      <c r="X80" s="23">
        <v>9.7000000000000003E-2</v>
      </c>
      <c r="Y80" s="23">
        <v>4.1000000000000002E-2</v>
      </c>
      <c r="Z80" s="23">
        <v>2.3E-2</v>
      </c>
      <c r="AA80" s="22">
        <v>2444250</v>
      </c>
      <c r="AB80" s="24">
        <v>166</v>
      </c>
      <c r="AC80" s="22">
        <v>3</v>
      </c>
      <c r="AD80" s="22">
        <v>0</v>
      </c>
      <c r="AE80" s="19">
        <v>26.954572601830289</v>
      </c>
      <c r="AF80" s="23">
        <f>DataTable[[#This Row],[Sens_2]]/AVERAGEIF(DataTable[Strålkälla],DataTable[[#This Row],[Strålkälla]],DataTable[Sens_2])</f>
        <v>0.99677047076848202</v>
      </c>
      <c r="AG80" s="22">
        <v>1859</v>
      </c>
      <c r="AH80" s="22">
        <v>2338</v>
      </c>
      <c r="AI80" s="23">
        <v>0.114</v>
      </c>
      <c r="AJ80" s="23">
        <v>3.7999999999999999E-2</v>
      </c>
      <c r="AK80" s="23">
        <v>2.7E-2</v>
      </c>
      <c r="AL80" s="22">
        <v>2137315</v>
      </c>
      <c r="AM80" s="24">
        <v>166</v>
      </c>
      <c r="AN80" s="22">
        <v>1</v>
      </c>
      <c r="AO80" s="22">
        <v>1</v>
      </c>
      <c r="AP80" s="19">
        <v>23.569770825603317</v>
      </c>
      <c r="AQ80" s="23">
        <f>DataTable[[#This Row],[Sens_3]]/AVERAGEIF(DataTable[Strålkälla],DataTable[[#This Row],[Strålkälla]],DataTable[Sens_3])</f>
        <v>0.99815397472942424</v>
      </c>
      <c r="AR80" s="22">
        <v>1840</v>
      </c>
      <c r="AS80" s="22">
        <v>2233</v>
      </c>
      <c r="AT80" s="23">
        <v>9.6000000000000002E-2</v>
      </c>
      <c r="AU80" s="23">
        <v>0.04</v>
      </c>
      <c r="AV80" s="23">
        <v>2.5000000000000001E-2</v>
      </c>
      <c r="AW80" s="22">
        <v>2069718</v>
      </c>
      <c r="AX80" s="24">
        <v>166</v>
      </c>
      <c r="AY80" s="22">
        <v>0</v>
      </c>
      <c r="AZ80" s="22">
        <v>1</v>
      </c>
      <c r="BA80" s="19">
        <v>22.824328156414026</v>
      </c>
      <c r="BB80" s="23">
        <f>DataTable[[#This Row],[Sens_4]]/AVERAGEIF(DataTable[Strålkälla],DataTable[[#This Row],[Strålkälla]],DataTable[Sens_4])</f>
        <v>0.99890446916213593</v>
      </c>
      <c r="BC80" s="22">
        <v>2080</v>
      </c>
      <c r="BD80" s="22">
        <v>2490</v>
      </c>
      <c r="BE80" s="19">
        <v>0.09</v>
      </c>
      <c r="BF80" s="19">
        <v>3.7999999999999999E-2</v>
      </c>
      <c r="BG80" s="19">
        <v>2.4E-2</v>
      </c>
      <c r="BH80" s="19">
        <v>2331800</v>
      </c>
      <c r="BI80" s="19">
        <v>166</v>
      </c>
      <c r="BJ80" s="19">
        <v>0</v>
      </c>
      <c r="BK80" s="19">
        <v>0</v>
      </c>
      <c r="BL80" s="19">
        <v>25.714502359802751</v>
      </c>
      <c r="BM80" s="23">
        <f>DataTable[[#This Row],[Sens_5]]/AVERAGEIF(DataTable[Strålkälla],DataTable[[#This Row],[Strålkälla]],DataTable[Sens_5])</f>
        <v>0.9992574683098242</v>
      </c>
      <c r="BN80" s="19">
        <v>2125</v>
      </c>
      <c r="BO80" s="19">
        <v>2462</v>
      </c>
      <c r="BP80" s="19">
        <v>7.2999999999999995E-2</v>
      </c>
      <c r="BQ80" s="19">
        <v>3.4000000000000002E-2</v>
      </c>
      <c r="BR80" s="19">
        <v>2.4E-2</v>
      </c>
      <c r="BS80" s="19">
        <v>2338087</v>
      </c>
      <c r="BT80" s="19">
        <v>166</v>
      </c>
      <c r="BU80" s="19">
        <v>0</v>
      </c>
      <c r="BV80" s="19">
        <v>0</v>
      </c>
      <c r="BW80" s="19">
        <v>25.783833810328559</v>
      </c>
      <c r="BX80" s="23">
        <f>DataTable[[#This Row],[Sens_6]]/AVERAGEIF(DataTable[Strålkälla],DataTable[[#This Row],[Strålkälla]],DataTable[Sens_6])</f>
        <v>1.002307526226516</v>
      </c>
      <c r="BY80" s="19">
        <v>1825</v>
      </c>
      <c r="BZ80" s="19">
        <v>2226</v>
      </c>
      <c r="CA80" s="19">
        <v>9.9000000000000005E-2</v>
      </c>
      <c r="CB80" s="19">
        <v>0.05</v>
      </c>
      <c r="CC80" s="19">
        <v>2.5999999999999999E-2</v>
      </c>
      <c r="CD80" s="19">
        <v>2077456</v>
      </c>
      <c r="CE80" s="19">
        <v>166</v>
      </c>
      <c r="CF80" s="19">
        <v>0</v>
      </c>
      <c r="CG80" s="19">
        <v>0</v>
      </c>
      <c r="CH80" s="19">
        <v>22.909660869022378</v>
      </c>
      <c r="CI80" s="23">
        <f>DataTable[[#This Row],[Sens_7]]/AVERAGEIF(DataTable[Strålkälla],DataTable[[#This Row],[Strålkälla]],DataTable[Sens_7])</f>
        <v>1.0019331733830359</v>
      </c>
      <c r="CJ80" s="19">
        <v>2203</v>
      </c>
      <c r="CK80" s="19">
        <v>2588</v>
      </c>
      <c r="CL80" s="19">
        <v>0.08</v>
      </c>
      <c r="CM80" s="19">
        <v>4.1000000000000002E-2</v>
      </c>
      <c r="CN80" s="19">
        <v>2.5000000000000001E-2</v>
      </c>
      <c r="CO80" s="19">
        <v>2449062</v>
      </c>
      <c r="CP80" s="19">
        <v>166</v>
      </c>
      <c r="CQ80" s="19">
        <v>0</v>
      </c>
      <c r="CR80" s="19">
        <v>0</v>
      </c>
      <c r="CS80" s="19">
        <v>27.007638124325947</v>
      </c>
      <c r="CT80" s="23">
        <f>DataTable[[#This Row],[Sens_8]]/AVERAGEIF(DataTable[Strålkälla],DataTable[[#This Row],[Strålkälla]],DataTable[Sens_8])</f>
        <v>0.99960366213676144</v>
      </c>
      <c r="CU80" s="19">
        <v>1753</v>
      </c>
      <c r="CV80" s="19">
        <v>2118</v>
      </c>
      <c r="CW80" s="19">
        <v>9.4E-2</v>
      </c>
      <c r="CX80" s="19">
        <v>3.6999999999999998E-2</v>
      </c>
      <c r="CY80" s="19">
        <v>2.7E-2</v>
      </c>
      <c r="CZ80" s="19">
        <v>1965891</v>
      </c>
      <c r="DA80" s="19">
        <v>161</v>
      </c>
      <c r="DB80" s="19">
        <v>0</v>
      </c>
      <c r="DC80" s="19">
        <v>0</v>
      </c>
      <c r="DD80" s="19">
        <v>22.352621928651839</v>
      </c>
      <c r="DE80" s="23">
        <f>DataTable[[#This Row],[Sens_9]]/AVERAGEIF(DataTable[Strålkälla],DataTable[[#This Row],[Strålkälla]],DataTable[Sens_9])</f>
        <v>0.99927661353479313</v>
      </c>
      <c r="DF80" s="19">
        <v>1714</v>
      </c>
      <c r="DG80" s="19">
        <v>2045</v>
      </c>
      <c r="DH80" s="19">
        <v>8.7999999999999995E-2</v>
      </c>
      <c r="DI80" s="19">
        <v>0.04</v>
      </c>
      <c r="DJ80" s="19">
        <v>2.7E-2</v>
      </c>
      <c r="DK80" s="19">
        <v>1904467</v>
      </c>
      <c r="DL80" s="19">
        <v>161</v>
      </c>
      <c r="DM80" s="19">
        <v>0</v>
      </c>
      <c r="DN80" s="19">
        <v>0</v>
      </c>
      <c r="DO80" s="19">
        <v>21.654217261584588</v>
      </c>
      <c r="DP80" s="23">
        <f>DataTable[[#This Row],[Sens_10]]/AVERAGEIF(DataTable[Strålkälla],DataTable[[#This Row],[Strålkälla]],DataTable[Sens_10])</f>
        <v>0.99806853763291237</v>
      </c>
      <c r="DQ80" s="19">
        <v>1442</v>
      </c>
      <c r="DR80" s="19">
        <v>1804</v>
      </c>
      <c r="DS80" s="19">
        <v>0.112</v>
      </c>
      <c r="DT80" s="19">
        <v>4.1000000000000002E-2</v>
      </c>
      <c r="DU80" s="19">
        <v>2.8000000000000001E-2</v>
      </c>
      <c r="DV80" s="19">
        <v>1673916</v>
      </c>
      <c r="DW80" s="19">
        <v>161</v>
      </c>
      <c r="DX80" s="19">
        <v>1</v>
      </c>
      <c r="DY80" s="19">
        <v>0</v>
      </c>
      <c r="DZ80" s="19">
        <v>19.032800642721888</v>
      </c>
      <c r="EA80" s="19">
        <f>DataTable[[#This Row],[Sens_11]]/AVERAGEIF(DataTable[Strålkälla],DataTable[[#This Row],[Strålkälla]],DataTable[Sens_11])</f>
        <v>0.99743176704425562</v>
      </c>
      <c r="EB80" s="19">
        <v>1764</v>
      </c>
      <c r="EC80" s="19">
        <v>2185</v>
      </c>
      <c r="ED80" s="19">
        <v>0.107</v>
      </c>
      <c r="EE80" s="19">
        <v>4.5999999999999999E-2</v>
      </c>
      <c r="EF80" s="19">
        <v>2.7E-2</v>
      </c>
      <c r="EG80" s="19">
        <v>1993718</v>
      </c>
      <c r="EH80" s="19">
        <v>161</v>
      </c>
      <c r="EI80" s="19">
        <v>0</v>
      </c>
      <c r="EJ80" s="19">
        <v>1</v>
      </c>
      <c r="EK80" s="19">
        <v>22.669021164626059</v>
      </c>
      <c r="EL80" s="23">
        <f>DataTable[[#This Row],[Sens_12]]/AVERAGEIF(DataTable[Strålkälla],DataTable[[#This Row],[Strålkälla]],DataTable[Sens_12])</f>
        <v>0.99852489223053142</v>
      </c>
      <c r="EM80" s="19">
        <v>1505</v>
      </c>
      <c r="EN80" s="19">
        <v>1816</v>
      </c>
      <c r="EO80" s="19">
        <v>9.4E-2</v>
      </c>
      <c r="EP80" s="19">
        <v>4.5999999999999999E-2</v>
      </c>
      <c r="EQ80" s="19">
        <v>2.8000000000000001E-2</v>
      </c>
      <c r="ER80" s="19">
        <v>1697476</v>
      </c>
      <c r="ES80" s="19">
        <v>173</v>
      </c>
      <c r="ET80" s="19">
        <v>0</v>
      </c>
      <c r="EU80" s="19">
        <v>0</v>
      </c>
      <c r="EV80" s="19">
        <v>17.961907422432386</v>
      </c>
      <c r="EW80" s="19">
        <f>DataTable[[#This Row],[Sens_13]]/AVERAGEIF(DataTable[Strålkälla],DataTable[[#This Row],[Strålkälla]],DataTable[Sens_13])</f>
        <v>0.9969975627297043</v>
      </c>
      <c r="EX80" s="19">
        <v>1194</v>
      </c>
      <c r="EY80" s="19">
        <v>1560</v>
      </c>
      <c r="EZ80" s="19">
        <v>0.13300000000000001</v>
      </c>
      <c r="FA80" s="19">
        <v>5.6000000000000001E-2</v>
      </c>
      <c r="FB80" s="19">
        <v>0.03</v>
      </c>
      <c r="FC80" s="19">
        <v>1443062</v>
      </c>
      <c r="FD80" s="19">
        <v>173</v>
      </c>
      <c r="FE80" s="19">
        <v>1</v>
      </c>
      <c r="FF80" s="19">
        <v>0</v>
      </c>
      <c r="FG80" s="19">
        <v>15.269815920125012</v>
      </c>
      <c r="FH80" s="19">
        <f>DataTable[[#This Row],[Sens_14]]/AVERAGEIF(DataTable[Strålkälla],DataTable[[#This Row],[Strålkälla]],DataTable[Sens_14])</f>
        <v>1.0001467860209179</v>
      </c>
      <c r="FI80" s="19">
        <v>1465</v>
      </c>
      <c r="FJ80" s="19">
        <v>1729</v>
      </c>
      <c r="FK80" s="19">
        <v>8.3000000000000004E-2</v>
      </c>
      <c r="FL80" s="19">
        <v>4.2999999999999997E-2</v>
      </c>
      <c r="FM80" s="19">
        <v>2.7E-2</v>
      </c>
      <c r="FN80" s="19">
        <v>1629826</v>
      </c>
      <c r="FO80" s="19">
        <v>173</v>
      </c>
      <c r="FP80" s="19">
        <v>0</v>
      </c>
      <c r="FQ80" s="19">
        <v>0</v>
      </c>
      <c r="FR80" s="19">
        <v>17.24606635185021</v>
      </c>
      <c r="FS80" s="19">
        <f>DataTable[[#This Row],[Sens_15]]/AVERAGEIF(DataTable[Strålkälla],DataTable[[#This Row],[Strålkälla]],DataTable[Sens_15])</f>
        <v>0.9983345119765934</v>
      </c>
      <c r="FT80" s="19">
        <v>1292</v>
      </c>
      <c r="FU80" s="19">
        <v>1562</v>
      </c>
      <c r="FV80" s="19">
        <v>9.5000000000000001E-2</v>
      </c>
      <c r="FW80" s="19">
        <v>4.4999999999999998E-2</v>
      </c>
      <c r="FX80" s="19">
        <v>0.03</v>
      </c>
      <c r="FY80" s="19">
        <v>1465018</v>
      </c>
      <c r="FZ80" s="19">
        <v>173</v>
      </c>
      <c r="GA80" s="19">
        <v>0</v>
      </c>
      <c r="GB80" s="19">
        <v>0</v>
      </c>
      <c r="GC80" s="19">
        <v>15.502144176528594</v>
      </c>
      <c r="GD80" s="19">
        <f>DataTable[[#This Row],[Sens_16]]/AVERAGEIF(DataTable[Strålkälla],DataTable[[#This Row],[Strålkälla]],DataTable[Sens_16])</f>
        <v>0.99742230656053132</v>
      </c>
      <c r="GE80" s="19">
        <v>1233</v>
      </c>
      <c r="GF80" s="19">
        <v>1539</v>
      </c>
      <c r="GG80" s="19">
        <v>0.11</v>
      </c>
      <c r="GH80" s="19">
        <v>4.7E-2</v>
      </c>
      <c r="GI80" s="19">
        <v>3.1E-2</v>
      </c>
      <c r="GJ80" s="19">
        <v>1408964</v>
      </c>
      <c r="GK80" s="19">
        <v>173</v>
      </c>
      <c r="GL80" s="19">
        <v>0</v>
      </c>
      <c r="GM80" s="19">
        <v>0</v>
      </c>
      <c r="GN80" s="19">
        <v>14.909006624859513</v>
      </c>
      <c r="GO80" s="19">
        <f>DataTable[[#This Row],[Sens_17]]/AVERAGEIF(DataTable[Strålkälla],DataTable[[#This Row],[Strålkälla]],DataTable[Sens_17])</f>
        <v>0.99911885480229812</v>
      </c>
      <c r="GP80" s="19">
        <v>1447</v>
      </c>
      <c r="GQ80" s="19">
        <v>1764</v>
      </c>
      <c r="GR80" s="19">
        <v>9.9000000000000005E-2</v>
      </c>
      <c r="GS80" s="19">
        <v>4.3999999999999997E-2</v>
      </c>
      <c r="GT80" s="19">
        <v>2.8000000000000001E-2</v>
      </c>
      <c r="GU80" s="19">
        <v>1632073</v>
      </c>
      <c r="GV80" s="19">
        <v>173</v>
      </c>
      <c r="GW80" s="19">
        <v>0</v>
      </c>
      <c r="GX80" s="19">
        <v>0</v>
      </c>
      <c r="GY80" s="19">
        <v>17.269843068562675</v>
      </c>
      <c r="GZ80" s="19">
        <f>DataTable[[#This Row],[Sens_18]]/AVERAGEIF(DataTable[Strålkälla],DataTable[[#This Row],[Strålkälla]],DataTable[Sens_18])</f>
        <v>1.0001789959621983</v>
      </c>
      <c r="HA80" s="19">
        <v>1304</v>
      </c>
      <c r="HB80" s="19">
        <v>1581</v>
      </c>
      <c r="HC80" s="19">
        <v>9.6000000000000002E-2</v>
      </c>
      <c r="HD80" s="19">
        <v>5.5E-2</v>
      </c>
      <c r="HE80" s="19">
        <v>2.9000000000000001E-2</v>
      </c>
      <c r="HF80" s="19">
        <v>1479413</v>
      </c>
      <c r="HG80" s="19">
        <v>173</v>
      </c>
      <c r="HH80" s="19">
        <v>0</v>
      </c>
      <c r="HI80" s="19">
        <v>0</v>
      </c>
      <c r="HJ80" s="19">
        <v>15.654465421333182</v>
      </c>
      <c r="HK80" s="19">
        <f>DataTable[[#This Row],[Sens_19]]/AVERAGEIF(DataTable[Strålkälla],DataTable[[#This Row],[Strålkälla]],DataTable[Sens_19])</f>
        <v>1.0004799082940543</v>
      </c>
      <c r="HL80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0.13300000000000001</v>
      </c>
      <c r="HM80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9.7000000000000003E-2</v>
      </c>
      <c r="HN80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5.6000000000000001E-2</v>
      </c>
      <c r="HO80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4.3105263157894744E-2</v>
      </c>
      <c r="HP80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0.99677047076848202</v>
      </c>
      <c r="HQ80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0.99898234910369288</v>
      </c>
      <c r="HR80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1.002307526226516</v>
      </c>
      <c r="HS80" s="49"/>
    </row>
    <row r="81" spans="2:227" x14ac:dyDescent="0.25">
      <c r="B81" s="19" t="s">
        <v>43</v>
      </c>
      <c r="C81" s="20">
        <v>42642</v>
      </c>
      <c r="D81" s="21">
        <v>0.32027777777777777</v>
      </c>
      <c r="E81" s="13" t="s">
        <v>217</v>
      </c>
      <c r="F81" s="13">
        <v>109.8</v>
      </c>
      <c r="G81" s="13">
        <v>134.19999999999999</v>
      </c>
      <c r="H81" s="24">
        <v>8.3376999999999999</v>
      </c>
      <c r="I81" s="22">
        <f>MATCH(DataTable[[#This Row],[Datum]],Övrigt!$D$10:$M$10,1)</f>
        <v>2</v>
      </c>
      <c r="J81" s="13"/>
      <c r="K81" s="22">
        <v>1809</v>
      </c>
      <c r="L81" s="22">
        <v>2163</v>
      </c>
      <c r="M81" s="23">
        <v>8.8999999999999996E-2</v>
      </c>
      <c r="N81" s="23">
        <v>4.4999999999999998E-2</v>
      </c>
      <c r="O81" s="23">
        <v>2.5999999999999999E-2</v>
      </c>
      <c r="P81" s="22">
        <v>2035515</v>
      </c>
      <c r="Q81" s="24">
        <v>166</v>
      </c>
      <c r="R81" s="22">
        <v>0</v>
      </c>
      <c r="S81" s="22">
        <v>0</v>
      </c>
      <c r="T81" s="19">
        <v>22.504476770084807</v>
      </c>
      <c r="U81" s="23">
        <f>DataTable[[#This Row],[Sens_1]]/AVERAGEIF(DataTable[Strålkälla],DataTable[[#This Row],[Strålkälla]],DataTable[Sens_1])</f>
        <v>1.0042344801207543</v>
      </c>
      <c r="V81" s="22">
        <v>2147</v>
      </c>
      <c r="W81" s="22">
        <v>2640</v>
      </c>
      <c r="X81" s="23">
        <v>0.10299999999999999</v>
      </c>
      <c r="Y81" s="23">
        <v>3.5999999999999997E-2</v>
      </c>
      <c r="Z81" s="23">
        <v>2.5000000000000001E-2</v>
      </c>
      <c r="AA81" s="22">
        <v>2451682</v>
      </c>
      <c r="AB81" s="24">
        <v>166</v>
      </c>
      <c r="AC81" s="22">
        <v>1</v>
      </c>
      <c r="AD81" s="22">
        <v>1</v>
      </c>
      <c r="AE81" s="19">
        <v>27.105582919622336</v>
      </c>
      <c r="AF81" s="23">
        <f>DataTable[[#This Row],[Sens_2]]/AVERAGEIF(DataTable[Strålkälla],DataTable[[#This Row],[Strålkälla]],DataTable[Sens_2])</f>
        <v>1.0023547784026625</v>
      </c>
      <c r="AG81" s="22">
        <v>1921</v>
      </c>
      <c r="AH81" s="22">
        <v>2269</v>
      </c>
      <c r="AI81" s="23">
        <v>8.3000000000000004E-2</v>
      </c>
      <c r="AJ81" s="23">
        <v>4.8000000000000001E-2</v>
      </c>
      <c r="AK81" s="23">
        <v>2.4E-2</v>
      </c>
      <c r="AL81" s="22">
        <v>2140390</v>
      </c>
      <c r="AM81" s="24">
        <v>166</v>
      </c>
      <c r="AN81" s="22">
        <v>0</v>
      </c>
      <c r="AO81" s="22">
        <v>0</v>
      </c>
      <c r="AP81" s="19">
        <v>23.663965646984582</v>
      </c>
      <c r="AQ81" s="23">
        <f>DataTable[[#This Row],[Sens_3]]/AVERAGEIF(DataTable[Strålkälla],DataTable[[#This Row],[Strålkälla]],DataTable[Sens_3])</f>
        <v>1.0021430222282868</v>
      </c>
      <c r="AR81" s="22">
        <v>1855</v>
      </c>
      <c r="AS81" s="22">
        <v>2206</v>
      </c>
      <c r="AT81" s="23">
        <v>8.5999999999999993E-2</v>
      </c>
      <c r="AU81" s="23">
        <v>3.9E-2</v>
      </c>
      <c r="AV81" s="23">
        <v>2.5000000000000001E-2</v>
      </c>
      <c r="AW81" s="22">
        <v>2071108</v>
      </c>
      <c r="AX81" s="24">
        <v>166</v>
      </c>
      <c r="AY81" s="22">
        <v>0</v>
      </c>
      <c r="AZ81" s="22">
        <v>0</v>
      </c>
      <c r="BA81" s="19">
        <v>22.8979898818416</v>
      </c>
      <c r="BB81" s="23">
        <f>DataTable[[#This Row],[Sens_4]]/AVERAGEIF(DataTable[Strålkälla],DataTable[[#This Row],[Strålkälla]],DataTable[Sens_4])</f>
        <v>1.0021282673055709</v>
      </c>
      <c r="BC81" s="22">
        <v>2076</v>
      </c>
      <c r="BD81" s="22">
        <v>2454</v>
      </c>
      <c r="BE81" s="19">
        <v>8.3000000000000004E-2</v>
      </c>
      <c r="BF81" s="19">
        <v>4.2000000000000003E-2</v>
      </c>
      <c r="BG81" s="19">
        <v>2.4E-2</v>
      </c>
      <c r="BH81" s="19">
        <v>2332165</v>
      </c>
      <c r="BI81" s="19">
        <v>166</v>
      </c>
      <c r="BJ81" s="19">
        <v>0</v>
      </c>
      <c r="BK81" s="19">
        <v>0</v>
      </c>
      <c r="BL81" s="19">
        <v>25.784213364433491</v>
      </c>
      <c r="BM81" s="23">
        <f>DataTable[[#This Row],[Sens_5]]/AVERAGEIF(DataTable[Strålkälla],DataTable[[#This Row],[Strålkälla]],DataTable[Sens_5])</f>
        <v>1.001966416008907</v>
      </c>
      <c r="BN81" s="19">
        <v>2078</v>
      </c>
      <c r="BO81" s="19">
        <v>2452</v>
      </c>
      <c r="BP81" s="19">
        <v>8.3000000000000004E-2</v>
      </c>
      <c r="BQ81" s="19">
        <v>3.7999999999999999E-2</v>
      </c>
      <c r="BR81" s="19">
        <v>2.4E-2</v>
      </c>
      <c r="BS81" s="19">
        <v>2328327</v>
      </c>
      <c r="BT81" s="19">
        <v>166</v>
      </c>
      <c r="BU81" s="19">
        <v>0</v>
      </c>
      <c r="BV81" s="19">
        <v>0</v>
      </c>
      <c r="BW81" s="19">
        <v>25.741780770301986</v>
      </c>
      <c r="BX81" s="23">
        <f>DataTable[[#This Row],[Sens_6]]/AVERAGEIF(DataTable[Strålkälla],DataTable[[#This Row],[Strålkälla]],DataTable[Sens_6])</f>
        <v>1.0006727779253359</v>
      </c>
      <c r="BY81" s="19">
        <v>1796</v>
      </c>
      <c r="BZ81" s="19">
        <v>2277</v>
      </c>
      <c r="CA81" s="19">
        <v>0.11799999999999999</v>
      </c>
      <c r="CB81" s="19">
        <v>4.3999999999999997E-2</v>
      </c>
      <c r="CC81" s="19">
        <v>2.7E-2</v>
      </c>
      <c r="CD81" s="19">
        <v>2072920</v>
      </c>
      <c r="CE81" s="19">
        <v>166</v>
      </c>
      <c r="CF81" s="19">
        <v>1</v>
      </c>
      <c r="CG81" s="19">
        <v>1</v>
      </c>
      <c r="CH81" s="19">
        <v>22.918023196215305</v>
      </c>
      <c r="CI81" s="23">
        <f>DataTable[[#This Row],[Sens_7]]/AVERAGEIF(DataTable[Strålkälla],DataTable[[#This Row],[Strålkälla]],DataTable[Sens_7])</f>
        <v>1.0022988921542206</v>
      </c>
      <c r="CJ81" s="19">
        <v>2109</v>
      </c>
      <c r="CK81" s="19">
        <v>2570</v>
      </c>
      <c r="CL81" s="19">
        <v>9.9000000000000005E-2</v>
      </c>
      <c r="CM81" s="19">
        <v>3.5000000000000003E-2</v>
      </c>
      <c r="CN81" s="19">
        <v>2.4E-2</v>
      </c>
      <c r="CO81" s="19">
        <v>2443263</v>
      </c>
      <c r="CP81" s="19">
        <v>166</v>
      </c>
      <c r="CQ81" s="19">
        <v>1</v>
      </c>
      <c r="CR81" s="19">
        <v>0</v>
      </c>
      <c r="CS81" s="19">
        <v>27.012503187993072</v>
      </c>
      <c r="CT81" s="23">
        <f>DataTable[[#This Row],[Sens_8]]/AVERAGEIF(DataTable[Strålkälla],DataTable[[#This Row],[Strålkälla]],DataTable[Sens_8])</f>
        <v>0.99978372732557219</v>
      </c>
      <c r="CU81" s="19">
        <v>1733</v>
      </c>
      <c r="CV81" s="19">
        <v>2173</v>
      </c>
      <c r="CW81" s="19">
        <v>0.113</v>
      </c>
      <c r="CX81" s="19">
        <v>3.9E-2</v>
      </c>
      <c r="CY81" s="19">
        <v>2.7E-2</v>
      </c>
      <c r="CZ81" s="19">
        <v>1967066</v>
      </c>
      <c r="DA81" s="19">
        <v>161</v>
      </c>
      <c r="DB81" s="19">
        <v>0</v>
      </c>
      <c r="DC81" s="19">
        <v>2</v>
      </c>
      <c r="DD81" s="19">
        <v>22.423105319003152</v>
      </c>
      <c r="DE81" s="23">
        <f>DataTable[[#This Row],[Sens_9]]/AVERAGEIF(DataTable[Strålkälla],DataTable[[#This Row],[Strålkälla]],DataTable[Sens_9])</f>
        <v>1.0024275818572355</v>
      </c>
      <c r="DF81" s="19">
        <v>1622</v>
      </c>
      <c r="DG81" s="19">
        <v>2001</v>
      </c>
      <c r="DH81" s="19">
        <v>0.105</v>
      </c>
      <c r="DI81" s="19">
        <v>4.2000000000000003E-2</v>
      </c>
      <c r="DJ81" s="19">
        <v>2.7E-2</v>
      </c>
      <c r="DK81" s="19">
        <v>1903554</v>
      </c>
      <c r="DL81" s="19">
        <v>161</v>
      </c>
      <c r="DM81" s="19">
        <v>1</v>
      </c>
      <c r="DN81" s="19">
        <v>0</v>
      </c>
      <c r="DO81" s="19">
        <v>21.699115241893118</v>
      </c>
      <c r="DP81" s="23">
        <f>DataTable[[#This Row],[Sens_10]]/AVERAGEIF(DataTable[Strålkälla],DataTable[[#This Row],[Strålkälla]],DataTable[Sens_10])</f>
        <v>1.0001379387573162</v>
      </c>
      <c r="DQ81" s="19">
        <v>1492</v>
      </c>
      <c r="DR81" s="19">
        <v>1796</v>
      </c>
      <c r="DS81" s="19">
        <v>9.1999999999999998E-2</v>
      </c>
      <c r="DT81" s="19">
        <v>4.1000000000000002E-2</v>
      </c>
      <c r="DU81" s="19">
        <v>2.8000000000000001E-2</v>
      </c>
      <c r="DV81" s="19">
        <v>1674433</v>
      </c>
      <c r="DW81" s="19">
        <v>161</v>
      </c>
      <c r="DX81" s="19">
        <v>0</v>
      </c>
      <c r="DY81" s="19">
        <v>0</v>
      </c>
      <c r="DZ81" s="19">
        <v>19.087304395792724</v>
      </c>
      <c r="EA81" s="19">
        <f>DataTable[[#This Row],[Sens_11]]/AVERAGEIF(DataTable[Strålkälla],DataTable[[#This Row],[Strålkälla]],DataTable[Sens_11])</f>
        <v>1.0002880873387034</v>
      </c>
      <c r="EB81" s="19">
        <v>1769</v>
      </c>
      <c r="EC81" s="19">
        <v>2186</v>
      </c>
      <c r="ED81" s="19">
        <v>0.105</v>
      </c>
      <c r="EE81" s="19">
        <v>4.2999999999999997E-2</v>
      </c>
      <c r="EF81" s="19">
        <v>2.7E-2</v>
      </c>
      <c r="EG81" s="19">
        <v>1992739</v>
      </c>
      <c r="EH81" s="19">
        <v>161</v>
      </c>
      <c r="EI81" s="19">
        <v>0</v>
      </c>
      <c r="EJ81" s="19">
        <v>1</v>
      </c>
      <c r="EK81" s="19">
        <v>22.715758632544624</v>
      </c>
      <c r="EL81" s="23">
        <f>DataTable[[#This Row],[Sens_12]]/AVERAGEIF(DataTable[Strålkälla],DataTable[[#This Row],[Strålkälla]],DataTable[Sens_12])</f>
        <v>1.0005835839039654</v>
      </c>
      <c r="EM81" s="19">
        <v>1489</v>
      </c>
      <c r="EN81" s="19">
        <v>1871</v>
      </c>
      <c r="EO81" s="19">
        <v>0.114</v>
      </c>
      <c r="EP81" s="19">
        <v>0.04</v>
      </c>
      <c r="EQ81" s="19">
        <v>2.8000000000000001E-2</v>
      </c>
      <c r="ER81" s="19">
        <v>1697649</v>
      </c>
      <c r="ES81" s="19">
        <v>173</v>
      </c>
      <c r="ET81" s="19">
        <v>0</v>
      </c>
      <c r="EU81" s="19">
        <v>1</v>
      </c>
      <c r="EV81" s="19">
        <v>18.009617944571179</v>
      </c>
      <c r="EW81" s="19">
        <f>DataTable[[#This Row],[Sens_13]]/AVERAGEIF(DataTable[Strålkälla],DataTable[[#This Row],[Strålkälla]],DataTable[Sens_13])</f>
        <v>0.99964579340867621</v>
      </c>
      <c r="EX81" s="19">
        <v>1293</v>
      </c>
      <c r="EY81" s="19">
        <v>1576</v>
      </c>
      <c r="EZ81" s="19">
        <v>9.9000000000000005E-2</v>
      </c>
      <c r="FA81" s="19">
        <v>3.6999999999999998E-2</v>
      </c>
      <c r="FB81" s="19">
        <v>2.9000000000000001E-2</v>
      </c>
      <c r="FC81" s="19">
        <v>1443328</v>
      </c>
      <c r="FD81" s="19">
        <v>173</v>
      </c>
      <c r="FE81" s="19">
        <v>0</v>
      </c>
      <c r="FF81" s="19">
        <v>1</v>
      </c>
      <c r="FG81" s="19">
        <v>15.311637357723553</v>
      </c>
      <c r="FH81" s="19">
        <f>DataTable[[#This Row],[Sens_14]]/AVERAGEIF(DataTable[Strålkälla],DataTable[[#This Row],[Strålkälla]],DataTable[Sens_14])</f>
        <v>1.002886018544725</v>
      </c>
      <c r="FI81" s="19">
        <v>1445</v>
      </c>
      <c r="FJ81" s="19">
        <v>1761</v>
      </c>
      <c r="FK81" s="19">
        <v>9.9000000000000005E-2</v>
      </c>
      <c r="FL81" s="19">
        <v>0.04</v>
      </c>
      <c r="FM81" s="19">
        <v>2.8000000000000001E-2</v>
      </c>
      <c r="FN81" s="19">
        <v>1631588</v>
      </c>
      <c r="FO81" s="19">
        <v>173</v>
      </c>
      <c r="FP81" s="19">
        <v>0</v>
      </c>
      <c r="FQ81" s="19">
        <v>0</v>
      </c>
      <c r="FR81" s="19">
        <v>17.30880560289377</v>
      </c>
      <c r="FS81" s="19">
        <f>DataTable[[#This Row],[Sens_15]]/AVERAGEIF(DataTable[Strålkälla],DataTable[[#This Row],[Strålkälla]],DataTable[Sens_15])</f>
        <v>1.0019663407249289</v>
      </c>
      <c r="FT81" s="19">
        <v>1308</v>
      </c>
      <c r="FU81" s="19">
        <v>1586</v>
      </c>
      <c r="FV81" s="19">
        <v>9.6000000000000002E-2</v>
      </c>
      <c r="FW81" s="19">
        <v>4.3999999999999997E-2</v>
      </c>
      <c r="FX81" s="19">
        <v>2.9000000000000001E-2</v>
      </c>
      <c r="FY81" s="19">
        <v>1466976</v>
      </c>
      <c r="FZ81" s="19">
        <v>173</v>
      </c>
      <c r="GA81" s="19">
        <v>0</v>
      </c>
      <c r="GB81" s="19">
        <v>0</v>
      </c>
      <c r="GC81" s="19">
        <v>15.562508677503567</v>
      </c>
      <c r="GD81" s="19">
        <f>DataTable[[#This Row],[Sens_16]]/AVERAGEIF(DataTable[Strålkälla],DataTable[[#This Row],[Strålkälla]],DataTable[Sens_16])</f>
        <v>1.0013062144323208</v>
      </c>
      <c r="GE81" s="19">
        <v>1243</v>
      </c>
      <c r="GF81" s="19">
        <v>1505</v>
      </c>
      <c r="GG81" s="19">
        <v>9.5000000000000001E-2</v>
      </c>
      <c r="GH81" s="19">
        <v>4.2000000000000003E-2</v>
      </c>
      <c r="GI81" s="19">
        <v>0.03</v>
      </c>
      <c r="GJ81" s="19">
        <v>1411002</v>
      </c>
      <c r="GK81" s="19">
        <v>173</v>
      </c>
      <c r="GL81" s="19">
        <v>0</v>
      </c>
      <c r="GM81" s="19">
        <v>0</v>
      </c>
      <c r="GN81" s="19">
        <v>14.968704920172442</v>
      </c>
      <c r="GO81" s="19">
        <f>DataTable[[#This Row],[Sens_17]]/AVERAGEIF(DataTable[Strålkälla],DataTable[[#This Row],[Strålkälla]],DataTable[Sens_17])</f>
        <v>1.0031195031316944</v>
      </c>
      <c r="GP81" s="19">
        <v>1451</v>
      </c>
      <c r="GQ81" s="19">
        <v>1790</v>
      </c>
      <c r="GR81" s="19">
        <v>0.105</v>
      </c>
      <c r="GS81" s="19">
        <v>3.9E-2</v>
      </c>
      <c r="GT81" s="19">
        <v>2.9000000000000001E-2</v>
      </c>
      <c r="GU81" s="19">
        <v>1629398</v>
      </c>
      <c r="GV81" s="19">
        <v>173</v>
      </c>
      <c r="GW81" s="19">
        <v>0</v>
      </c>
      <c r="GX81" s="19">
        <v>1</v>
      </c>
      <c r="GY81" s="19">
        <v>17.28557284789046</v>
      </c>
      <c r="GZ81" s="19">
        <f>DataTable[[#This Row],[Sens_18]]/AVERAGEIF(DataTable[Strålkälla],DataTable[[#This Row],[Strålkälla]],DataTable[Sens_18])</f>
        <v>1.0010899825202295</v>
      </c>
      <c r="HA81" s="19">
        <v>1300</v>
      </c>
      <c r="HB81" s="19">
        <v>1580</v>
      </c>
      <c r="HC81" s="19">
        <v>9.7000000000000003E-2</v>
      </c>
      <c r="HD81" s="19">
        <v>4.2999999999999997E-2</v>
      </c>
      <c r="HE81" s="19">
        <v>2.9000000000000001E-2</v>
      </c>
      <c r="HF81" s="19">
        <v>1477211</v>
      </c>
      <c r="HG81" s="19">
        <v>173</v>
      </c>
      <c r="HH81" s="19">
        <v>0</v>
      </c>
      <c r="HI81" s="19">
        <v>0</v>
      </c>
      <c r="HJ81" s="19">
        <v>15.671087329311264</v>
      </c>
      <c r="HK81" s="19">
        <f>DataTable[[#This Row],[Sens_19]]/AVERAGEIF(DataTable[Strålkälla],DataTable[[#This Row],[Strålkälla]],DataTable[Sens_19])</f>
        <v>1.0015422176429845</v>
      </c>
      <c r="HL81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0.11799999999999999</v>
      </c>
      <c r="HM81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9.8105263157894737E-2</v>
      </c>
      <c r="HN81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4.8000000000000001E-2</v>
      </c>
      <c r="HO81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4.0894736842105275E-2</v>
      </c>
      <c r="HP81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0.99964579340867621</v>
      </c>
      <c r="HQ81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1.0016092433544259</v>
      </c>
      <c r="HR81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1.0042344801207543</v>
      </c>
      <c r="HS81" s="49"/>
    </row>
    <row r="82" spans="2:227" x14ac:dyDescent="0.25">
      <c r="B82" s="19" t="s">
        <v>43</v>
      </c>
      <c r="C82" s="20">
        <v>42646</v>
      </c>
      <c r="D82" s="21">
        <v>0.32847222222222222</v>
      </c>
      <c r="E82" s="13" t="s">
        <v>217</v>
      </c>
      <c r="F82" s="13">
        <v>109.8</v>
      </c>
      <c r="G82" s="13">
        <v>134.19999999999999</v>
      </c>
      <c r="H82" s="24">
        <v>8.4419000000000004</v>
      </c>
      <c r="I82" s="22">
        <f>MATCH(DataTable[[#This Row],[Datum]],Övrigt!$D$10:$M$10,1)</f>
        <v>2</v>
      </c>
      <c r="J82" s="13"/>
      <c r="K82" s="22">
        <v>1823</v>
      </c>
      <c r="L82" s="22">
        <v>2157</v>
      </c>
      <c r="M82" s="23">
        <v>8.4000000000000005E-2</v>
      </c>
      <c r="N82" s="23">
        <v>3.6999999999999998E-2</v>
      </c>
      <c r="O82" s="23">
        <v>2.5000000000000001E-2</v>
      </c>
      <c r="P82" s="22">
        <v>2027546</v>
      </c>
      <c r="Q82" s="24">
        <v>168</v>
      </c>
      <c r="R82" s="22">
        <v>0</v>
      </c>
      <c r="S82" s="22">
        <v>0</v>
      </c>
      <c r="T82" s="19">
        <v>22.376661008860857</v>
      </c>
      <c r="U82" s="23">
        <f>DataTable[[#This Row],[Sens_1]]/AVERAGEIF(DataTable[Strålkälla],DataTable[[#This Row],[Strålkälla]],DataTable[Sens_1])</f>
        <v>0.99853085964402344</v>
      </c>
      <c r="V82" s="22">
        <v>2118</v>
      </c>
      <c r="W82" s="22">
        <v>2593</v>
      </c>
      <c r="X82" s="23">
        <v>0.10100000000000001</v>
      </c>
      <c r="Y82" s="23">
        <v>0.04</v>
      </c>
      <c r="Z82" s="23">
        <v>2.5000000000000001E-2</v>
      </c>
      <c r="AA82" s="22">
        <v>2445558</v>
      </c>
      <c r="AB82" s="24">
        <v>168</v>
      </c>
      <c r="AC82" s="22">
        <v>1</v>
      </c>
      <c r="AD82" s="22">
        <v>0</v>
      </c>
      <c r="AE82" s="19">
        <v>26.98997820197803</v>
      </c>
      <c r="AF82" s="23">
        <f>DataTable[[#This Row],[Sens_2]]/AVERAGEIF(DataTable[Strålkälla],DataTable[[#This Row],[Strålkälla]],DataTable[Sens_2])</f>
        <v>0.99807975722048492</v>
      </c>
      <c r="AG82" s="22">
        <v>1941</v>
      </c>
      <c r="AH82" s="22">
        <v>2295</v>
      </c>
      <c r="AI82" s="23">
        <v>8.4000000000000005E-2</v>
      </c>
      <c r="AJ82" s="23">
        <v>4.4999999999999998E-2</v>
      </c>
      <c r="AK82" s="23">
        <v>2.5999999999999999E-2</v>
      </c>
      <c r="AL82" s="22">
        <v>2141792</v>
      </c>
      <c r="AM82" s="24">
        <v>168</v>
      </c>
      <c r="AN82" s="22">
        <v>0</v>
      </c>
      <c r="AO82" s="22">
        <v>0</v>
      </c>
      <c r="AP82" s="19">
        <v>23.637517242760516</v>
      </c>
      <c r="AQ82" s="23">
        <f>DataTable[[#This Row],[Sens_3]]/AVERAGEIF(DataTable[Strålkälla],DataTable[[#This Row],[Strålkälla]],DataTable[Sens_3])</f>
        <v>1.0010229612825594</v>
      </c>
      <c r="AR82" s="22">
        <v>1829</v>
      </c>
      <c r="AS82" s="22">
        <v>2207</v>
      </c>
      <c r="AT82" s="23">
        <v>9.4E-2</v>
      </c>
      <c r="AU82" s="23">
        <v>3.9E-2</v>
      </c>
      <c r="AV82" s="23">
        <v>2.5000000000000001E-2</v>
      </c>
      <c r="AW82" s="22">
        <v>2069821</v>
      </c>
      <c r="AX82" s="24">
        <v>168</v>
      </c>
      <c r="AY82" s="22">
        <v>0</v>
      </c>
      <c r="AZ82" s="22">
        <v>0</v>
      </c>
      <c r="BA82" s="19">
        <v>22.843221739985871</v>
      </c>
      <c r="BB82" s="23">
        <f>DataTable[[#This Row],[Sens_4]]/AVERAGEIF(DataTable[Strålkälla],DataTable[[#This Row],[Strålkälla]],DataTable[Sens_4])</f>
        <v>0.99973134498249172</v>
      </c>
      <c r="BC82" s="22">
        <v>2104</v>
      </c>
      <c r="BD82" s="22">
        <v>2483</v>
      </c>
      <c r="BE82" s="19">
        <v>8.3000000000000004E-2</v>
      </c>
      <c r="BF82" s="19">
        <v>3.7999999999999999E-2</v>
      </c>
      <c r="BG82" s="19">
        <v>2.3E-2</v>
      </c>
      <c r="BH82" s="19">
        <v>2332731</v>
      </c>
      <c r="BI82" s="19">
        <v>168</v>
      </c>
      <c r="BJ82" s="19">
        <v>0</v>
      </c>
      <c r="BK82" s="19">
        <v>0</v>
      </c>
      <c r="BL82" s="19">
        <v>25.744782516333046</v>
      </c>
      <c r="BM82" s="23">
        <f>DataTable[[#This Row],[Sens_5]]/AVERAGEIF(DataTable[Strålkälla],DataTable[[#This Row],[Strålkälla]],DataTable[Sens_5])</f>
        <v>1.0004341456622037</v>
      </c>
      <c r="BN82" s="19">
        <v>2049</v>
      </c>
      <c r="BO82" s="19">
        <v>2450</v>
      </c>
      <c r="BP82" s="19">
        <v>8.8999999999999996E-2</v>
      </c>
      <c r="BQ82" s="19">
        <v>4.4999999999999998E-2</v>
      </c>
      <c r="BR82" s="19">
        <v>2.4E-2</v>
      </c>
      <c r="BS82" s="19">
        <v>2332331</v>
      </c>
      <c r="BT82" s="19">
        <v>168</v>
      </c>
      <c r="BU82" s="19">
        <v>1</v>
      </c>
      <c r="BV82" s="19">
        <v>0</v>
      </c>
      <c r="BW82" s="19">
        <v>25.740367985464921</v>
      </c>
      <c r="BX82" s="23">
        <f>DataTable[[#This Row],[Sens_6]]/AVERAGEIF(DataTable[Strålkälla],DataTable[[#This Row],[Strålkälla]],DataTable[Sens_6])</f>
        <v>1.0006178580524596</v>
      </c>
      <c r="BY82" s="19">
        <v>1848</v>
      </c>
      <c r="BZ82" s="19">
        <v>2203</v>
      </c>
      <c r="CA82" s="19">
        <v>8.7999999999999995E-2</v>
      </c>
      <c r="CB82" s="19">
        <v>4.7E-2</v>
      </c>
      <c r="CC82" s="19">
        <v>2.5000000000000001E-2</v>
      </c>
      <c r="CD82" s="19">
        <v>2072014</v>
      </c>
      <c r="CE82" s="19">
        <v>168</v>
      </c>
      <c r="CF82" s="19">
        <v>0</v>
      </c>
      <c r="CG82" s="19">
        <v>0</v>
      </c>
      <c r="CH82" s="19">
        <v>22.86742440547037</v>
      </c>
      <c r="CI82" s="23">
        <f>DataTable[[#This Row],[Sens_7]]/AVERAGEIF(DataTable[Strålkälla],DataTable[[#This Row],[Strålkälla]],DataTable[Sens_7])</f>
        <v>1.000086000079115</v>
      </c>
      <c r="CJ82" s="19">
        <v>2162</v>
      </c>
      <c r="CK82" s="19">
        <v>2601</v>
      </c>
      <c r="CL82" s="19">
        <v>9.1999999999999998E-2</v>
      </c>
      <c r="CM82" s="19">
        <v>3.6999999999999998E-2</v>
      </c>
      <c r="CN82" s="19">
        <v>2.4E-2</v>
      </c>
      <c r="CO82" s="19">
        <v>2452160</v>
      </c>
      <c r="CP82" s="19">
        <v>168</v>
      </c>
      <c r="CQ82" s="19">
        <v>0</v>
      </c>
      <c r="CR82" s="19">
        <v>0</v>
      </c>
      <c r="CS82" s="19">
        <v>27.062840033956441</v>
      </c>
      <c r="CT82" s="23">
        <f>DataTable[[#This Row],[Sens_8]]/AVERAGEIF(DataTable[Strålkälla],DataTable[[#This Row],[Strålkälla]],DataTable[Sens_8])</f>
        <v>1.0016467890021901</v>
      </c>
      <c r="CU82" s="19">
        <v>1712</v>
      </c>
      <c r="CV82" s="19">
        <v>2070</v>
      </c>
      <c r="CW82" s="19">
        <v>9.5000000000000001E-2</v>
      </c>
      <c r="CX82" s="19">
        <v>5.7000000000000002E-2</v>
      </c>
      <c r="CY82" s="19">
        <v>2.5999999999999999E-2</v>
      </c>
      <c r="CZ82" s="19">
        <v>1961606</v>
      </c>
      <c r="DA82" s="19">
        <v>163</v>
      </c>
      <c r="DB82" s="19">
        <v>1</v>
      </c>
      <c r="DC82" s="19">
        <v>0</v>
      </c>
      <c r="DD82" s="19">
        <v>22.31300306749732</v>
      </c>
      <c r="DE82" s="23">
        <f>DataTable[[#This Row],[Sens_9]]/AVERAGEIF(DataTable[Strålkälla],DataTable[[#This Row],[Strålkälla]],DataTable[Sens_9])</f>
        <v>0.99750544764951299</v>
      </c>
      <c r="DF82" s="19">
        <v>1688</v>
      </c>
      <c r="DG82" s="19">
        <v>2029</v>
      </c>
      <c r="DH82" s="19">
        <v>9.1999999999999998E-2</v>
      </c>
      <c r="DI82" s="19">
        <v>3.2000000000000001E-2</v>
      </c>
      <c r="DJ82" s="19">
        <v>2.5999999999999999E-2</v>
      </c>
      <c r="DK82" s="19">
        <v>1905053</v>
      </c>
      <c r="DL82" s="19">
        <v>163</v>
      </c>
      <c r="DM82" s="19">
        <v>0</v>
      </c>
      <c r="DN82" s="19">
        <v>0</v>
      </c>
      <c r="DO82" s="19">
        <v>21.669720337695221</v>
      </c>
      <c r="DP82" s="23">
        <f>DataTable[[#This Row],[Sens_10]]/AVERAGEIF(DataTable[Strålkälla],DataTable[[#This Row],[Strålkälla]],DataTable[Sens_10])</f>
        <v>0.99878309278471655</v>
      </c>
      <c r="DQ82" s="19">
        <v>1469</v>
      </c>
      <c r="DR82" s="19">
        <v>1797</v>
      </c>
      <c r="DS82" s="19">
        <v>0.1</v>
      </c>
      <c r="DT82" s="19">
        <v>0.04</v>
      </c>
      <c r="DU82" s="19">
        <v>2.8000000000000001E-2</v>
      </c>
      <c r="DV82" s="19">
        <v>1676340</v>
      </c>
      <c r="DW82" s="19">
        <v>163</v>
      </c>
      <c r="DX82" s="19">
        <v>0</v>
      </c>
      <c r="DY82" s="19">
        <v>0</v>
      </c>
      <c r="DZ82" s="19">
        <v>19.068140881588075</v>
      </c>
      <c r="EA82" s="19">
        <f>DataTable[[#This Row],[Sens_11]]/AVERAGEIF(DataTable[Strålkälla],DataTable[[#This Row],[Strålkälla]],DataTable[Sens_11])</f>
        <v>0.9992838054048605</v>
      </c>
      <c r="EB82" s="19">
        <v>1790</v>
      </c>
      <c r="EC82" s="19">
        <v>2127</v>
      </c>
      <c r="ED82" s="19">
        <v>8.5999999999999993E-2</v>
      </c>
      <c r="EE82" s="19">
        <v>4.1000000000000002E-2</v>
      </c>
      <c r="EF82" s="19">
        <v>2.5999999999999999E-2</v>
      </c>
      <c r="EG82" s="19">
        <v>1994120</v>
      </c>
      <c r="EH82" s="19">
        <v>163</v>
      </c>
      <c r="EI82" s="19">
        <v>0</v>
      </c>
      <c r="EJ82" s="19">
        <v>0</v>
      </c>
      <c r="EK82" s="19">
        <v>22.682845422045894</v>
      </c>
      <c r="EL82" s="23">
        <f>DataTable[[#This Row],[Sens_12]]/AVERAGEIF(DataTable[Strålkälla],DataTable[[#This Row],[Strålkälla]],DataTable[Sens_12])</f>
        <v>0.9991338230286485</v>
      </c>
      <c r="EM82" s="19">
        <v>1523</v>
      </c>
      <c r="EN82" s="19">
        <v>1819</v>
      </c>
      <c r="EO82" s="19">
        <v>8.8999999999999996E-2</v>
      </c>
      <c r="EP82" s="19">
        <v>4.7E-2</v>
      </c>
      <c r="EQ82" s="19">
        <v>2.5999999999999999E-2</v>
      </c>
      <c r="ER82" s="19">
        <v>1700814</v>
      </c>
      <c r="ES82" s="19">
        <v>175</v>
      </c>
      <c r="ET82" s="19">
        <v>0</v>
      </c>
      <c r="EU82" s="19">
        <v>0</v>
      </c>
      <c r="EV82" s="19">
        <v>18.01991016945593</v>
      </c>
      <c r="EW82" s="19">
        <f>DataTable[[#This Row],[Sens_13]]/AVERAGEIF(DataTable[Strålkälla],DataTable[[#This Row],[Strålkälla]],DataTable[Sens_13])</f>
        <v>1.0002170758946525</v>
      </c>
      <c r="EX82" s="19">
        <v>1264</v>
      </c>
      <c r="EY82" s="19">
        <v>1570</v>
      </c>
      <c r="EZ82" s="19">
        <v>0.108</v>
      </c>
      <c r="FA82" s="19">
        <v>4.3999999999999997E-2</v>
      </c>
      <c r="FB82" s="19">
        <v>2.9000000000000001E-2</v>
      </c>
      <c r="FC82" s="19">
        <v>1441865</v>
      </c>
      <c r="FD82" s="19">
        <v>175</v>
      </c>
      <c r="FE82" s="19">
        <v>0</v>
      </c>
      <c r="FF82" s="19">
        <v>0</v>
      </c>
      <c r="FG82" s="19">
        <v>15.276378120407388</v>
      </c>
      <c r="FH82" s="19">
        <f>DataTable[[#This Row],[Sens_14]]/AVERAGEIF(DataTable[Strålkälla],DataTable[[#This Row],[Strålkälla]],DataTable[Sens_14])</f>
        <v>1.0005765988985567</v>
      </c>
      <c r="FI82" s="19">
        <v>1406</v>
      </c>
      <c r="FJ82" s="19">
        <v>1738</v>
      </c>
      <c r="FK82" s="19">
        <v>0.106</v>
      </c>
      <c r="FL82" s="19">
        <v>4.1000000000000002E-2</v>
      </c>
      <c r="FM82" s="19">
        <v>2.8000000000000001E-2</v>
      </c>
      <c r="FN82" s="19">
        <v>1631845</v>
      </c>
      <c r="FO82" s="19">
        <v>175</v>
      </c>
      <c r="FP82" s="19">
        <v>1</v>
      </c>
      <c r="FQ82" s="19">
        <v>0</v>
      </c>
      <c r="FR82" s="19">
        <v>17.289192298790937</v>
      </c>
      <c r="FS82" s="19">
        <f>DataTable[[#This Row],[Sens_15]]/AVERAGEIF(DataTable[Strålkälla],DataTable[[#This Row],[Strålkälla]],DataTable[Sens_15])</f>
        <v>1.0008309723469886</v>
      </c>
      <c r="FT82" s="19">
        <v>1311</v>
      </c>
      <c r="FU82" s="19">
        <v>1584</v>
      </c>
      <c r="FV82" s="19">
        <v>9.4E-2</v>
      </c>
      <c r="FW82" s="19">
        <v>0.05</v>
      </c>
      <c r="FX82" s="19">
        <v>2.9000000000000001E-2</v>
      </c>
      <c r="FY82" s="19">
        <v>1468839</v>
      </c>
      <c r="FZ82" s="19">
        <v>175</v>
      </c>
      <c r="GA82" s="19">
        <v>0</v>
      </c>
      <c r="GB82" s="19">
        <v>0</v>
      </c>
      <c r="GC82" s="19">
        <v>15.562164253935748</v>
      </c>
      <c r="GD82" s="19">
        <f>DataTable[[#This Row],[Sens_16]]/AVERAGEIF(DataTable[Strålkälla],DataTable[[#This Row],[Strålkälla]],DataTable[Sens_16])</f>
        <v>1.0012840539011363</v>
      </c>
      <c r="GE82" s="19">
        <v>1196</v>
      </c>
      <c r="GF82" s="19">
        <v>1549</v>
      </c>
      <c r="GG82" s="19">
        <v>0.129</v>
      </c>
      <c r="GH82" s="19">
        <v>5.2999999999999999E-2</v>
      </c>
      <c r="GI82" s="19">
        <v>0.03</v>
      </c>
      <c r="GJ82" s="19">
        <v>1408841</v>
      </c>
      <c r="GK82" s="19">
        <v>175</v>
      </c>
      <c r="GL82" s="19">
        <v>1</v>
      </c>
      <c r="GM82" s="19">
        <v>1</v>
      </c>
      <c r="GN82" s="19">
        <v>14.926492998673845</v>
      </c>
      <c r="GO82" s="19">
        <f>DataTable[[#This Row],[Sens_17]]/AVERAGEIF(DataTable[Strålkälla],DataTable[[#This Row],[Strålkälla]],DataTable[Sens_17])</f>
        <v>1.0002906944975658</v>
      </c>
      <c r="GP82" s="19">
        <v>1440</v>
      </c>
      <c r="GQ82" s="19">
        <v>1750</v>
      </c>
      <c r="GR82" s="19">
        <v>9.7000000000000003E-2</v>
      </c>
      <c r="GS82" s="19">
        <v>5.6000000000000001E-2</v>
      </c>
      <c r="GT82" s="19">
        <v>2.8000000000000001E-2</v>
      </c>
      <c r="GU82" s="19">
        <v>1628811</v>
      </c>
      <c r="GV82" s="19">
        <v>175</v>
      </c>
      <c r="GW82" s="19">
        <v>0</v>
      </c>
      <c r="GX82" s="19">
        <v>0</v>
      </c>
      <c r="GY82" s="19">
        <v>17.257047450821595</v>
      </c>
      <c r="GZ82" s="19">
        <f>DataTable[[#This Row],[Sens_18]]/AVERAGEIF(DataTable[Strålkälla],DataTable[[#This Row],[Strålkälla]],DataTable[Sens_18])</f>
        <v>0.99943794069874392</v>
      </c>
      <c r="HA82" s="19">
        <v>1307</v>
      </c>
      <c r="HB82" s="19">
        <v>1584</v>
      </c>
      <c r="HC82" s="19">
        <v>9.6000000000000002E-2</v>
      </c>
      <c r="HD82" s="19">
        <v>3.9E-2</v>
      </c>
      <c r="HE82" s="19">
        <v>2.9000000000000001E-2</v>
      </c>
      <c r="HF82" s="19">
        <v>1476519</v>
      </c>
      <c r="HG82" s="19">
        <v>175</v>
      </c>
      <c r="HH82" s="19">
        <v>0</v>
      </c>
      <c r="HI82" s="19">
        <v>0</v>
      </c>
      <c r="HJ82" s="19">
        <v>15.643532886897036</v>
      </c>
      <c r="HK82" s="19">
        <f>DataTable[[#This Row],[Sens_19]]/AVERAGEIF(DataTable[Strålkälla],DataTable[[#This Row],[Strålkälla]],DataTable[Sens_19])</f>
        <v>0.99978120790693092</v>
      </c>
      <c r="HL82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0.129</v>
      </c>
      <c r="HM82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9.5105263157894762E-2</v>
      </c>
      <c r="HN82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5.7000000000000002E-2</v>
      </c>
      <c r="HO82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4.3578947368421064E-2</v>
      </c>
      <c r="HP82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0.99750544764951299</v>
      </c>
      <c r="HQ82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0.99985654889146525</v>
      </c>
      <c r="HR82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1.0016467890021901</v>
      </c>
      <c r="HS82" s="49"/>
    </row>
    <row r="83" spans="2:227" x14ac:dyDescent="0.25">
      <c r="B83" s="19" t="s">
        <v>43</v>
      </c>
      <c r="C83" s="20">
        <v>42647</v>
      </c>
      <c r="D83" s="21">
        <v>0.2171990740740741</v>
      </c>
      <c r="E83" s="13" t="s">
        <v>217</v>
      </c>
      <c r="F83" s="13">
        <v>109.8</v>
      </c>
      <c r="G83" s="13">
        <v>134.19999999999999</v>
      </c>
      <c r="H83" s="24">
        <v>8.4440000000000008</v>
      </c>
      <c r="I83" s="22">
        <f>MATCH(DataTable[[#This Row],[Datum]],Övrigt!$D$10:$M$10,1)</f>
        <v>2</v>
      </c>
      <c r="J83" s="13"/>
      <c r="K83" s="22">
        <v>1788</v>
      </c>
      <c r="L83" s="22">
        <v>2171</v>
      </c>
      <c r="M83" s="23">
        <v>9.7000000000000003E-2</v>
      </c>
      <c r="N83" s="23">
        <v>3.5999999999999997E-2</v>
      </c>
      <c r="O83" s="23">
        <v>2.5999999999999999E-2</v>
      </c>
      <c r="P83" s="22">
        <v>2032720</v>
      </c>
      <c r="Q83" s="24">
        <v>169</v>
      </c>
      <c r="R83" s="22">
        <v>0</v>
      </c>
      <c r="S83" s="22">
        <v>0</v>
      </c>
      <c r="T83" s="19">
        <v>22.357976264930556</v>
      </c>
      <c r="U83" s="23">
        <f>DataTable[[#This Row],[Sens_1]]/AVERAGEIF(DataTable[Strålkälla],DataTable[[#This Row],[Strålkälla]],DataTable[Sens_1])</f>
        <v>0.99769707602404711</v>
      </c>
      <c r="V83" s="22">
        <v>2164</v>
      </c>
      <c r="W83" s="22">
        <v>2624</v>
      </c>
      <c r="X83" s="23">
        <v>9.6000000000000002E-2</v>
      </c>
      <c r="Y83" s="23">
        <v>4.9000000000000002E-2</v>
      </c>
      <c r="Z83" s="23">
        <v>2.5000000000000001E-2</v>
      </c>
      <c r="AA83" s="22">
        <v>2444994</v>
      </c>
      <c r="AB83" s="24">
        <v>169</v>
      </c>
      <c r="AC83" s="22">
        <v>0</v>
      </c>
      <c r="AD83" s="22">
        <v>0</v>
      </c>
      <c r="AE83" s="19">
        <v>26.892596038754782</v>
      </c>
      <c r="AF83" s="23">
        <f>DataTable[[#This Row],[Sens_2]]/AVERAGEIF(DataTable[Strålkälla],DataTable[[#This Row],[Strålkälla]],DataTable[Sens_2])</f>
        <v>0.99447859959449092</v>
      </c>
      <c r="AG83" s="22">
        <v>1850</v>
      </c>
      <c r="AH83" s="22">
        <v>2304</v>
      </c>
      <c r="AI83" s="23">
        <v>0.109</v>
      </c>
      <c r="AJ83" s="23">
        <v>5.1999999999999998E-2</v>
      </c>
      <c r="AK83" s="23">
        <v>2.5000000000000001E-2</v>
      </c>
      <c r="AL83" s="22">
        <v>2141387</v>
      </c>
      <c r="AM83" s="24">
        <v>169</v>
      </c>
      <c r="AN83" s="22">
        <v>3</v>
      </c>
      <c r="AO83" s="22">
        <v>1</v>
      </c>
      <c r="AP83" s="19">
        <v>23.553209354968146</v>
      </c>
      <c r="AQ83" s="23">
        <f>DataTable[[#This Row],[Sens_3]]/AVERAGEIF(DataTable[Strålkälla],DataTable[[#This Row],[Strålkälla]],DataTable[Sens_3])</f>
        <v>0.99745261459044898</v>
      </c>
      <c r="AR83" s="22">
        <v>1836</v>
      </c>
      <c r="AS83" s="22">
        <v>2212</v>
      </c>
      <c r="AT83" s="23">
        <v>9.2999999999999999E-2</v>
      </c>
      <c r="AU83" s="23">
        <v>3.7999999999999999E-2</v>
      </c>
      <c r="AV83" s="23">
        <v>2.5999999999999999E-2</v>
      </c>
      <c r="AW83" s="22">
        <v>2068738</v>
      </c>
      <c r="AX83" s="24">
        <v>169</v>
      </c>
      <c r="AY83" s="22">
        <v>0</v>
      </c>
      <c r="AZ83" s="22">
        <v>0</v>
      </c>
      <c r="BA83" s="19">
        <v>22.754139823664797</v>
      </c>
      <c r="BB83" s="23">
        <f>DataTable[[#This Row],[Sens_4]]/AVERAGEIF(DataTable[Strålkälla],DataTable[[#This Row],[Strålkälla]],DataTable[Sens_4])</f>
        <v>0.99583268370646894</v>
      </c>
      <c r="BC83" s="22">
        <v>2101</v>
      </c>
      <c r="BD83" s="22">
        <v>2461</v>
      </c>
      <c r="BE83" s="19">
        <v>7.9000000000000001E-2</v>
      </c>
      <c r="BF83" s="19">
        <v>3.4000000000000002E-2</v>
      </c>
      <c r="BG83" s="19">
        <v>2.3E-2</v>
      </c>
      <c r="BH83" s="19">
        <v>2329044</v>
      </c>
      <c r="BI83" s="19">
        <v>169</v>
      </c>
      <c r="BJ83" s="19">
        <v>0</v>
      </c>
      <c r="BK83" s="19">
        <v>0</v>
      </c>
      <c r="BL83" s="19">
        <v>25.617256912894508</v>
      </c>
      <c r="BM83" s="23">
        <f>DataTable[[#This Row],[Sens_5]]/AVERAGEIF(DataTable[Strålkälla],DataTable[[#This Row],[Strålkälla]],DataTable[Sens_5])</f>
        <v>0.99547854085003828</v>
      </c>
      <c r="BN83" s="19">
        <v>2107</v>
      </c>
      <c r="BO83" s="19">
        <v>2484</v>
      </c>
      <c r="BP83" s="19">
        <v>8.2000000000000003E-2</v>
      </c>
      <c r="BQ83" s="19">
        <v>3.5000000000000003E-2</v>
      </c>
      <c r="BR83" s="19">
        <v>2.3E-2</v>
      </c>
      <c r="BS83" s="19">
        <v>2332865</v>
      </c>
      <c r="BT83" s="19">
        <v>169</v>
      </c>
      <c r="BU83" s="19">
        <v>0</v>
      </c>
      <c r="BV83" s="19">
        <v>0</v>
      </c>
      <c r="BW83" s="19">
        <v>25.659284259163694</v>
      </c>
      <c r="BX83" s="23">
        <f>DataTable[[#This Row],[Sens_6]]/AVERAGEIF(DataTable[Strålkälla],DataTable[[#This Row],[Strålkälla]],DataTable[Sens_6])</f>
        <v>0.99746585087912554</v>
      </c>
      <c r="BY83" s="19">
        <v>1831</v>
      </c>
      <c r="BZ83" s="19">
        <v>2265</v>
      </c>
      <c r="CA83" s="19">
        <v>0.106</v>
      </c>
      <c r="CB83" s="19">
        <v>3.7999999999999999E-2</v>
      </c>
      <c r="CC83" s="19">
        <v>2.5999999999999999E-2</v>
      </c>
      <c r="CD83" s="19">
        <v>2080023</v>
      </c>
      <c r="CE83" s="19">
        <v>169</v>
      </c>
      <c r="CF83" s="19">
        <v>0</v>
      </c>
      <c r="CG83" s="19">
        <v>1</v>
      </c>
      <c r="CH83" s="19">
        <v>22.878264032680178</v>
      </c>
      <c r="CI83" s="23">
        <f>DataTable[[#This Row],[Sens_7]]/AVERAGEIF(DataTable[Strålkälla],DataTable[[#This Row],[Strålkälla]],DataTable[Sens_7])</f>
        <v>1.0005600613125267</v>
      </c>
      <c r="CJ83" s="19">
        <v>2161</v>
      </c>
      <c r="CK83" s="19">
        <v>2725</v>
      </c>
      <c r="CL83" s="19">
        <v>0.115</v>
      </c>
      <c r="CM83" s="19">
        <v>4.4999999999999998E-2</v>
      </c>
      <c r="CN83" s="19">
        <v>2.5000000000000001E-2</v>
      </c>
      <c r="CO83" s="19">
        <v>2444719</v>
      </c>
      <c r="CP83" s="19">
        <v>169</v>
      </c>
      <c r="CQ83" s="19">
        <v>0</v>
      </c>
      <c r="CR83" s="19">
        <v>1</v>
      </c>
      <c r="CS83" s="19">
        <v>26.889571301716305</v>
      </c>
      <c r="CT83" s="23">
        <f>DataTable[[#This Row],[Sens_8]]/AVERAGEIF(DataTable[Strålkälla],DataTable[[#This Row],[Strålkälla]],DataTable[Sens_8])</f>
        <v>0.99523378618855152</v>
      </c>
      <c r="CU83" s="19">
        <v>1723</v>
      </c>
      <c r="CV83" s="19">
        <v>2074</v>
      </c>
      <c r="CW83" s="19">
        <v>9.1999999999999998E-2</v>
      </c>
      <c r="CX83" s="19">
        <v>4.7E-2</v>
      </c>
      <c r="CY83" s="19">
        <v>2.7E-2</v>
      </c>
      <c r="CZ83" s="19">
        <v>1965995</v>
      </c>
      <c r="DA83" s="19">
        <v>163</v>
      </c>
      <c r="DB83" s="19">
        <v>0</v>
      </c>
      <c r="DC83" s="19">
        <v>0</v>
      </c>
      <c r="DD83" s="19">
        <v>22.420042924256986</v>
      </c>
      <c r="DE83" s="23">
        <f>DataTable[[#This Row],[Sens_9]]/AVERAGEIF(DataTable[Strålkälla],DataTable[[#This Row],[Strålkälla]],DataTable[Sens_9])</f>
        <v>1.0022906771370186</v>
      </c>
      <c r="DF83" s="19">
        <v>1714</v>
      </c>
      <c r="DG83" s="19">
        <v>2114</v>
      </c>
      <c r="DH83" s="19">
        <v>0.104</v>
      </c>
      <c r="DI83" s="19">
        <v>4.2999999999999997E-2</v>
      </c>
      <c r="DJ83" s="19">
        <v>2.5999999999999999E-2</v>
      </c>
      <c r="DK83" s="19">
        <v>1905294</v>
      </c>
      <c r="DL83" s="19">
        <v>163</v>
      </c>
      <c r="DM83" s="19">
        <v>0</v>
      </c>
      <c r="DN83" s="19">
        <v>1</v>
      </c>
      <c r="DO83" s="19">
        <v>21.727813785553518</v>
      </c>
      <c r="DP83" s="23">
        <f>DataTable[[#This Row],[Sens_10]]/AVERAGEIF(DataTable[Strålkälla],DataTable[[#This Row],[Strålkälla]],DataTable[Sens_10])</f>
        <v>1.0014606886474331</v>
      </c>
      <c r="DQ83" s="19">
        <v>1492</v>
      </c>
      <c r="DR83" s="19">
        <v>1778</v>
      </c>
      <c r="DS83" s="19">
        <v>8.6999999999999994E-2</v>
      </c>
      <c r="DT83" s="19">
        <v>4.1000000000000002E-2</v>
      </c>
      <c r="DU83" s="19">
        <v>2.5999999999999999E-2</v>
      </c>
      <c r="DV83" s="19">
        <v>1675185</v>
      </c>
      <c r="DW83" s="19">
        <v>163</v>
      </c>
      <c r="DX83" s="19">
        <v>0</v>
      </c>
      <c r="DY83" s="19">
        <v>0</v>
      </c>
      <c r="DZ83" s="19">
        <v>19.103669951384127</v>
      </c>
      <c r="EA83" s="19">
        <f>DataTable[[#This Row],[Sens_11]]/AVERAGEIF(DataTable[Strålkälla],DataTable[[#This Row],[Strålkälla]],DataTable[Sens_11])</f>
        <v>1.0011457396274346</v>
      </c>
      <c r="EB83" s="19">
        <v>1758</v>
      </c>
      <c r="EC83" s="19">
        <v>2145</v>
      </c>
      <c r="ED83" s="19">
        <v>9.9000000000000005E-2</v>
      </c>
      <c r="EE83" s="19">
        <v>0.04</v>
      </c>
      <c r="EF83" s="19">
        <v>2.7E-2</v>
      </c>
      <c r="EG83" s="19">
        <v>1991457</v>
      </c>
      <c r="EH83" s="19">
        <v>163</v>
      </c>
      <c r="EI83" s="19">
        <v>0</v>
      </c>
      <c r="EJ83" s="19">
        <v>0</v>
      </c>
      <c r="EK83" s="19">
        <v>22.710409447537785</v>
      </c>
      <c r="EL83" s="23">
        <f>DataTable[[#This Row],[Sens_12]]/AVERAGEIF(DataTable[Strålkälla],DataTable[[#This Row],[Strålkälla]],DataTable[Sens_12])</f>
        <v>1.0003479630386582</v>
      </c>
      <c r="EM83" s="19">
        <v>1518</v>
      </c>
      <c r="EN83" s="19">
        <v>1906</v>
      </c>
      <c r="EO83" s="19">
        <v>0.113</v>
      </c>
      <c r="EP83" s="19">
        <v>4.2999999999999997E-2</v>
      </c>
      <c r="EQ83" s="19">
        <v>2.9000000000000001E-2</v>
      </c>
      <c r="ER83" s="19">
        <v>1704612</v>
      </c>
      <c r="ES83" s="19">
        <v>175</v>
      </c>
      <c r="ET83" s="19">
        <v>0</v>
      </c>
      <c r="EU83" s="19">
        <v>2</v>
      </c>
      <c r="EV83" s="19">
        <v>18.106275654966943</v>
      </c>
      <c r="EW83" s="19">
        <f>DataTable[[#This Row],[Sens_13]]/AVERAGEIF(DataTable[Strålkälla],DataTable[[#This Row],[Strålkälla]],DataTable[Sens_13])</f>
        <v>1.0050108974267082</v>
      </c>
      <c r="EX83" s="19">
        <v>1261</v>
      </c>
      <c r="EY83" s="19">
        <v>1538</v>
      </c>
      <c r="EZ83" s="19">
        <v>9.9000000000000005E-2</v>
      </c>
      <c r="FA83" s="19">
        <v>4.2999999999999997E-2</v>
      </c>
      <c r="FB83" s="19">
        <v>3.1E-2</v>
      </c>
      <c r="FC83" s="19">
        <v>1441739</v>
      </c>
      <c r="FD83" s="19">
        <v>175</v>
      </c>
      <c r="FE83" s="19">
        <v>0</v>
      </c>
      <c r="FF83" s="19">
        <v>0</v>
      </c>
      <c r="FG83" s="19">
        <v>15.314056076407056</v>
      </c>
      <c r="FH83" s="19">
        <f>DataTable[[#This Row],[Sens_14]]/AVERAGEIF(DataTable[Strålkälla],DataTable[[#This Row],[Strålkälla]],DataTable[Sens_14])</f>
        <v>1.0030444404753003</v>
      </c>
      <c r="FI83" s="19">
        <v>1455</v>
      </c>
      <c r="FJ83" s="19">
        <v>1741</v>
      </c>
      <c r="FK83" s="19">
        <v>8.8999999999999996E-2</v>
      </c>
      <c r="FL83" s="19">
        <v>4.5999999999999999E-2</v>
      </c>
      <c r="FM83" s="19">
        <v>2.7E-2</v>
      </c>
      <c r="FN83" s="19">
        <v>1634188</v>
      </c>
      <c r="FO83" s="19">
        <v>175</v>
      </c>
      <c r="FP83" s="19">
        <v>0</v>
      </c>
      <c r="FQ83" s="19">
        <v>0</v>
      </c>
      <c r="FR83" s="19">
        <v>17.358236595799582</v>
      </c>
      <c r="FS83" s="19">
        <f>DataTable[[#This Row],[Sens_15]]/AVERAGEIF(DataTable[Strålkälla],DataTable[[#This Row],[Strålkälla]],DataTable[Sens_15])</f>
        <v>1.0048277854841186</v>
      </c>
      <c r="FT83" s="19">
        <v>1317</v>
      </c>
      <c r="FU83" s="19">
        <v>1577</v>
      </c>
      <c r="FV83" s="19">
        <v>0.09</v>
      </c>
      <c r="FW83" s="19">
        <v>4.2999999999999997E-2</v>
      </c>
      <c r="FX83" s="19">
        <v>2.9000000000000001E-2</v>
      </c>
      <c r="FY83" s="19">
        <v>1469714</v>
      </c>
      <c r="FZ83" s="19">
        <v>175</v>
      </c>
      <c r="GA83" s="19">
        <v>0</v>
      </c>
      <c r="GB83" s="19">
        <v>0</v>
      </c>
      <c r="GC83" s="19">
        <v>15.61120467177521</v>
      </c>
      <c r="GD83" s="19">
        <f>DataTable[[#This Row],[Sens_16]]/AVERAGEIF(DataTable[Strålkälla],DataTable[[#This Row],[Strålkälla]],DataTable[Sens_16])</f>
        <v>1.0044393597813506</v>
      </c>
      <c r="GE83" s="19">
        <v>1201</v>
      </c>
      <c r="GF83" s="19">
        <v>1532</v>
      </c>
      <c r="GG83" s="19">
        <v>0.121</v>
      </c>
      <c r="GH83" s="19">
        <v>4.2000000000000003E-2</v>
      </c>
      <c r="GI83" s="19">
        <v>0.03</v>
      </c>
      <c r="GJ83" s="19">
        <v>1407666</v>
      </c>
      <c r="GK83" s="19">
        <v>175</v>
      </c>
      <c r="GL83" s="19">
        <v>1</v>
      </c>
      <c r="GM83" s="19">
        <v>0</v>
      </c>
      <c r="GN83" s="19">
        <v>14.952134929312182</v>
      </c>
      <c r="GO83" s="19">
        <f>DataTable[[#This Row],[Sens_17]]/AVERAGEIF(DataTable[Strålkälla],DataTable[[#This Row],[Strålkälla]],DataTable[Sens_17])</f>
        <v>1.0020090743345953</v>
      </c>
      <c r="GP83" s="19">
        <v>1424</v>
      </c>
      <c r="GQ83" s="19">
        <v>1751</v>
      </c>
      <c r="GR83" s="19">
        <v>0.10299999999999999</v>
      </c>
      <c r="GS83" s="19">
        <v>4.5999999999999999E-2</v>
      </c>
      <c r="GT83" s="19">
        <v>2.9000000000000001E-2</v>
      </c>
      <c r="GU83" s="19">
        <v>1625447</v>
      </c>
      <c r="GV83" s="19">
        <v>175</v>
      </c>
      <c r="GW83" s="19">
        <v>0</v>
      </c>
      <c r="GX83" s="19">
        <v>0</v>
      </c>
      <c r="GY83" s="19">
        <v>17.26539027329331</v>
      </c>
      <c r="GZ83" s="19">
        <f>DataTable[[#This Row],[Sens_18]]/AVERAGEIF(DataTable[Strålkälla],DataTable[[#This Row],[Strålkälla]],DataTable[Sens_18])</f>
        <v>0.99992111334658573</v>
      </c>
      <c r="HA83" s="19">
        <v>1306</v>
      </c>
      <c r="HB83" s="19">
        <v>1639</v>
      </c>
      <c r="HC83" s="19">
        <v>0.113</v>
      </c>
      <c r="HD83" s="19">
        <v>7.0000000000000007E-2</v>
      </c>
      <c r="HE83" s="19">
        <v>3.1E-2</v>
      </c>
      <c r="HF83" s="19">
        <v>1474788</v>
      </c>
      <c r="HG83" s="19">
        <v>175</v>
      </c>
      <c r="HH83" s="19">
        <v>0</v>
      </c>
      <c r="HI83" s="19">
        <v>1</v>
      </c>
      <c r="HJ83" s="19">
        <v>15.665100363389081</v>
      </c>
      <c r="HK83" s="19">
        <f>DataTable[[#This Row],[Sens_19]]/AVERAGEIF(DataTable[Strålkälla],DataTable[[#This Row],[Strålkälla]],DataTable[Sens_19])</f>
        <v>1.0011595894946848</v>
      </c>
      <c r="HL83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0.121</v>
      </c>
      <c r="HM83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9.9315789473684205E-2</v>
      </c>
      <c r="HN83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7.0000000000000007E-2</v>
      </c>
      <c r="HO83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4.3736842105263164E-2</v>
      </c>
      <c r="HP83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0.99447859959449092</v>
      </c>
      <c r="HQ83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0.99999244957576749</v>
      </c>
      <c r="HR83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1.0050108974267082</v>
      </c>
      <c r="HS83" s="49"/>
    </row>
    <row r="84" spans="2:227" x14ac:dyDescent="0.25">
      <c r="B84" s="19" t="s">
        <v>43</v>
      </c>
      <c r="C84" s="20">
        <v>42648</v>
      </c>
      <c r="D84" s="21">
        <v>0.31504629629629627</v>
      </c>
      <c r="E84" s="13" t="s">
        <v>217</v>
      </c>
      <c r="F84" s="13">
        <v>109.8</v>
      </c>
      <c r="G84" s="13">
        <v>134.19999999999999</v>
      </c>
      <c r="H84" s="24">
        <v>8.4760000000000009</v>
      </c>
      <c r="I84" s="22">
        <f>MATCH(DataTable[[#This Row],[Datum]],Övrigt!$D$10:$M$10,1)</f>
        <v>2</v>
      </c>
      <c r="J84" s="13"/>
      <c r="K84" s="22">
        <v>1812</v>
      </c>
      <c r="L84" s="22">
        <v>2164</v>
      </c>
      <c r="M84" s="23">
        <v>8.8999999999999996E-2</v>
      </c>
      <c r="N84" s="23">
        <v>3.6999999999999998E-2</v>
      </c>
      <c r="O84" s="23">
        <v>2.5999999999999999E-2</v>
      </c>
      <c r="P84" s="22">
        <v>2029390</v>
      </c>
      <c r="Q84" s="24">
        <v>169</v>
      </c>
      <c r="R84" s="22">
        <v>0</v>
      </c>
      <c r="S84" s="22">
        <v>0</v>
      </c>
      <c r="T84" s="19">
        <v>22.378358833067221</v>
      </c>
      <c r="U84" s="23">
        <f>DataTable[[#This Row],[Sens_1]]/AVERAGEIF(DataTable[Strålkälla],DataTable[[#This Row],[Strålkälla]],DataTable[Sens_1])</f>
        <v>0.9986066229522147</v>
      </c>
      <c r="V84" s="22">
        <v>2208</v>
      </c>
      <c r="W84" s="22">
        <v>2688</v>
      </c>
      <c r="X84" s="23">
        <v>9.8000000000000004E-2</v>
      </c>
      <c r="Y84" s="23">
        <v>4.2000000000000003E-2</v>
      </c>
      <c r="Z84" s="23">
        <v>2.5000000000000001E-2</v>
      </c>
      <c r="AA84" s="22">
        <v>2451871</v>
      </c>
      <c r="AB84" s="24">
        <v>169</v>
      </c>
      <c r="AC84" s="22">
        <v>0</v>
      </c>
      <c r="AD84" s="22">
        <v>2</v>
      </c>
      <c r="AE84" s="19">
        <v>27.03711413301108</v>
      </c>
      <c r="AF84" s="23">
        <f>DataTable[[#This Row],[Sens_2]]/AVERAGEIF(DataTable[Strålkälla],DataTable[[#This Row],[Strålkälla]],DataTable[Sens_2])</f>
        <v>0.99982282712034798</v>
      </c>
      <c r="AG84" s="22">
        <v>1919</v>
      </c>
      <c r="AH84" s="22">
        <v>2258</v>
      </c>
      <c r="AI84" s="23">
        <v>8.1000000000000003E-2</v>
      </c>
      <c r="AJ84" s="23">
        <v>3.5000000000000003E-2</v>
      </c>
      <c r="AK84" s="23">
        <v>2.5000000000000001E-2</v>
      </c>
      <c r="AL84" s="22">
        <v>2140648</v>
      </c>
      <c r="AM84" s="24">
        <v>169</v>
      </c>
      <c r="AN84" s="22">
        <v>0</v>
      </c>
      <c r="AO84" s="22">
        <v>0</v>
      </c>
      <c r="AP84" s="19">
        <v>23.605215892109292</v>
      </c>
      <c r="AQ84" s="23">
        <f>DataTable[[#This Row],[Sens_3]]/AVERAGEIF(DataTable[Strålkälla],DataTable[[#This Row],[Strålkälla]],DataTable[Sens_3])</f>
        <v>0.99965503446730919</v>
      </c>
      <c r="AR84" s="22">
        <v>1836</v>
      </c>
      <c r="AS84" s="22">
        <v>2242</v>
      </c>
      <c r="AT84" s="23">
        <v>0.1</v>
      </c>
      <c r="AU84" s="23">
        <v>3.6999999999999998E-2</v>
      </c>
      <c r="AV84" s="23">
        <v>2.5000000000000001E-2</v>
      </c>
      <c r="AW84" s="22">
        <v>2069146</v>
      </c>
      <c r="AX84" s="24">
        <v>169</v>
      </c>
      <c r="AY84" s="22">
        <v>0</v>
      </c>
      <c r="AZ84" s="22">
        <v>1</v>
      </c>
      <c r="BA84" s="19">
        <v>22.816753638288208</v>
      </c>
      <c r="BB84" s="23">
        <f>DataTable[[#This Row],[Sens_4]]/AVERAGEIF(DataTable[Strålkälla],DataTable[[#This Row],[Strålkälla]],DataTable[Sens_4])</f>
        <v>0.99857297112391208</v>
      </c>
      <c r="BC84" s="22">
        <v>2091</v>
      </c>
      <c r="BD84" s="22">
        <v>2488</v>
      </c>
      <c r="BE84" s="19">
        <v>8.6999999999999994E-2</v>
      </c>
      <c r="BF84" s="19">
        <v>3.5000000000000003E-2</v>
      </c>
      <c r="BG84" s="19">
        <v>2.5000000000000001E-2</v>
      </c>
      <c r="BH84" s="19">
        <v>2330620</v>
      </c>
      <c r="BI84" s="19">
        <v>169</v>
      </c>
      <c r="BJ84" s="19">
        <v>0</v>
      </c>
      <c r="BK84" s="19">
        <v>0</v>
      </c>
      <c r="BL84" s="19">
        <v>25.700062907338229</v>
      </c>
      <c r="BM84" s="23">
        <f>DataTable[[#This Row],[Sens_5]]/AVERAGEIF(DataTable[Strålkälla],DataTable[[#This Row],[Strålkälla]],DataTable[Sens_5])</f>
        <v>0.99869635573173154</v>
      </c>
      <c r="BN84" s="19">
        <v>2077</v>
      </c>
      <c r="BO84" s="19">
        <v>2480</v>
      </c>
      <c r="BP84" s="19">
        <v>8.7999999999999995E-2</v>
      </c>
      <c r="BQ84" s="19">
        <v>3.5000000000000003E-2</v>
      </c>
      <c r="BR84" s="19">
        <v>2.4E-2</v>
      </c>
      <c r="BS84" s="19">
        <v>2333709</v>
      </c>
      <c r="BT84" s="19">
        <v>169</v>
      </c>
      <c r="BU84" s="19">
        <v>0</v>
      </c>
      <c r="BV84" s="19">
        <v>0</v>
      </c>
      <c r="BW84" s="19">
        <v>25.734125729385909</v>
      </c>
      <c r="BX84" s="23">
        <f>DataTable[[#This Row],[Sens_6]]/AVERAGEIF(DataTable[Strålkälla],DataTable[[#This Row],[Strålkälla]],DataTable[Sens_6])</f>
        <v>1.0003751997924564</v>
      </c>
      <c r="BY84" s="19">
        <v>1842</v>
      </c>
      <c r="BZ84" s="19">
        <v>2246</v>
      </c>
      <c r="CA84" s="19">
        <v>9.9000000000000005E-2</v>
      </c>
      <c r="CB84" s="19">
        <v>4.1000000000000002E-2</v>
      </c>
      <c r="CC84" s="19">
        <v>2.5999999999999999E-2</v>
      </c>
      <c r="CD84" s="19">
        <v>2072207</v>
      </c>
      <c r="CE84" s="19">
        <v>169</v>
      </c>
      <c r="CF84" s="19">
        <v>0</v>
      </c>
      <c r="CG84" s="19">
        <v>1</v>
      </c>
      <c r="CH84" s="19">
        <v>22.850507700537463</v>
      </c>
      <c r="CI84" s="23">
        <f>DataTable[[#This Row],[Sens_7]]/AVERAGEIF(DataTable[Strålkälla],DataTable[[#This Row],[Strålkälla]],DataTable[Sens_7])</f>
        <v>0.9993461633808105</v>
      </c>
      <c r="CJ84" s="19">
        <v>2192</v>
      </c>
      <c r="CK84" s="19">
        <v>2599</v>
      </c>
      <c r="CL84" s="19">
        <v>8.5000000000000006E-2</v>
      </c>
      <c r="CM84" s="19">
        <v>4.2000000000000003E-2</v>
      </c>
      <c r="CN84" s="19">
        <v>2.5000000000000001E-2</v>
      </c>
      <c r="CO84" s="19">
        <v>2448713</v>
      </c>
      <c r="CP84" s="19">
        <v>169</v>
      </c>
      <c r="CQ84" s="19">
        <v>0</v>
      </c>
      <c r="CR84" s="19">
        <v>0</v>
      </c>
      <c r="CS84" s="19">
        <v>27.002290438602994</v>
      </c>
      <c r="CT84" s="23">
        <f>DataTable[[#This Row],[Sens_8]]/AVERAGEIF(DataTable[Strålkälla],DataTable[[#This Row],[Strålkälla]],DataTable[Sens_8])</f>
        <v>0.99940573419474699</v>
      </c>
      <c r="CU84" s="19">
        <v>1739</v>
      </c>
      <c r="CV84" s="19">
        <v>2074</v>
      </c>
      <c r="CW84" s="19">
        <v>8.7999999999999995E-2</v>
      </c>
      <c r="CX84" s="19">
        <v>3.6999999999999998E-2</v>
      </c>
      <c r="CY84" s="19">
        <v>2.7E-2</v>
      </c>
      <c r="CZ84" s="19">
        <v>1964862</v>
      </c>
      <c r="DA84" s="19">
        <v>164</v>
      </c>
      <c r="DB84" s="19">
        <v>0</v>
      </c>
      <c r="DC84" s="19">
        <v>0</v>
      </c>
      <c r="DD84" s="19">
        <v>22.327372988670579</v>
      </c>
      <c r="DE84" s="23">
        <f>DataTable[[#This Row],[Sens_9]]/AVERAGEIF(DataTable[Strålkälla],DataTable[[#This Row],[Strålkälla]],DataTable[Sens_9])</f>
        <v>0.9981478566793176</v>
      </c>
      <c r="DF84" s="19">
        <v>1677</v>
      </c>
      <c r="DG84" s="19">
        <v>2023</v>
      </c>
      <c r="DH84" s="19">
        <v>9.4E-2</v>
      </c>
      <c r="DI84" s="19">
        <v>3.3000000000000002E-2</v>
      </c>
      <c r="DJ84" s="19">
        <v>2.5999999999999999E-2</v>
      </c>
      <c r="DK84" s="19">
        <v>1905503</v>
      </c>
      <c r="DL84" s="19">
        <v>164</v>
      </c>
      <c r="DM84" s="19">
        <v>0</v>
      </c>
      <c r="DN84" s="19">
        <v>0</v>
      </c>
      <c r="DO84" s="19">
        <v>21.652857153342449</v>
      </c>
      <c r="DP84" s="23">
        <f>DataTable[[#This Row],[Sens_10]]/AVERAGEIF(DataTable[Strålkälla],DataTable[[#This Row],[Strålkälla]],DataTable[Sens_10])</f>
        <v>0.99800584863206532</v>
      </c>
      <c r="DQ84" s="19">
        <v>1470</v>
      </c>
      <c r="DR84" s="19">
        <v>1821</v>
      </c>
      <c r="DS84" s="19">
        <v>0.107</v>
      </c>
      <c r="DT84" s="19">
        <v>4.2999999999999997E-2</v>
      </c>
      <c r="DU84" s="19">
        <v>2.8000000000000001E-2</v>
      </c>
      <c r="DV84" s="19">
        <v>1676931</v>
      </c>
      <c r="DW84" s="19">
        <v>164</v>
      </c>
      <c r="DX84" s="19">
        <v>0</v>
      </c>
      <c r="DY84" s="19">
        <v>1</v>
      </c>
      <c r="DZ84" s="19">
        <v>19.055518358675744</v>
      </c>
      <c r="EA84" s="19">
        <f>DataTable[[#This Row],[Sens_11]]/AVERAGEIF(DataTable[Strålkälla],DataTable[[#This Row],[Strålkälla]],DataTable[Sens_11])</f>
        <v>0.9986223102539713</v>
      </c>
      <c r="EB84" s="19">
        <v>1767</v>
      </c>
      <c r="EC84" s="19">
        <v>2128</v>
      </c>
      <c r="ED84" s="19">
        <v>9.2999999999999999E-2</v>
      </c>
      <c r="EE84" s="19">
        <v>3.5999999999999997E-2</v>
      </c>
      <c r="EF84" s="19">
        <v>2.7E-2</v>
      </c>
      <c r="EG84" s="19">
        <v>1992185</v>
      </c>
      <c r="EH84" s="19">
        <v>164</v>
      </c>
      <c r="EI84" s="19">
        <v>0</v>
      </c>
      <c r="EJ84" s="19">
        <v>0</v>
      </c>
      <c r="EK84" s="19">
        <v>22.637853221974215</v>
      </c>
      <c r="EL84" s="23">
        <f>DataTable[[#This Row],[Sens_12]]/AVERAGEIF(DataTable[Strålkälla],DataTable[[#This Row],[Strålkälla]],DataTable[Sens_12])</f>
        <v>0.99715200690162964</v>
      </c>
      <c r="EM84" s="19">
        <v>1492</v>
      </c>
      <c r="EN84" s="19">
        <v>1834</v>
      </c>
      <c r="EO84" s="19">
        <v>0.10299999999999999</v>
      </c>
      <c r="EP84" s="19">
        <v>3.5999999999999997E-2</v>
      </c>
      <c r="EQ84" s="19">
        <v>2.8000000000000001E-2</v>
      </c>
      <c r="ER84" s="19">
        <v>1700611</v>
      </c>
      <c r="ES84" s="19">
        <v>176</v>
      </c>
      <c r="ET84" s="19">
        <v>0</v>
      </c>
      <c r="EU84" s="19">
        <v>0</v>
      </c>
      <c r="EV84" s="19">
        <v>18.007015486110458</v>
      </c>
      <c r="EW84" s="19">
        <f>DataTable[[#This Row],[Sens_13]]/AVERAGEIF(DataTable[Strålkälla],DataTable[[#This Row],[Strålkälla]],DataTable[Sens_13])</f>
        <v>0.9995013407800426</v>
      </c>
      <c r="EX84" s="19">
        <v>1277</v>
      </c>
      <c r="EY84" s="19">
        <v>1538</v>
      </c>
      <c r="EZ84" s="19">
        <v>9.2999999999999999E-2</v>
      </c>
      <c r="FA84" s="19">
        <v>3.7999999999999999E-2</v>
      </c>
      <c r="FB84" s="19">
        <v>3.1E-2</v>
      </c>
      <c r="FC84" s="19">
        <v>1441990</v>
      </c>
      <c r="FD84" s="19">
        <v>176</v>
      </c>
      <c r="FE84" s="19">
        <v>0</v>
      </c>
      <c r="FF84" s="19">
        <v>0</v>
      </c>
      <c r="FG84" s="19">
        <v>15.268592441667391</v>
      </c>
      <c r="FH84" s="19">
        <f>DataTable[[#This Row],[Sens_14]]/AVERAGEIF(DataTable[Strålkälla],DataTable[[#This Row],[Strålkälla]],DataTable[Sens_14])</f>
        <v>1.0000666502777265</v>
      </c>
      <c r="FI84" s="19">
        <v>1412</v>
      </c>
      <c r="FJ84" s="19">
        <v>1739</v>
      </c>
      <c r="FK84" s="19">
        <v>0.104</v>
      </c>
      <c r="FL84" s="19">
        <v>4.3999999999999997E-2</v>
      </c>
      <c r="FM84" s="19">
        <v>2.7E-2</v>
      </c>
      <c r="FN84" s="19">
        <v>1629559</v>
      </c>
      <c r="FO84" s="19">
        <v>176</v>
      </c>
      <c r="FP84" s="19">
        <v>1</v>
      </c>
      <c r="FQ84" s="19">
        <v>0</v>
      </c>
      <c r="FR84" s="19">
        <v>17.25467737685495</v>
      </c>
      <c r="FS84" s="19">
        <f>DataTable[[#This Row],[Sens_15]]/AVERAGEIF(DataTable[Strålkälla],DataTable[[#This Row],[Strålkälla]],DataTable[Sens_15])</f>
        <v>0.99883298410759058</v>
      </c>
      <c r="FT84" s="19">
        <v>1297</v>
      </c>
      <c r="FU84" s="19">
        <v>1569</v>
      </c>
      <c r="FV84" s="19">
        <v>9.5000000000000001E-2</v>
      </c>
      <c r="FW84" s="19">
        <v>4.1000000000000002E-2</v>
      </c>
      <c r="FX84" s="19">
        <v>2.8000000000000001E-2</v>
      </c>
      <c r="FY84" s="19">
        <v>1466154</v>
      </c>
      <c r="FZ84" s="19">
        <v>176</v>
      </c>
      <c r="GA84" s="19">
        <v>0</v>
      </c>
      <c r="GB84" s="19">
        <v>0</v>
      </c>
      <c r="GC84" s="19">
        <v>15.524454318490704</v>
      </c>
      <c r="GD84" s="19">
        <f>DataTable[[#This Row],[Sens_16]]/AVERAGEIF(DataTable[Strålkälla],DataTable[[#This Row],[Strålkälla]],DataTable[Sens_16])</f>
        <v>0.99885776174673924</v>
      </c>
      <c r="GE84" s="19">
        <v>1219</v>
      </c>
      <c r="GF84" s="19">
        <v>1522</v>
      </c>
      <c r="GG84" s="19">
        <v>0.111</v>
      </c>
      <c r="GH84" s="19">
        <v>4.5999999999999999E-2</v>
      </c>
      <c r="GI84" s="19">
        <v>0.03</v>
      </c>
      <c r="GJ84" s="19">
        <v>1408612</v>
      </c>
      <c r="GK84" s="19">
        <v>176</v>
      </c>
      <c r="GL84" s="19">
        <v>0</v>
      </c>
      <c r="GM84" s="19">
        <v>0</v>
      </c>
      <c r="GN84" s="19">
        <v>14.915167606184498</v>
      </c>
      <c r="GO84" s="19">
        <f>DataTable[[#This Row],[Sens_17]]/AVERAGEIF(DataTable[Strålkälla],DataTable[[#This Row],[Strålkälla]],DataTable[Sens_17])</f>
        <v>0.99953172956724823</v>
      </c>
      <c r="GP84" s="19">
        <v>1448</v>
      </c>
      <c r="GQ84" s="19">
        <v>1747</v>
      </c>
      <c r="GR84" s="19">
        <v>9.4E-2</v>
      </c>
      <c r="GS84" s="19">
        <v>4.2999999999999997E-2</v>
      </c>
      <c r="GT84" s="19">
        <v>2.8000000000000001E-2</v>
      </c>
      <c r="GU84" s="19">
        <v>1631389</v>
      </c>
      <c r="GV84" s="19">
        <v>176</v>
      </c>
      <c r="GW84" s="19">
        <v>0</v>
      </c>
      <c r="GX84" s="19">
        <v>0</v>
      </c>
      <c r="GY84" s="19">
        <v>17.274054435064961</v>
      </c>
      <c r="GZ84" s="19">
        <f>DataTable[[#This Row],[Sens_18]]/AVERAGEIF(DataTable[Strålkälla],DataTable[[#This Row],[Strålkälla]],DataTable[Sens_18])</f>
        <v>1.0004228962862003</v>
      </c>
      <c r="HA84" s="19">
        <v>1286</v>
      </c>
      <c r="HB84" s="19">
        <v>1641</v>
      </c>
      <c r="HC84" s="19">
        <v>0.121</v>
      </c>
      <c r="HD84" s="19">
        <v>5.2999999999999999E-2</v>
      </c>
      <c r="HE84" s="19">
        <v>2.9000000000000001E-2</v>
      </c>
      <c r="HF84" s="19">
        <v>1478827</v>
      </c>
      <c r="HG84" s="19">
        <v>176</v>
      </c>
      <c r="HH84" s="19">
        <v>0</v>
      </c>
      <c r="HI84" s="19">
        <v>1</v>
      </c>
      <c r="HJ84" s="19">
        <v>15.658643093734119</v>
      </c>
      <c r="HK84" s="19">
        <f>DataTable[[#This Row],[Sens_19]]/AVERAGEIF(DataTable[Strålkälla],DataTable[[#This Row],[Strålkälla]],DataTable[Sens_19])</f>
        <v>1.0007469041439974</v>
      </c>
      <c r="HL84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0.121</v>
      </c>
      <c r="HM84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9.6315789473684202E-2</v>
      </c>
      <c r="HN84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5.2999999999999999E-2</v>
      </c>
      <c r="HO84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3.9684210526315794E-2</v>
      </c>
      <c r="HP84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0.99715200690162964</v>
      </c>
      <c r="HQ84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0.99917732621789779</v>
      </c>
      <c r="HR84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1.0007469041439974</v>
      </c>
      <c r="HS84" s="49"/>
    </row>
    <row r="85" spans="2:227" x14ac:dyDescent="0.25">
      <c r="B85" s="19" t="s">
        <v>43</v>
      </c>
      <c r="C85" s="20">
        <v>42653</v>
      </c>
      <c r="D85" s="21">
        <v>0.31562499999999999</v>
      </c>
      <c r="E85" s="13" t="s">
        <v>217</v>
      </c>
      <c r="F85" s="13">
        <v>109.8</v>
      </c>
      <c r="G85" s="13">
        <v>134.19999999999999</v>
      </c>
      <c r="H85" s="24">
        <v>8.5965000000000007</v>
      </c>
      <c r="I85" s="22">
        <f>MATCH(DataTable[[#This Row],[Datum]],Övrigt!$D$10:$M$10,1)</f>
        <v>2</v>
      </c>
      <c r="J85" s="13"/>
      <c r="K85" s="22">
        <v>1808</v>
      </c>
      <c r="L85" s="22">
        <v>2216</v>
      </c>
      <c r="M85" s="23">
        <v>0.10100000000000001</v>
      </c>
      <c r="N85" s="23">
        <v>4.2000000000000003E-2</v>
      </c>
      <c r="O85" s="23">
        <v>2.7E-2</v>
      </c>
      <c r="P85" s="22">
        <v>2033008</v>
      </c>
      <c r="Q85" s="24">
        <v>171</v>
      </c>
      <c r="R85" s="22">
        <v>0</v>
      </c>
      <c r="S85" s="22">
        <v>1</v>
      </c>
      <c r="T85" s="19">
        <v>22.44043820898122</v>
      </c>
      <c r="U85" s="23">
        <f>DataTable[[#This Row],[Sens_1]]/AVERAGEIF(DataTable[Strålkälla],DataTable[[#This Row],[Strålkälla]],DataTable[Sens_1])</f>
        <v>1.0013768384268569</v>
      </c>
      <c r="V85" s="22">
        <v>2153</v>
      </c>
      <c r="W85" s="22">
        <v>2601</v>
      </c>
      <c r="X85" s="23">
        <v>9.4E-2</v>
      </c>
      <c r="Y85" s="23">
        <v>4.4999999999999998E-2</v>
      </c>
      <c r="Z85" s="23">
        <v>2.5999999999999999E-2</v>
      </c>
      <c r="AA85" s="22">
        <v>2447738</v>
      </c>
      <c r="AB85" s="24">
        <v>171</v>
      </c>
      <c r="AC85" s="22">
        <v>0</v>
      </c>
      <c r="AD85" s="22">
        <v>0</v>
      </c>
      <c r="AE85" s="19">
        <v>27.018247513426054</v>
      </c>
      <c r="AF85" s="23">
        <f>DataTable[[#This Row],[Sens_2]]/AVERAGEIF(DataTable[Strålkälla],DataTable[[#This Row],[Strålkälla]],DataTable[Sens_2])</f>
        <v>0.99912514626436222</v>
      </c>
      <c r="AG85" s="22">
        <v>1905</v>
      </c>
      <c r="AH85" s="22">
        <v>2315</v>
      </c>
      <c r="AI85" s="23">
        <v>9.7000000000000003E-2</v>
      </c>
      <c r="AJ85" s="23">
        <v>4.5999999999999999E-2</v>
      </c>
      <c r="AK85" s="23">
        <v>2.5000000000000001E-2</v>
      </c>
      <c r="AL85" s="22">
        <v>2140502</v>
      </c>
      <c r="AM85" s="24">
        <v>171</v>
      </c>
      <c r="AN85" s="22">
        <v>0</v>
      </c>
      <c r="AO85" s="22">
        <v>2</v>
      </c>
      <c r="AP85" s="19">
        <v>23.62696205189587</v>
      </c>
      <c r="AQ85" s="23">
        <f>DataTable[[#This Row],[Sens_3]]/AVERAGEIF(DataTable[Strålkälla],DataTable[[#This Row],[Strålkälla]],DataTable[Sens_3])</f>
        <v>1.0005759605122282</v>
      </c>
      <c r="AR85" s="22">
        <v>1814</v>
      </c>
      <c r="AS85" s="22">
        <v>2185</v>
      </c>
      <c r="AT85" s="23">
        <v>9.2999999999999999E-2</v>
      </c>
      <c r="AU85" s="23">
        <v>0.04</v>
      </c>
      <c r="AV85" s="23">
        <v>2.5999999999999999E-2</v>
      </c>
      <c r="AW85" s="22">
        <v>2068986</v>
      </c>
      <c r="AX85" s="24">
        <v>171</v>
      </c>
      <c r="AY85" s="22">
        <v>0</v>
      </c>
      <c r="AZ85" s="22">
        <v>0</v>
      </c>
      <c r="BA85" s="19">
        <v>22.837565070204946</v>
      </c>
      <c r="BB85" s="23">
        <f>DataTable[[#This Row],[Sens_4]]/AVERAGEIF(DataTable[Strålkälla],DataTable[[#This Row],[Strålkälla]],DataTable[Sens_4])</f>
        <v>0.99948378138780369</v>
      </c>
      <c r="BC85" s="22">
        <v>2076</v>
      </c>
      <c r="BD85" s="22">
        <v>2441</v>
      </c>
      <c r="BE85" s="19">
        <v>8.1000000000000003E-2</v>
      </c>
      <c r="BF85" s="19">
        <v>4.2000000000000003E-2</v>
      </c>
      <c r="BG85" s="19">
        <v>2.3E-2</v>
      </c>
      <c r="BH85" s="19">
        <v>2329508</v>
      </c>
      <c r="BI85" s="19">
        <v>171</v>
      </c>
      <c r="BJ85" s="19">
        <v>0</v>
      </c>
      <c r="BK85" s="19">
        <v>0</v>
      </c>
      <c r="BL85" s="19">
        <v>25.713219196052069</v>
      </c>
      <c r="BM85" s="23">
        <f>DataTable[[#This Row],[Sens_5]]/AVERAGEIF(DataTable[Strålkälla],DataTable[[#This Row],[Strålkälla]],DataTable[Sens_5])</f>
        <v>0.99920760497033623</v>
      </c>
      <c r="BN85" s="19">
        <v>2103</v>
      </c>
      <c r="BO85" s="19">
        <v>2457</v>
      </c>
      <c r="BP85" s="19">
        <v>7.8E-2</v>
      </c>
      <c r="BQ85" s="19">
        <v>3.2000000000000001E-2</v>
      </c>
      <c r="BR85" s="19">
        <v>2.4E-2</v>
      </c>
      <c r="BS85" s="19">
        <v>2330113</v>
      </c>
      <c r="BT85" s="19">
        <v>171</v>
      </c>
      <c r="BU85" s="19">
        <v>0</v>
      </c>
      <c r="BV85" s="19">
        <v>0</v>
      </c>
      <c r="BW85" s="19">
        <v>25.719897214592297</v>
      </c>
      <c r="BX85" s="23">
        <f>DataTable[[#This Row],[Sens_6]]/AVERAGEIF(DataTable[Strålkälla],DataTable[[#This Row],[Strålkälla]],DataTable[Sens_6])</f>
        <v>0.99982208780881687</v>
      </c>
      <c r="BY85" s="19">
        <v>1817</v>
      </c>
      <c r="BZ85" s="19">
        <v>2253</v>
      </c>
      <c r="CA85" s="19">
        <v>0.107</v>
      </c>
      <c r="CB85" s="19">
        <v>4.3999999999999997E-2</v>
      </c>
      <c r="CC85" s="19">
        <v>2.5999999999999999E-2</v>
      </c>
      <c r="CD85" s="19">
        <v>2074738</v>
      </c>
      <c r="CE85" s="19">
        <v>171</v>
      </c>
      <c r="CF85" s="19">
        <v>1</v>
      </c>
      <c r="CG85" s="19">
        <v>1</v>
      </c>
      <c r="CH85" s="19">
        <v>22.901055917549403</v>
      </c>
      <c r="CI85" s="23">
        <f>DataTable[[#This Row],[Sens_7]]/AVERAGEIF(DataTable[Strålkälla],DataTable[[#This Row],[Strålkälla]],DataTable[Sens_7])</f>
        <v>1.0015568436597189</v>
      </c>
      <c r="CJ85" s="19">
        <v>2085</v>
      </c>
      <c r="CK85" s="19">
        <v>2659</v>
      </c>
      <c r="CL85" s="19">
        <v>0.121</v>
      </c>
      <c r="CM85" s="19">
        <v>3.4000000000000002E-2</v>
      </c>
      <c r="CN85" s="19">
        <v>2.4E-2</v>
      </c>
      <c r="CO85" s="19">
        <v>2451243</v>
      </c>
      <c r="CP85" s="19">
        <v>171</v>
      </c>
      <c r="CQ85" s="19">
        <v>1</v>
      </c>
      <c r="CR85" s="19">
        <v>1</v>
      </c>
      <c r="CS85" s="19">
        <v>27.056935868770687</v>
      </c>
      <c r="CT85" s="23">
        <f>DataTable[[#This Row],[Sens_8]]/AVERAGEIF(DataTable[Strålkälla],DataTable[[#This Row],[Strålkälla]],DataTable[Sens_8])</f>
        <v>1.0014282647049386</v>
      </c>
      <c r="CU85" s="19">
        <v>1765</v>
      </c>
      <c r="CV85" s="19">
        <v>2147</v>
      </c>
      <c r="CW85" s="19">
        <v>9.8000000000000004E-2</v>
      </c>
      <c r="CX85" s="19">
        <v>0.04</v>
      </c>
      <c r="CY85" s="19">
        <v>2.5999999999999999E-2</v>
      </c>
      <c r="CZ85" s="19">
        <v>1966102</v>
      </c>
      <c r="DA85" s="19">
        <v>166</v>
      </c>
      <c r="DB85" s="19">
        <v>0</v>
      </c>
      <c r="DC85" s="19">
        <v>2</v>
      </c>
      <c r="DD85" s="19">
        <v>22.355599113459778</v>
      </c>
      <c r="DE85" s="23">
        <f>DataTable[[#This Row],[Sens_9]]/AVERAGEIF(DataTable[Strålkälla],DataTable[[#This Row],[Strålkälla]],DataTable[Sens_9])</f>
        <v>0.99940970893461878</v>
      </c>
      <c r="DF85" s="19">
        <v>1671</v>
      </c>
      <c r="DG85" s="19">
        <v>2032</v>
      </c>
      <c r="DH85" s="19">
        <v>9.7000000000000003E-2</v>
      </c>
      <c r="DI85" s="19">
        <v>3.4000000000000002E-2</v>
      </c>
      <c r="DJ85" s="19">
        <v>2.5999999999999999E-2</v>
      </c>
      <c r="DK85" s="19">
        <v>1903458</v>
      </c>
      <c r="DL85" s="19">
        <v>166</v>
      </c>
      <c r="DM85" s="19">
        <v>0</v>
      </c>
      <c r="DN85" s="19">
        <v>0</v>
      </c>
      <c r="DO85" s="19">
        <v>21.643304354152491</v>
      </c>
      <c r="DP85" s="23">
        <f>DataTable[[#This Row],[Sens_10]]/AVERAGEIF(DataTable[Strålkälla],DataTable[[#This Row],[Strålkälla]],DataTable[Sens_10])</f>
        <v>0.99756554879565718</v>
      </c>
      <c r="DQ85" s="19">
        <v>1476</v>
      </c>
      <c r="DR85" s="19">
        <v>1776</v>
      </c>
      <c r="DS85" s="19">
        <v>9.1999999999999998E-2</v>
      </c>
      <c r="DT85" s="19">
        <v>3.6999999999999998E-2</v>
      </c>
      <c r="DU85" s="19">
        <v>2.7E-2</v>
      </c>
      <c r="DV85" s="19">
        <v>1677101</v>
      </c>
      <c r="DW85" s="19">
        <v>166</v>
      </c>
      <c r="DX85" s="19">
        <v>0</v>
      </c>
      <c r="DY85" s="19">
        <v>0</v>
      </c>
      <c r="DZ85" s="19">
        <v>19.069507903853669</v>
      </c>
      <c r="EA85" s="19">
        <f>DataTable[[#This Row],[Sens_11]]/AVERAGEIF(DataTable[Strålkälla],DataTable[[#This Row],[Strålkälla]],DataTable[Sens_11])</f>
        <v>0.99935544548871136</v>
      </c>
      <c r="EB85" s="19">
        <v>1763</v>
      </c>
      <c r="EC85" s="19">
        <v>2163</v>
      </c>
      <c r="ED85" s="19">
        <v>0.10199999999999999</v>
      </c>
      <c r="EE85" s="19">
        <v>3.9E-2</v>
      </c>
      <c r="EF85" s="19">
        <v>2.5999999999999999E-2</v>
      </c>
      <c r="EG85" s="19">
        <v>1993014</v>
      </c>
      <c r="EH85" s="19">
        <v>166</v>
      </c>
      <c r="EI85" s="19">
        <v>0</v>
      </c>
      <c r="EJ85" s="19">
        <v>1</v>
      </c>
      <c r="EK85" s="19">
        <v>22.661602506641529</v>
      </c>
      <c r="EL85" s="23">
        <f>DataTable[[#This Row],[Sens_12]]/AVERAGEIF(DataTable[Strålkälla],DataTable[[#This Row],[Strålkälla]],DataTable[Sens_12])</f>
        <v>0.99819811523338187</v>
      </c>
      <c r="EM85" s="19">
        <v>1534</v>
      </c>
      <c r="EN85" s="19">
        <v>1829</v>
      </c>
      <c r="EO85" s="19">
        <v>8.7999999999999995E-2</v>
      </c>
      <c r="EP85" s="19">
        <v>4.1000000000000002E-2</v>
      </c>
      <c r="EQ85" s="19">
        <v>2.7E-2</v>
      </c>
      <c r="ER85" s="19">
        <v>1700707</v>
      </c>
      <c r="ES85" s="19">
        <v>178</v>
      </c>
      <c r="ET85" s="19">
        <v>0</v>
      </c>
      <c r="EU85" s="19">
        <v>0</v>
      </c>
      <c r="EV85" s="19">
        <v>18.034240338490054</v>
      </c>
      <c r="EW85" s="19">
        <f>DataTable[[#This Row],[Sens_13]]/AVERAGEIF(DataTable[Strålkälla],DataTable[[#This Row],[Strålkälla]],DataTable[Sens_13])</f>
        <v>1.001012489391923</v>
      </c>
      <c r="EX85" s="19">
        <v>1240</v>
      </c>
      <c r="EY85" s="19">
        <v>1559</v>
      </c>
      <c r="EZ85" s="19">
        <v>0.114</v>
      </c>
      <c r="FA85" s="19">
        <v>4.2000000000000003E-2</v>
      </c>
      <c r="FB85" s="19">
        <v>0.03</v>
      </c>
      <c r="FC85" s="19">
        <v>1442148</v>
      </c>
      <c r="FD85" s="19">
        <v>178</v>
      </c>
      <c r="FE85" s="19">
        <v>1</v>
      </c>
      <c r="FF85" s="19">
        <v>0</v>
      </c>
      <c r="FG85" s="19">
        <v>15.292489321013411</v>
      </c>
      <c r="FH85" s="19">
        <f>DataTable[[#This Row],[Sens_14]]/AVERAGEIF(DataTable[Strålkälla],DataTable[[#This Row],[Strålkälla]],DataTable[Sens_14])</f>
        <v>1.0016318549402365</v>
      </c>
      <c r="FI85" s="19">
        <v>1452</v>
      </c>
      <c r="FJ85" s="19">
        <v>1797</v>
      </c>
      <c r="FK85" s="19">
        <v>0.106</v>
      </c>
      <c r="FL85" s="19">
        <v>4.2999999999999997E-2</v>
      </c>
      <c r="FM85" s="19">
        <v>2.8000000000000001E-2</v>
      </c>
      <c r="FN85" s="19">
        <v>1630100</v>
      </c>
      <c r="FO85" s="19">
        <v>178</v>
      </c>
      <c r="FP85" s="19">
        <v>0</v>
      </c>
      <c r="FQ85" s="19">
        <v>1</v>
      </c>
      <c r="FR85" s="19">
        <v>17.285526064026687</v>
      </c>
      <c r="FS85" s="19">
        <f>DataTable[[#This Row],[Sens_15]]/AVERAGEIF(DataTable[Strålkälla],DataTable[[#This Row],[Strålkälla]],DataTable[Sens_15])</f>
        <v>1.0006187425770523</v>
      </c>
      <c r="FT85" s="19">
        <v>1285</v>
      </c>
      <c r="FU85" s="19">
        <v>1568</v>
      </c>
      <c r="FV85" s="19">
        <v>9.9000000000000005E-2</v>
      </c>
      <c r="FW85" s="19">
        <v>5.2999999999999999E-2</v>
      </c>
      <c r="FX85" s="19">
        <v>2.8000000000000001E-2</v>
      </c>
      <c r="FY85" s="19">
        <v>1467959</v>
      </c>
      <c r="FZ85" s="19">
        <v>178</v>
      </c>
      <c r="GA85" s="19">
        <v>0</v>
      </c>
      <c r="GB85" s="19">
        <v>0</v>
      </c>
      <c r="GC85" s="19">
        <v>15.566188304657722</v>
      </c>
      <c r="GD85" s="19">
        <f>DataTable[[#This Row],[Sens_16]]/AVERAGEIF(DataTable[Strålkälla],DataTable[[#This Row],[Strålkälla]],DataTable[Sens_16])</f>
        <v>1.0015429650496279</v>
      </c>
      <c r="GE85" s="19">
        <v>1237</v>
      </c>
      <c r="GF85" s="19">
        <v>1503</v>
      </c>
      <c r="GG85" s="19">
        <v>9.7000000000000003E-2</v>
      </c>
      <c r="GH85" s="19">
        <v>3.9E-2</v>
      </c>
      <c r="GI85" s="19">
        <v>0.03</v>
      </c>
      <c r="GJ85" s="19">
        <v>1409075</v>
      </c>
      <c r="GK85" s="19">
        <v>178</v>
      </c>
      <c r="GL85" s="19">
        <v>0</v>
      </c>
      <c r="GM85" s="19">
        <v>0</v>
      </c>
      <c r="GN85" s="19">
        <v>14.941784331432677</v>
      </c>
      <c r="GO85" s="19">
        <f>DataTable[[#This Row],[Sens_17]]/AVERAGEIF(DataTable[Strålkälla],DataTable[[#This Row],[Strålkälla]],DataTable[Sens_17])</f>
        <v>1.0013154347273361</v>
      </c>
      <c r="GP85" s="19">
        <v>1443</v>
      </c>
      <c r="GQ85" s="19">
        <v>1770</v>
      </c>
      <c r="GR85" s="19">
        <v>0.10199999999999999</v>
      </c>
      <c r="GS85" s="19">
        <v>4.5999999999999999E-2</v>
      </c>
      <c r="GT85" s="19">
        <v>2.9000000000000001E-2</v>
      </c>
      <c r="GU85" s="19">
        <v>1632765</v>
      </c>
      <c r="GV85" s="19">
        <v>178</v>
      </c>
      <c r="GW85" s="19">
        <v>0</v>
      </c>
      <c r="GX85" s="19">
        <v>0</v>
      </c>
      <c r="GY85" s="19">
        <v>17.313785635194488</v>
      </c>
      <c r="GZ85" s="19">
        <f>DataTable[[#This Row],[Sens_18]]/AVERAGEIF(DataTable[Strålkälla],DataTable[[#This Row],[Strålkälla]],DataTable[Sens_18])</f>
        <v>1.0027239196189635</v>
      </c>
      <c r="HA85" s="19">
        <v>1310</v>
      </c>
      <c r="HB85" s="19">
        <v>1583</v>
      </c>
      <c r="HC85" s="19">
        <v>9.4E-2</v>
      </c>
      <c r="HD85" s="19">
        <v>3.6999999999999998E-2</v>
      </c>
      <c r="HE85" s="19">
        <v>0.03</v>
      </c>
      <c r="HF85" s="19">
        <v>1475710</v>
      </c>
      <c r="HG85" s="19">
        <v>178</v>
      </c>
      <c r="HH85" s="19">
        <v>0</v>
      </c>
      <c r="HI85" s="19">
        <v>0</v>
      </c>
      <c r="HJ85" s="19">
        <v>15.648379650294352</v>
      </c>
      <c r="HK85" s="19">
        <f>DataTable[[#This Row],[Sens_19]]/AVERAGEIF(DataTable[Strålkälla],DataTable[[#This Row],[Strålkälla]],DataTable[Sens_19])</f>
        <v>1.0000909654916685</v>
      </c>
      <c r="HL85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0.121</v>
      </c>
      <c r="HM85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9.7947368421052658E-2</v>
      </c>
      <c r="HN85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5.2999999999999999E-2</v>
      </c>
      <c r="HO85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4.0842105263157909E-2</v>
      </c>
      <c r="HP85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0.99756554879565718</v>
      </c>
      <c r="HQ85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1.0003179851570652</v>
      </c>
      <c r="HR85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1.0027239196189635</v>
      </c>
      <c r="HS85" s="49"/>
    </row>
    <row r="86" spans="2:227" x14ac:dyDescent="0.25">
      <c r="B86" s="19" t="s">
        <v>43</v>
      </c>
      <c r="C86" s="20">
        <v>42655</v>
      </c>
      <c r="D86" s="21">
        <v>0.31393518518518521</v>
      </c>
      <c r="E86" s="13" t="s">
        <v>217</v>
      </c>
      <c r="F86" s="13">
        <v>109.8</v>
      </c>
      <c r="G86" s="13">
        <v>134.19999999999999</v>
      </c>
      <c r="H86" s="24">
        <v>8.6408000000000005</v>
      </c>
      <c r="I86" s="22">
        <f>MATCH(DataTable[[#This Row],[Datum]],Övrigt!$D$10:$M$10,1)</f>
        <v>2</v>
      </c>
      <c r="J86" s="13"/>
      <c r="K86" s="22">
        <v>1805</v>
      </c>
      <c r="L86" s="22">
        <v>2186</v>
      </c>
      <c r="M86" s="23">
        <v>9.5000000000000001E-2</v>
      </c>
      <c r="N86" s="23">
        <v>4.9000000000000002E-2</v>
      </c>
      <c r="O86" s="23">
        <v>2.5999999999999999E-2</v>
      </c>
      <c r="P86" s="22">
        <v>2029782</v>
      </c>
      <c r="Q86" s="24">
        <v>172</v>
      </c>
      <c r="R86" s="22">
        <v>0</v>
      </c>
      <c r="S86" s="22">
        <v>0</v>
      </c>
      <c r="T86" s="19">
        <v>22.388493940521268</v>
      </c>
      <c r="U86" s="23">
        <f>DataTable[[#This Row],[Sens_1]]/AVERAGEIF(DataTable[Strålkälla],DataTable[[#This Row],[Strålkälla]],DataTable[Sens_1])</f>
        <v>0.99905888960427092</v>
      </c>
      <c r="V86" s="22">
        <v>2115</v>
      </c>
      <c r="W86" s="22">
        <v>2669</v>
      </c>
      <c r="X86" s="23">
        <v>0.11600000000000001</v>
      </c>
      <c r="Y86" s="23">
        <v>3.6999999999999998E-2</v>
      </c>
      <c r="Z86" s="23">
        <v>2.5000000000000001E-2</v>
      </c>
      <c r="AA86" s="22">
        <v>2448377</v>
      </c>
      <c r="AB86" s="24">
        <v>172</v>
      </c>
      <c r="AC86" s="22">
        <v>1</v>
      </c>
      <c r="AD86" s="22">
        <v>1</v>
      </c>
      <c r="AE86" s="19">
        <v>27.005596477164367</v>
      </c>
      <c r="AF86" s="23">
        <f>DataTable[[#This Row],[Sens_2]]/AVERAGEIF(DataTable[Strålkälla],DataTable[[#This Row],[Strålkälla]],DataTable[Sens_2])</f>
        <v>0.99865731546041858</v>
      </c>
      <c r="AG86" s="22">
        <v>1891</v>
      </c>
      <c r="AH86" s="22">
        <v>2291</v>
      </c>
      <c r="AI86" s="23">
        <v>9.6000000000000002E-2</v>
      </c>
      <c r="AJ86" s="23">
        <v>3.7999999999999999E-2</v>
      </c>
      <c r="AK86" s="23">
        <v>2.7E-2</v>
      </c>
      <c r="AL86" s="22">
        <v>2141510</v>
      </c>
      <c r="AM86" s="24">
        <v>172</v>
      </c>
      <c r="AN86" s="22">
        <v>0</v>
      </c>
      <c r="AO86" s="22">
        <v>0</v>
      </c>
      <c r="AP86" s="19">
        <v>23.620853696882573</v>
      </c>
      <c r="AQ86" s="23">
        <f>DataTable[[#This Row],[Sens_3]]/AVERAGEIF(DataTable[Strålkälla],DataTable[[#This Row],[Strålkälla]],DataTable[Sens_3])</f>
        <v>1.0003172783688721</v>
      </c>
      <c r="AR86" s="22">
        <v>1862</v>
      </c>
      <c r="AS86" s="22">
        <v>2169</v>
      </c>
      <c r="AT86" s="23">
        <v>7.5999999999999998E-2</v>
      </c>
      <c r="AU86" s="23">
        <v>3.9E-2</v>
      </c>
      <c r="AV86" s="23">
        <v>2.4E-2</v>
      </c>
      <c r="AW86" s="22">
        <v>2069520</v>
      </c>
      <c r="AX86" s="24">
        <v>172</v>
      </c>
      <c r="AY86" s="22">
        <v>0</v>
      </c>
      <c r="AZ86" s="22">
        <v>0</v>
      </c>
      <c r="BA86" s="19">
        <v>22.826804050773717</v>
      </c>
      <c r="BB86" s="23">
        <f>DataTable[[#This Row],[Sens_4]]/AVERAGEIF(DataTable[Strålkälla],DataTable[[#This Row],[Strålkälla]],DataTable[Sens_4])</f>
        <v>0.99901282643443423</v>
      </c>
      <c r="BC86" s="22">
        <v>2056</v>
      </c>
      <c r="BD86" s="22">
        <v>2448</v>
      </c>
      <c r="BE86" s="19">
        <v>8.6999999999999994E-2</v>
      </c>
      <c r="BF86" s="19">
        <v>3.5000000000000003E-2</v>
      </c>
      <c r="BG86" s="19">
        <v>2.3E-2</v>
      </c>
      <c r="BH86" s="19">
        <v>2331127</v>
      </c>
      <c r="BI86" s="19">
        <v>172</v>
      </c>
      <c r="BJ86" s="19">
        <v>1</v>
      </c>
      <c r="BK86" s="19">
        <v>0</v>
      </c>
      <c r="BL86" s="19">
        <v>25.712329064936789</v>
      </c>
      <c r="BM86" s="23">
        <f>DataTable[[#This Row],[Sens_5]]/AVERAGEIF(DataTable[Strålkälla],DataTable[[#This Row],[Strålkälla]],DataTable[Sens_5])</f>
        <v>0.99917301475535658</v>
      </c>
      <c r="BN86" s="19">
        <v>2070</v>
      </c>
      <c r="BO86" s="19">
        <v>2511</v>
      </c>
      <c r="BP86" s="19">
        <v>9.6000000000000002E-2</v>
      </c>
      <c r="BQ86" s="19">
        <v>4.3999999999999997E-2</v>
      </c>
      <c r="BR86" s="19">
        <v>2.4E-2</v>
      </c>
      <c r="BS86" s="19">
        <v>2331602</v>
      </c>
      <c r="BT86" s="19">
        <v>172</v>
      </c>
      <c r="BU86" s="19">
        <v>0</v>
      </c>
      <c r="BV86" s="19">
        <v>1</v>
      </c>
      <c r="BW86" s="19">
        <v>25.717568314581207</v>
      </c>
      <c r="BX86" s="23">
        <f>DataTable[[#This Row],[Sens_6]]/AVERAGEIF(DataTable[Strålkälla],DataTable[[#This Row],[Strålkälla]],DataTable[Sens_6])</f>
        <v>0.99973155534471103</v>
      </c>
      <c r="BY86" s="19">
        <v>1853</v>
      </c>
      <c r="BZ86" s="19">
        <v>2293</v>
      </c>
      <c r="CA86" s="19">
        <v>0.106</v>
      </c>
      <c r="CB86" s="19">
        <v>3.3000000000000002E-2</v>
      </c>
      <c r="CC86" s="19">
        <v>2.7E-2</v>
      </c>
      <c r="CD86" s="19">
        <v>2076938</v>
      </c>
      <c r="CE86" s="19">
        <v>172</v>
      </c>
      <c r="CF86" s="19">
        <v>0</v>
      </c>
      <c r="CG86" s="19">
        <v>3</v>
      </c>
      <c r="CH86" s="19">
        <v>22.908624585220661</v>
      </c>
      <c r="CI86" s="23">
        <f>DataTable[[#This Row],[Sens_7]]/AVERAGEIF(DataTable[Strålkälla],DataTable[[#This Row],[Strålkälla]],DataTable[Sens_7])</f>
        <v>1.0018878524538473</v>
      </c>
      <c r="CJ86" s="19">
        <v>2167</v>
      </c>
      <c r="CK86" s="19">
        <v>2612</v>
      </c>
      <c r="CL86" s="19">
        <v>9.2999999999999999E-2</v>
      </c>
      <c r="CM86" s="19">
        <v>4.7E-2</v>
      </c>
      <c r="CN86" s="19">
        <v>2.5000000000000001E-2</v>
      </c>
      <c r="CO86" s="19">
        <v>2449565</v>
      </c>
      <c r="CP86" s="19">
        <v>172</v>
      </c>
      <c r="CQ86" s="19">
        <v>0</v>
      </c>
      <c r="CR86" s="19">
        <v>0</v>
      </c>
      <c r="CS86" s="19">
        <v>27.018700116275038</v>
      </c>
      <c r="CT86" s="23">
        <f>DataTable[[#This Row],[Sens_8]]/AVERAGEIF(DataTable[Strålkälla],DataTable[[#This Row],[Strålkälla]],DataTable[Sens_8])</f>
        <v>1.0000130873375856</v>
      </c>
      <c r="CU86" s="19">
        <v>1652</v>
      </c>
      <c r="CV86" s="19">
        <v>2109</v>
      </c>
      <c r="CW86" s="19">
        <v>0.122</v>
      </c>
      <c r="CX86" s="19">
        <v>4.2999999999999997E-2</v>
      </c>
      <c r="CY86" s="19">
        <v>2.8000000000000001E-2</v>
      </c>
      <c r="CZ86" s="19">
        <v>1963801</v>
      </c>
      <c r="DA86" s="19">
        <v>167</v>
      </c>
      <c r="DB86" s="19">
        <v>1</v>
      </c>
      <c r="DC86" s="19">
        <v>0</v>
      </c>
      <c r="DD86" s="19">
        <v>22.309248217396583</v>
      </c>
      <c r="DE86" s="23">
        <f>DataTable[[#This Row],[Sens_9]]/AVERAGEIF(DataTable[Strålkälla],DataTable[[#This Row],[Strålkälla]],DataTable[Sens_9])</f>
        <v>0.99733758663056982</v>
      </c>
      <c r="DF86" s="19">
        <v>1694</v>
      </c>
      <c r="DG86" s="19">
        <v>2022</v>
      </c>
      <c r="DH86" s="19">
        <v>8.7999999999999995E-2</v>
      </c>
      <c r="DI86" s="19">
        <v>4.1000000000000002E-2</v>
      </c>
      <c r="DJ86" s="19">
        <v>2.7E-2</v>
      </c>
      <c r="DK86" s="19">
        <v>1906866</v>
      </c>
      <c r="DL86" s="19">
        <v>167</v>
      </c>
      <c r="DM86" s="19">
        <v>0</v>
      </c>
      <c r="DN86" s="19">
        <v>0</v>
      </c>
      <c r="DO86" s="19">
        <v>21.662453024168006</v>
      </c>
      <c r="DP86" s="23">
        <f>DataTable[[#This Row],[Sens_10]]/AVERAGEIF(DataTable[Strålkälla],DataTable[[#This Row],[Strålkälla]],DataTable[Sens_10])</f>
        <v>0.99844813369120566</v>
      </c>
      <c r="DQ86" s="19">
        <v>1408</v>
      </c>
      <c r="DR86" s="19">
        <v>1812</v>
      </c>
      <c r="DS86" s="19">
        <v>0.125</v>
      </c>
      <c r="DT86" s="19">
        <v>3.7999999999999999E-2</v>
      </c>
      <c r="DU86" s="19">
        <v>2.8000000000000001E-2</v>
      </c>
      <c r="DV86" s="19">
        <v>1675039</v>
      </c>
      <c r="DW86" s="19">
        <v>167</v>
      </c>
      <c r="DX86" s="19">
        <v>1</v>
      </c>
      <c r="DY86" s="19">
        <v>0</v>
      </c>
      <c r="DZ86" s="19">
        <v>19.028842955482634</v>
      </c>
      <c r="EA86" s="19">
        <f>DataTable[[#This Row],[Sens_11]]/AVERAGEIF(DataTable[Strålkälla],DataTable[[#This Row],[Strålkälla]],DataTable[Sens_11])</f>
        <v>0.99722436073287979</v>
      </c>
      <c r="EB86" s="19">
        <v>1768</v>
      </c>
      <c r="EC86" s="19">
        <v>2108</v>
      </c>
      <c r="ED86" s="19">
        <v>8.7999999999999995E-2</v>
      </c>
      <c r="EE86" s="19">
        <v>5.6000000000000001E-2</v>
      </c>
      <c r="EF86" s="19">
        <v>2.7E-2</v>
      </c>
      <c r="EG86" s="19">
        <v>1994051</v>
      </c>
      <c r="EH86" s="19">
        <v>167</v>
      </c>
      <c r="EI86" s="19">
        <v>0</v>
      </c>
      <c r="EJ86" s="19">
        <v>0</v>
      </c>
      <c r="EK86" s="19">
        <v>22.652895439582661</v>
      </c>
      <c r="EL86" s="23">
        <f>DataTable[[#This Row],[Sens_12]]/AVERAGEIF(DataTable[Strålkälla],DataTable[[#This Row],[Strålkälla]],DataTable[Sens_12])</f>
        <v>0.99781458640196641</v>
      </c>
      <c r="EM86" s="19">
        <v>1481</v>
      </c>
      <c r="EN86" s="19">
        <v>1812</v>
      </c>
      <c r="EO86" s="19">
        <v>0.10100000000000001</v>
      </c>
      <c r="EP86" s="19">
        <v>0.04</v>
      </c>
      <c r="EQ86" s="19">
        <v>2.8000000000000001E-2</v>
      </c>
      <c r="ER86" s="19">
        <v>1701602</v>
      </c>
      <c r="ES86" s="19">
        <v>179</v>
      </c>
      <c r="ET86" s="19">
        <v>0</v>
      </c>
      <c r="EU86" s="19">
        <v>0</v>
      </c>
      <c r="EV86" s="19">
        <v>18.03469849846595</v>
      </c>
      <c r="EW86" s="19">
        <f>DataTable[[#This Row],[Sens_13]]/AVERAGEIF(DataTable[Strålkälla],DataTable[[#This Row],[Strålkälla]],DataTable[Sens_13])</f>
        <v>1.0010379201197719</v>
      </c>
      <c r="EX86" s="19">
        <v>1261</v>
      </c>
      <c r="EY86" s="19">
        <v>1606</v>
      </c>
      <c r="EZ86" s="19">
        <v>0.12</v>
      </c>
      <c r="FA86" s="19">
        <v>4.2999999999999997E-2</v>
      </c>
      <c r="FB86" s="19">
        <v>0.03</v>
      </c>
      <c r="FC86" s="19">
        <v>1443178</v>
      </c>
      <c r="FD86" s="19">
        <v>179</v>
      </c>
      <c r="FE86" s="19">
        <v>0</v>
      </c>
      <c r="FF86" s="19">
        <v>1</v>
      </c>
      <c r="FG86" s="19">
        <v>15.295750774634195</v>
      </c>
      <c r="FH86" s="19">
        <f>DataTable[[#This Row],[Sens_14]]/AVERAGEIF(DataTable[Strålkälla],DataTable[[#This Row],[Strålkälla]],DataTable[Sens_14])</f>
        <v>1.0018454745656236</v>
      </c>
      <c r="FI86" s="19">
        <v>1444</v>
      </c>
      <c r="FJ86" s="19">
        <v>1775</v>
      </c>
      <c r="FK86" s="19">
        <v>0.10299999999999999</v>
      </c>
      <c r="FL86" s="19">
        <v>0.05</v>
      </c>
      <c r="FM86" s="19">
        <v>2.8000000000000001E-2</v>
      </c>
      <c r="FN86" s="19">
        <v>1629836</v>
      </c>
      <c r="FO86" s="19">
        <v>179</v>
      </c>
      <c r="FP86" s="19">
        <v>0</v>
      </c>
      <c r="FQ86" s="19">
        <v>1</v>
      </c>
      <c r="FR86" s="19">
        <v>17.274075172658325</v>
      </c>
      <c r="FS86" s="19">
        <f>DataTable[[#This Row],[Sens_15]]/AVERAGEIF(DataTable[Strålkälla],DataTable[[#This Row],[Strålkälla]],DataTable[Sens_15])</f>
        <v>0.99995587721328161</v>
      </c>
      <c r="FT86" s="19">
        <v>1282</v>
      </c>
      <c r="FU86" s="19">
        <v>1560</v>
      </c>
      <c r="FV86" s="19">
        <v>9.8000000000000004E-2</v>
      </c>
      <c r="FW86" s="19">
        <v>4.7E-2</v>
      </c>
      <c r="FX86" s="19">
        <v>2.8000000000000001E-2</v>
      </c>
      <c r="FY86" s="19">
        <v>1470167</v>
      </c>
      <c r="FZ86" s="19">
        <v>179</v>
      </c>
      <c r="GA86" s="19">
        <v>0</v>
      </c>
      <c r="GB86" s="19">
        <v>0</v>
      </c>
      <c r="GC86" s="19">
        <v>15.581797968851818</v>
      </c>
      <c r="GD86" s="19">
        <f>DataTable[[#This Row],[Sens_16]]/AVERAGEIF(DataTable[Strålkälla],DataTable[[#This Row],[Strålkälla]],DataTable[Sens_16])</f>
        <v>1.0025473052936495</v>
      </c>
      <c r="GE86" s="19">
        <v>1217</v>
      </c>
      <c r="GF86" s="19">
        <v>1543</v>
      </c>
      <c r="GG86" s="19">
        <v>0.11799999999999999</v>
      </c>
      <c r="GH86" s="19">
        <v>4.2999999999999997E-2</v>
      </c>
      <c r="GI86" s="19">
        <v>3.1E-2</v>
      </c>
      <c r="GJ86" s="19">
        <v>1409864</v>
      </c>
      <c r="GK86" s="19">
        <v>179</v>
      </c>
      <c r="GL86" s="19">
        <v>0</v>
      </c>
      <c r="GM86" s="19">
        <v>0</v>
      </c>
      <c r="GN86" s="19">
        <v>14.942667065413181</v>
      </c>
      <c r="GO86" s="19">
        <f>DataTable[[#This Row],[Sens_17]]/AVERAGEIF(DataTable[Strålkälla],DataTable[[#This Row],[Strålkälla]],DataTable[Sens_17])</f>
        <v>1.0013745906581026</v>
      </c>
      <c r="GP86" s="19">
        <v>1457</v>
      </c>
      <c r="GQ86" s="19">
        <v>1746</v>
      </c>
      <c r="GR86" s="19">
        <v>0.09</v>
      </c>
      <c r="GS86" s="19">
        <v>4.7E-2</v>
      </c>
      <c r="GT86" s="19">
        <v>2.8000000000000001E-2</v>
      </c>
      <c r="GU86" s="19">
        <v>1627859</v>
      </c>
      <c r="GV86" s="19">
        <v>179</v>
      </c>
      <c r="GW86" s="19">
        <v>0</v>
      </c>
      <c r="GX86" s="19">
        <v>0</v>
      </c>
      <c r="GY86" s="19">
        <v>17.253121624806674</v>
      </c>
      <c r="GZ86" s="19">
        <f>DataTable[[#This Row],[Sens_18]]/AVERAGEIF(DataTable[Strålkälla],DataTable[[#This Row],[Strålkälla]],DataTable[Sens_18])</f>
        <v>0.99921057738650432</v>
      </c>
      <c r="HA86" s="19">
        <v>1297</v>
      </c>
      <c r="HB86" s="19">
        <v>1595</v>
      </c>
      <c r="HC86" s="19">
        <v>0.10299999999999999</v>
      </c>
      <c r="HD86" s="19">
        <v>4.3999999999999997E-2</v>
      </c>
      <c r="HE86" s="19">
        <v>0.03</v>
      </c>
      <c r="HF86" s="19">
        <v>1476043</v>
      </c>
      <c r="HG86" s="19">
        <v>179</v>
      </c>
      <c r="HH86" s="19">
        <v>0</v>
      </c>
      <c r="HI86" s="19">
        <v>0</v>
      </c>
      <c r="HJ86" s="19">
        <v>15.644075686189355</v>
      </c>
      <c r="HK86" s="19">
        <f>DataTable[[#This Row],[Sens_19]]/AVERAGEIF(DataTable[Strålkälla],DataTable[[#This Row],[Strålkälla]],DataTable[Sens_19])</f>
        <v>0.99981589831452933</v>
      </c>
      <c r="HL86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0.125</v>
      </c>
      <c r="HM86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0.10110526315789475</v>
      </c>
      <c r="HN86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5.6000000000000001E-2</v>
      </c>
      <c r="HO86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4.2842105263157904E-2</v>
      </c>
      <c r="HP86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0.99722436073287979</v>
      </c>
      <c r="HQ86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0.99970863846145175</v>
      </c>
      <c r="HR86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1.0025473052936495</v>
      </c>
      <c r="HS86" s="49"/>
    </row>
    <row r="87" spans="2:227" x14ac:dyDescent="0.25">
      <c r="B87" s="19" t="s">
        <v>43</v>
      </c>
      <c r="C87" s="20">
        <v>42660</v>
      </c>
      <c r="D87" s="21">
        <v>0.31800925925925927</v>
      </c>
      <c r="E87" s="13" t="s">
        <v>217</v>
      </c>
      <c r="F87" s="13">
        <v>109.8</v>
      </c>
      <c r="G87" s="13">
        <v>134.19999999999999</v>
      </c>
      <c r="H87" s="24">
        <v>8.7354000000000003</v>
      </c>
      <c r="I87" s="22">
        <f>MATCH(DataTable[[#This Row],[Datum]],Övrigt!$D$10:$M$10,1)</f>
        <v>2</v>
      </c>
      <c r="J87" s="13"/>
      <c r="K87" s="22">
        <v>1747</v>
      </c>
      <c r="L87" s="22">
        <v>2205</v>
      </c>
      <c r="M87" s="23">
        <v>0.11600000000000001</v>
      </c>
      <c r="N87" s="23">
        <v>3.4000000000000002E-2</v>
      </c>
      <c r="O87" s="23">
        <v>2.5000000000000001E-2</v>
      </c>
      <c r="P87" s="22">
        <v>2031514</v>
      </c>
      <c r="Q87" s="24">
        <v>174</v>
      </c>
      <c r="R87" s="22">
        <v>1</v>
      </c>
      <c r="S87" s="22">
        <v>1</v>
      </c>
      <c r="T87" s="19">
        <v>22.434347123157881</v>
      </c>
      <c r="U87" s="23">
        <f>DataTable[[#This Row],[Sens_1]]/AVERAGEIF(DataTable[Strålkälla],DataTable[[#This Row],[Strålkälla]],DataTable[Sens_1])</f>
        <v>1.0011050312452163</v>
      </c>
      <c r="V87" s="22">
        <v>2173</v>
      </c>
      <c r="W87" s="22">
        <v>2592</v>
      </c>
      <c r="X87" s="23">
        <v>8.7999999999999995E-2</v>
      </c>
      <c r="Y87" s="23">
        <v>0.04</v>
      </c>
      <c r="Z87" s="23">
        <v>2.5000000000000001E-2</v>
      </c>
      <c r="AA87" s="22">
        <v>2446700</v>
      </c>
      <c r="AB87" s="24">
        <v>174</v>
      </c>
      <c r="AC87" s="22">
        <v>0</v>
      </c>
      <c r="AD87" s="22">
        <v>0</v>
      </c>
      <c r="AE87" s="19">
        <v>27.019315203454362</v>
      </c>
      <c r="AF87" s="23">
        <f>DataTable[[#This Row],[Sens_2]]/AVERAGEIF(DataTable[Strålkälla],DataTable[[#This Row],[Strålkälla]],DataTable[Sens_2])</f>
        <v>0.99916462906039349</v>
      </c>
      <c r="AG87" s="22">
        <v>1886</v>
      </c>
      <c r="AH87" s="22">
        <v>2292</v>
      </c>
      <c r="AI87" s="23">
        <v>9.7000000000000003E-2</v>
      </c>
      <c r="AJ87" s="23">
        <v>3.5999999999999997E-2</v>
      </c>
      <c r="AK87" s="23">
        <v>2.5000000000000001E-2</v>
      </c>
      <c r="AL87" s="22">
        <v>2136698</v>
      </c>
      <c r="AM87" s="24">
        <v>174</v>
      </c>
      <c r="AN87" s="22">
        <v>0</v>
      </c>
      <c r="AO87" s="22">
        <v>0</v>
      </c>
      <c r="AP87" s="19">
        <v>23.59591153659645</v>
      </c>
      <c r="AQ87" s="23">
        <f>DataTable[[#This Row],[Sens_3]]/AVERAGEIF(DataTable[Strålkälla],DataTable[[#This Row],[Strålkälla]],DataTable[Sens_3])</f>
        <v>0.99926100520388705</v>
      </c>
      <c r="AR87" s="22">
        <v>1867</v>
      </c>
      <c r="AS87" s="22">
        <v>2166</v>
      </c>
      <c r="AT87" s="23">
        <v>7.3999999999999996E-2</v>
      </c>
      <c r="AU87" s="23">
        <v>3.2000000000000001E-2</v>
      </c>
      <c r="AV87" s="23">
        <v>2.5000000000000001E-2</v>
      </c>
      <c r="AW87" s="22">
        <v>2067384</v>
      </c>
      <c r="AX87" s="24">
        <v>174</v>
      </c>
      <c r="AY87" s="22">
        <v>0</v>
      </c>
      <c r="AZ87" s="22">
        <v>0</v>
      </c>
      <c r="BA87" s="19">
        <v>22.830465501523804</v>
      </c>
      <c r="BB87" s="23">
        <f>DataTable[[#This Row],[Sens_4]]/AVERAGEIF(DataTable[Strålkälla],DataTable[[#This Row],[Strålkälla]],DataTable[Sens_4])</f>
        <v>0.99917306946515194</v>
      </c>
      <c r="BC87" s="22">
        <v>2082</v>
      </c>
      <c r="BD87" s="22">
        <v>2455</v>
      </c>
      <c r="BE87" s="19">
        <v>8.2000000000000003E-2</v>
      </c>
      <c r="BF87" s="19">
        <v>4.2000000000000003E-2</v>
      </c>
      <c r="BG87" s="19">
        <v>2.4E-2</v>
      </c>
      <c r="BH87" s="19">
        <v>2329894</v>
      </c>
      <c r="BI87" s="19">
        <v>174</v>
      </c>
      <c r="BJ87" s="19">
        <v>0</v>
      </c>
      <c r="BK87" s="19">
        <v>0</v>
      </c>
      <c r="BL87" s="19">
        <v>25.729407110245269</v>
      </c>
      <c r="BM87" s="23">
        <f>DataTable[[#This Row],[Sens_5]]/AVERAGEIF(DataTable[Strålkälla],DataTable[[#This Row],[Strålkälla]],DataTable[Sens_5])</f>
        <v>0.99983666222089373</v>
      </c>
      <c r="BN87" s="19">
        <v>2086</v>
      </c>
      <c r="BO87" s="19">
        <v>2484</v>
      </c>
      <c r="BP87" s="19">
        <v>8.6999999999999994E-2</v>
      </c>
      <c r="BQ87" s="19">
        <v>5.3999999999999999E-2</v>
      </c>
      <c r="BR87" s="19">
        <v>2.4E-2</v>
      </c>
      <c r="BS87" s="19">
        <v>2336709</v>
      </c>
      <c r="BT87" s="19">
        <v>174</v>
      </c>
      <c r="BU87" s="19">
        <v>0</v>
      </c>
      <c r="BV87" s="19">
        <v>0</v>
      </c>
      <c r="BW87" s="19">
        <v>25.804666289184876</v>
      </c>
      <c r="BX87" s="23">
        <f>DataTable[[#This Row],[Sens_6]]/AVERAGEIF(DataTable[Strålkälla],DataTable[[#This Row],[Strålkälla]],DataTable[Sens_6])</f>
        <v>1.0031173573207295</v>
      </c>
      <c r="BY87" s="19">
        <v>1863</v>
      </c>
      <c r="BZ87" s="19">
        <v>2225</v>
      </c>
      <c r="CA87" s="19">
        <v>8.8999999999999996E-2</v>
      </c>
      <c r="CB87" s="19">
        <v>4.2000000000000003E-2</v>
      </c>
      <c r="CC87" s="19">
        <v>2.7E-2</v>
      </c>
      <c r="CD87" s="19">
        <v>2077694</v>
      </c>
      <c r="CE87" s="19">
        <v>174</v>
      </c>
      <c r="CF87" s="19">
        <v>0</v>
      </c>
      <c r="CG87" s="19">
        <v>0</v>
      </c>
      <c r="CH87" s="19">
        <v>22.944320546992238</v>
      </c>
      <c r="CI87" s="23">
        <f>DataTable[[#This Row],[Sens_7]]/AVERAGEIF(DataTable[Strålkälla],DataTable[[#This Row],[Strålkälla]],DataTable[Sens_7])</f>
        <v>1.0034489828633819</v>
      </c>
      <c r="CJ87" s="19">
        <v>2179</v>
      </c>
      <c r="CK87" s="19">
        <v>2612</v>
      </c>
      <c r="CL87" s="19">
        <v>0.09</v>
      </c>
      <c r="CM87" s="19">
        <v>3.7999999999999999E-2</v>
      </c>
      <c r="CN87" s="19">
        <v>2.5000000000000001E-2</v>
      </c>
      <c r="CO87" s="19">
        <v>2450856</v>
      </c>
      <c r="CP87" s="19">
        <v>174</v>
      </c>
      <c r="CQ87" s="19">
        <v>0</v>
      </c>
      <c r="CR87" s="19">
        <v>0</v>
      </c>
      <c r="CS87" s="19">
        <v>27.065210602966179</v>
      </c>
      <c r="CT87" s="23">
        <f>DataTable[[#This Row],[Sens_8]]/AVERAGEIF(DataTable[Strålkälla],DataTable[[#This Row],[Strålkälla]],DataTable[Sens_8])</f>
        <v>1.001734528235535</v>
      </c>
      <c r="CU87" s="19">
        <v>1732</v>
      </c>
      <c r="CV87" s="19">
        <v>2093</v>
      </c>
      <c r="CW87" s="19">
        <v>9.4E-2</v>
      </c>
      <c r="CX87" s="19">
        <v>3.3000000000000002E-2</v>
      </c>
      <c r="CY87" s="19">
        <v>2.7E-2</v>
      </c>
      <c r="CZ87" s="19">
        <v>1965788</v>
      </c>
      <c r="DA87" s="19">
        <v>169</v>
      </c>
      <c r="DB87" s="19">
        <v>0</v>
      </c>
      <c r="DC87" s="19">
        <v>0</v>
      </c>
      <c r="DD87" s="19">
        <v>22.35078799184231</v>
      </c>
      <c r="DE87" s="23">
        <f>DataTable[[#This Row],[Sens_9]]/AVERAGEIF(DataTable[Strålkälla],DataTable[[#This Row],[Strålkälla]],DataTable[Sens_9])</f>
        <v>0.99919462717228436</v>
      </c>
      <c r="DF87" s="19">
        <v>1705</v>
      </c>
      <c r="DG87" s="19">
        <v>2029</v>
      </c>
      <c r="DH87" s="19">
        <v>8.6999999999999994E-2</v>
      </c>
      <c r="DI87" s="19">
        <v>4.2000000000000003E-2</v>
      </c>
      <c r="DJ87" s="19">
        <v>2.5000000000000001E-2</v>
      </c>
      <c r="DK87" s="19">
        <v>1904585</v>
      </c>
      <c r="DL87" s="19">
        <v>169</v>
      </c>
      <c r="DM87" s="19">
        <v>0</v>
      </c>
      <c r="DN87" s="19">
        <v>0</v>
      </c>
      <c r="DO87" s="19">
        <v>21.65491678016296</v>
      </c>
      <c r="DP87" s="23">
        <f>DataTable[[#This Row],[Sens_10]]/AVERAGEIF(DataTable[Strålkälla],DataTable[[#This Row],[Strålkälla]],DataTable[Sens_10])</f>
        <v>0.99810077927324181</v>
      </c>
      <c r="DQ87" s="19">
        <v>1497</v>
      </c>
      <c r="DR87" s="19">
        <v>1787</v>
      </c>
      <c r="DS87" s="19">
        <v>8.7999999999999995E-2</v>
      </c>
      <c r="DT87" s="19">
        <v>0.04</v>
      </c>
      <c r="DU87" s="19">
        <v>2.8000000000000001E-2</v>
      </c>
      <c r="DV87" s="19">
        <v>1674833</v>
      </c>
      <c r="DW87" s="19">
        <v>169</v>
      </c>
      <c r="DX87" s="19">
        <v>0</v>
      </c>
      <c r="DY87" s="19">
        <v>0</v>
      </c>
      <c r="DZ87" s="19">
        <v>19.042662436000846</v>
      </c>
      <c r="EA87" s="19">
        <f>DataTable[[#This Row],[Sens_11]]/AVERAGEIF(DataTable[Strålkälla],DataTable[[#This Row],[Strålkälla]],DataTable[Sens_11])</f>
        <v>0.99794858356963745</v>
      </c>
      <c r="EB87" s="19">
        <v>1748</v>
      </c>
      <c r="EC87" s="19">
        <v>2182</v>
      </c>
      <c r="ED87" s="19">
        <v>0.11</v>
      </c>
      <c r="EE87" s="19">
        <v>4.2999999999999997E-2</v>
      </c>
      <c r="EF87" s="19">
        <v>2.7E-2</v>
      </c>
      <c r="EG87" s="19">
        <v>1994598</v>
      </c>
      <c r="EH87" s="19">
        <v>169</v>
      </c>
      <c r="EI87" s="19">
        <v>0</v>
      </c>
      <c r="EJ87" s="19">
        <v>1</v>
      </c>
      <c r="EK87" s="19">
        <v>22.67835444460577</v>
      </c>
      <c r="EL87" s="23">
        <f>DataTable[[#This Row],[Sens_12]]/AVERAGEIF(DataTable[Strålkälla],DataTable[[#This Row],[Strålkälla]],DataTable[Sens_12])</f>
        <v>0.9989360044844845</v>
      </c>
      <c r="EM87" s="19">
        <v>1496</v>
      </c>
      <c r="EN87" s="19">
        <v>1857</v>
      </c>
      <c r="EO87" s="19">
        <v>0.108</v>
      </c>
      <c r="EP87" s="19">
        <v>4.5999999999999999E-2</v>
      </c>
      <c r="EQ87" s="19">
        <v>2.8000000000000001E-2</v>
      </c>
      <c r="ER87" s="19">
        <v>1700098</v>
      </c>
      <c r="ES87" s="19">
        <v>181</v>
      </c>
      <c r="ET87" s="19">
        <v>0</v>
      </c>
      <c r="EU87" s="19">
        <v>1</v>
      </c>
      <c r="EV87" s="19">
        <v>18.048380805953425</v>
      </c>
      <c r="EW87" s="19">
        <f>DataTable[[#This Row],[Sens_13]]/AVERAGEIF(DataTable[Strålkälla],DataTable[[#This Row],[Strålkälla]],DataTable[Sens_13])</f>
        <v>1.0017973732723082</v>
      </c>
      <c r="EX87" s="19">
        <v>1276</v>
      </c>
      <c r="EY87" s="19">
        <v>1590</v>
      </c>
      <c r="EZ87" s="19">
        <v>0.11</v>
      </c>
      <c r="FA87" s="19">
        <v>4.1000000000000002E-2</v>
      </c>
      <c r="FB87" s="19">
        <v>0.03</v>
      </c>
      <c r="FC87" s="19">
        <v>1442932</v>
      </c>
      <c r="FD87" s="19">
        <v>181</v>
      </c>
      <c r="FE87" s="19">
        <v>0</v>
      </c>
      <c r="FF87" s="19">
        <v>1</v>
      </c>
      <c r="FG87" s="19">
        <v>15.318285306550555</v>
      </c>
      <c r="FH87" s="19">
        <f>DataTable[[#This Row],[Sens_14]]/AVERAGEIF(DataTable[Strålkälla],DataTable[[#This Row],[Strålkälla]],DataTable[Sens_14])</f>
        <v>1.0033214478051522</v>
      </c>
      <c r="FI87" s="19">
        <v>1438</v>
      </c>
      <c r="FJ87" s="19">
        <v>1730</v>
      </c>
      <c r="FK87" s="19">
        <v>9.1999999999999998E-2</v>
      </c>
      <c r="FL87" s="19">
        <v>0.04</v>
      </c>
      <c r="FM87" s="19">
        <v>2.8000000000000001E-2</v>
      </c>
      <c r="FN87" s="19">
        <v>1629881</v>
      </c>
      <c r="FO87" s="19">
        <v>181</v>
      </c>
      <c r="FP87" s="19">
        <v>0</v>
      </c>
      <c r="FQ87" s="19">
        <v>0</v>
      </c>
      <c r="FR87" s="19">
        <v>17.302951333622048</v>
      </c>
      <c r="FS87" s="19">
        <f>DataTable[[#This Row],[Sens_15]]/AVERAGEIF(DataTable[Strålkälla],DataTable[[#This Row],[Strålkälla]],DataTable[Sens_15])</f>
        <v>1.0016274507463605</v>
      </c>
      <c r="FT87" s="19">
        <v>1206</v>
      </c>
      <c r="FU87" s="19">
        <v>1586</v>
      </c>
      <c r="FV87" s="19">
        <v>0.13600000000000001</v>
      </c>
      <c r="FW87" s="19">
        <v>4.7E-2</v>
      </c>
      <c r="FX87" s="19">
        <v>2.9000000000000001E-2</v>
      </c>
      <c r="FY87" s="19">
        <v>1467883</v>
      </c>
      <c r="FZ87" s="19">
        <v>181</v>
      </c>
      <c r="GA87" s="19">
        <v>1</v>
      </c>
      <c r="GB87" s="19">
        <v>0</v>
      </c>
      <c r="GC87" s="19">
        <v>15.583167183647843</v>
      </c>
      <c r="GD87" s="19">
        <f>DataTable[[#This Row],[Sens_16]]/AVERAGEIF(DataTable[Strålkälla],DataTable[[#This Row],[Strålkälla]],DataTable[Sens_16])</f>
        <v>1.0026354018410997</v>
      </c>
      <c r="GE87" s="19">
        <v>1223</v>
      </c>
      <c r="GF87" s="19">
        <v>1543</v>
      </c>
      <c r="GG87" s="19">
        <v>0.11600000000000001</v>
      </c>
      <c r="GH87" s="19">
        <v>4.8000000000000001E-2</v>
      </c>
      <c r="GI87" s="19">
        <v>0.03</v>
      </c>
      <c r="GJ87" s="19">
        <v>1409213</v>
      </c>
      <c r="GK87" s="19">
        <v>181</v>
      </c>
      <c r="GL87" s="19">
        <v>0</v>
      </c>
      <c r="GM87" s="19">
        <v>0</v>
      </c>
      <c r="GN87" s="19">
        <v>14.960321617165624</v>
      </c>
      <c r="GO87" s="19">
        <f>DataTable[[#This Row],[Sens_17]]/AVERAGEIF(DataTable[Strålkälla],DataTable[[#This Row],[Strålkälla]],DataTable[Sens_17])</f>
        <v>1.0025577007051218</v>
      </c>
      <c r="GP87" s="19">
        <v>1449</v>
      </c>
      <c r="GQ87" s="19">
        <v>1761</v>
      </c>
      <c r="GR87" s="19">
        <v>9.7000000000000003E-2</v>
      </c>
      <c r="GS87" s="19">
        <v>4.7E-2</v>
      </c>
      <c r="GT87" s="19">
        <v>2.8000000000000001E-2</v>
      </c>
      <c r="GU87" s="19">
        <v>1629655</v>
      </c>
      <c r="GV87" s="19">
        <v>181</v>
      </c>
      <c r="GW87" s="19">
        <v>0</v>
      </c>
      <c r="GX87" s="19">
        <v>0</v>
      </c>
      <c r="GY87" s="19">
        <v>17.300552098953137</v>
      </c>
      <c r="GZ87" s="19">
        <f>DataTable[[#This Row],[Sens_18]]/AVERAGEIF(DataTable[Strålkälla],DataTable[[#This Row],[Strålkälla]],DataTable[Sens_18])</f>
        <v>1.0019575024061171</v>
      </c>
      <c r="HA87" s="19">
        <v>1280</v>
      </c>
      <c r="HB87" s="19">
        <v>1600</v>
      </c>
      <c r="HC87" s="19">
        <v>0.111</v>
      </c>
      <c r="HD87" s="19">
        <v>7.8E-2</v>
      </c>
      <c r="HE87" s="19">
        <v>3.3000000000000002E-2</v>
      </c>
      <c r="HF87" s="19">
        <v>1480529</v>
      </c>
      <c r="HG87" s="19">
        <v>181</v>
      </c>
      <c r="HH87" s="19">
        <v>0</v>
      </c>
      <c r="HI87" s="19">
        <v>0</v>
      </c>
      <c r="HJ87" s="19">
        <v>15.717418164280776</v>
      </c>
      <c r="HK87" s="19">
        <f>DataTable[[#This Row],[Sens_19]]/AVERAGEIF(DataTable[Strålkälla],DataTable[[#This Row],[Strålkälla]],DataTable[Sens_19])</f>
        <v>1.0045032302533745</v>
      </c>
      <c r="HL87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0.13600000000000001</v>
      </c>
      <c r="HM87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9.8526315789473684E-2</v>
      </c>
      <c r="HN87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7.8E-2</v>
      </c>
      <c r="HO87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4.3315789473684217E-2</v>
      </c>
      <c r="HP87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0.99794858356963745</v>
      </c>
      <c r="HQ87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1.0010221772181247</v>
      </c>
      <c r="HR87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1.0045032302533745</v>
      </c>
      <c r="HS87" s="49"/>
    </row>
    <row r="88" spans="2:227" x14ac:dyDescent="0.25">
      <c r="B88" s="19" t="s">
        <v>43</v>
      </c>
      <c r="C88" s="20">
        <v>42662</v>
      </c>
      <c r="D88" s="21">
        <v>0.31908564814814816</v>
      </c>
      <c r="E88" s="13" t="s">
        <v>217</v>
      </c>
      <c r="F88" s="13">
        <v>109.8</v>
      </c>
      <c r="G88" s="13">
        <v>134.19999999999999</v>
      </c>
      <c r="H88" s="24">
        <v>8.7896000000000001</v>
      </c>
      <c r="I88" s="22">
        <f>MATCH(DataTable[[#This Row],[Datum]],Övrigt!$D$10:$M$10,1)</f>
        <v>2</v>
      </c>
      <c r="J88" s="13"/>
      <c r="K88" s="22">
        <v>1816</v>
      </c>
      <c r="L88" s="22">
        <v>2161</v>
      </c>
      <c r="M88" s="23">
        <v>8.6999999999999994E-2</v>
      </c>
      <c r="N88" s="23">
        <v>4.2999999999999997E-2</v>
      </c>
      <c r="O88" s="23">
        <v>2.5999999999999999E-2</v>
      </c>
      <c r="P88" s="22">
        <v>2032490</v>
      </c>
      <c r="Q88" s="24">
        <v>175</v>
      </c>
      <c r="R88" s="22">
        <v>0</v>
      </c>
      <c r="S88" s="22">
        <v>0</v>
      </c>
      <c r="T88" s="19">
        <v>22.431008842596995</v>
      </c>
      <c r="U88" s="23">
        <f>DataTable[[#This Row],[Sens_1]]/AVERAGEIF(DataTable[Strålkälla],DataTable[[#This Row],[Strålkälla]],DataTable[Sens_1])</f>
        <v>1.0009560645983662</v>
      </c>
      <c r="V88" s="22">
        <v>2207</v>
      </c>
      <c r="W88" s="22">
        <v>2598</v>
      </c>
      <c r="X88" s="23">
        <v>8.1000000000000003E-2</v>
      </c>
      <c r="Y88" s="23">
        <v>3.9E-2</v>
      </c>
      <c r="Z88" s="23">
        <v>2.4E-2</v>
      </c>
      <c r="AA88" s="22">
        <v>2447690</v>
      </c>
      <c r="AB88" s="24">
        <v>175</v>
      </c>
      <c r="AC88" s="22">
        <v>0</v>
      </c>
      <c r="AD88" s="22">
        <v>0</v>
      </c>
      <c r="AE88" s="19">
        <v>27.013247806353899</v>
      </c>
      <c r="AF88" s="23">
        <f>DataTable[[#This Row],[Sens_2]]/AVERAGEIF(DataTable[Strålkälla],DataTable[[#This Row],[Strålkälla]],DataTable[Sens_2])</f>
        <v>0.99894025888196392</v>
      </c>
      <c r="AG88" s="22">
        <v>1912</v>
      </c>
      <c r="AH88" s="22">
        <v>2295</v>
      </c>
      <c r="AI88" s="23">
        <v>9.0999999999999998E-2</v>
      </c>
      <c r="AJ88" s="23">
        <v>4.3999999999999997E-2</v>
      </c>
      <c r="AK88" s="23">
        <v>2.5000000000000001E-2</v>
      </c>
      <c r="AL88" s="22">
        <v>2141464</v>
      </c>
      <c r="AM88" s="24">
        <v>175</v>
      </c>
      <c r="AN88" s="22">
        <v>0</v>
      </c>
      <c r="AO88" s="22">
        <v>0</v>
      </c>
      <c r="AP88" s="19">
        <v>23.633669991047007</v>
      </c>
      <c r="AQ88" s="23">
        <f>DataTable[[#This Row],[Sens_3]]/AVERAGEIF(DataTable[Strålkälla],DataTable[[#This Row],[Strålkälla]],DataTable[Sens_3])</f>
        <v>1.0008600343870018</v>
      </c>
      <c r="AR88" s="22">
        <v>1861</v>
      </c>
      <c r="AS88" s="22">
        <v>2181</v>
      </c>
      <c r="AT88" s="23">
        <v>7.9000000000000001E-2</v>
      </c>
      <c r="AU88" s="23">
        <v>4.2000000000000003E-2</v>
      </c>
      <c r="AV88" s="23">
        <v>2.4E-2</v>
      </c>
      <c r="AW88" s="22">
        <v>2069629</v>
      </c>
      <c r="AX88" s="24">
        <v>175</v>
      </c>
      <c r="AY88" s="22">
        <v>0</v>
      </c>
      <c r="AZ88" s="22">
        <v>0</v>
      </c>
      <c r="BA88" s="19">
        <v>22.840883054723601</v>
      </c>
      <c r="BB88" s="23">
        <f>DataTable[[#This Row],[Sens_4]]/AVERAGEIF(DataTable[Strålkälla],DataTable[[#This Row],[Strålkälla]],DataTable[Sens_4])</f>
        <v>0.99962899265280059</v>
      </c>
      <c r="BC88" s="22">
        <v>2033</v>
      </c>
      <c r="BD88" s="22">
        <v>2489</v>
      </c>
      <c r="BE88" s="19">
        <v>0.10100000000000001</v>
      </c>
      <c r="BF88" s="19">
        <v>4.2000000000000003E-2</v>
      </c>
      <c r="BG88" s="19">
        <v>2.3E-2</v>
      </c>
      <c r="BH88" s="19">
        <v>2330456</v>
      </c>
      <c r="BI88" s="19">
        <v>175</v>
      </c>
      <c r="BJ88" s="19">
        <v>1</v>
      </c>
      <c r="BK88" s="19">
        <v>1</v>
      </c>
      <c r="BL88" s="19">
        <v>25.719427472353232</v>
      </c>
      <c r="BM88" s="23">
        <f>DataTable[[#This Row],[Sens_5]]/AVERAGEIF(DataTable[Strålkälla],DataTable[[#This Row],[Strålkälla]],DataTable[Sens_5])</f>
        <v>0.99944885663340421</v>
      </c>
      <c r="BN88" s="19">
        <v>2085</v>
      </c>
      <c r="BO88" s="19">
        <v>2484</v>
      </c>
      <c r="BP88" s="19">
        <v>8.6999999999999994E-2</v>
      </c>
      <c r="BQ88" s="19">
        <v>3.6999999999999998E-2</v>
      </c>
      <c r="BR88" s="19">
        <v>2.4E-2</v>
      </c>
      <c r="BS88" s="19">
        <v>2331778</v>
      </c>
      <c r="BT88" s="19">
        <v>175</v>
      </c>
      <c r="BU88" s="19">
        <v>0</v>
      </c>
      <c r="BV88" s="19">
        <v>0</v>
      </c>
      <c r="BW88" s="19">
        <v>25.734017356529741</v>
      </c>
      <c r="BX88" s="23">
        <f>DataTable[[#This Row],[Sens_6]]/AVERAGEIF(DataTable[Strålkälla],DataTable[[#This Row],[Strålkälla]],DataTable[Sens_6])</f>
        <v>1.0003709869616504</v>
      </c>
      <c r="BY88" s="19">
        <v>1847</v>
      </c>
      <c r="BZ88" s="19">
        <v>2199</v>
      </c>
      <c r="CA88" s="19">
        <v>8.6999999999999994E-2</v>
      </c>
      <c r="CB88" s="19">
        <v>0.04</v>
      </c>
      <c r="CC88" s="19">
        <v>2.5999999999999999E-2</v>
      </c>
      <c r="CD88" s="19">
        <v>2075338</v>
      </c>
      <c r="CE88" s="19">
        <v>175</v>
      </c>
      <c r="CF88" s="19">
        <v>0</v>
      </c>
      <c r="CG88" s="19">
        <v>0</v>
      </c>
      <c r="CH88" s="19">
        <v>22.903888840475258</v>
      </c>
      <c r="CI88" s="23">
        <f>DataTable[[#This Row],[Sens_7]]/AVERAGEIF(DataTable[Strålkälla],DataTable[[#This Row],[Strålkälla]],DataTable[Sens_7])</f>
        <v>1.0016807389663007</v>
      </c>
      <c r="CJ88" s="19">
        <v>2161</v>
      </c>
      <c r="CK88" s="19">
        <v>2578</v>
      </c>
      <c r="CL88" s="19">
        <v>8.7999999999999995E-2</v>
      </c>
      <c r="CM88" s="19">
        <v>3.7999999999999999E-2</v>
      </c>
      <c r="CN88" s="19">
        <v>2.4E-2</v>
      </c>
      <c r="CO88" s="19">
        <v>2448166</v>
      </c>
      <c r="CP88" s="19">
        <v>175</v>
      </c>
      <c r="CQ88" s="19">
        <v>1</v>
      </c>
      <c r="CR88" s="19">
        <v>0</v>
      </c>
      <c r="CS88" s="19">
        <v>27.018501047555123</v>
      </c>
      <c r="CT88" s="23">
        <f>DataTable[[#This Row],[Sens_8]]/AVERAGEIF(DataTable[Strålkälla],DataTable[[#This Row],[Strålkälla]],DataTable[Sens_8])</f>
        <v>1.0000057194285323</v>
      </c>
      <c r="CU88" s="19">
        <v>1746</v>
      </c>
      <c r="CV88" s="19">
        <v>2091</v>
      </c>
      <c r="CW88" s="19">
        <v>0.09</v>
      </c>
      <c r="CX88" s="19">
        <v>5.1999999999999998E-2</v>
      </c>
      <c r="CY88" s="19">
        <v>2.5999999999999999E-2</v>
      </c>
      <c r="CZ88" s="19">
        <v>1967248</v>
      </c>
      <c r="DA88" s="19">
        <v>170</v>
      </c>
      <c r="DB88" s="19">
        <v>0</v>
      </c>
      <c r="DC88" s="19">
        <v>0</v>
      </c>
      <c r="DD88" s="19">
        <v>22.34954205585186</v>
      </c>
      <c r="DE88" s="23">
        <f>DataTable[[#This Row],[Sens_9]]/AVERAGEIF(DataTable[Strålkälla],DataTable[[#This Row],[Strålkälla]],DataTable[Sens_9])</f>
        <v>0.99913892745610822</v>
      </c>
      <c r="DF88" s="19">
        <v>1719</v>
      </c>
      <c r="DG88" s="19">
        <v>1998</v>
      </c>
      <c r="DH88" s="19">
        <v>7.4999999999999997E-2</v>
      </c>
      <c r="DI88" s="19">
        <v>3.5999999999999997E-2</v>
      </c>
      <c r="DJ88" s="19">
        <v>2.5999999999999999E-2</v>
      </c>
      <c r="DK88" s="19">
        <v>1904717</v>
      </c>
      <c r="DL88" s="19">
        <v>170</v>
      </c>
      <c r="DM88" s="19">
        <v>0</v>
      </c>
      <c r="DN88" s="19">
        <v>0</v>
      </c>
      <c r="DO88" s="19">
        <v>21.63913888640171</v>
      </c>
      <c r="DP88" s="23">
        <f>DataTable[[#This Row],[Sens_10]]/AVERAGEIF(DataTable[Strålkälla],DataTable[[#This Row],[Strålkälla]],DataTable[Sens_10])</f>
        <v>0.99737355745021361</v>
      </c>
      <c r="DQ88" s="19">
        <v>1465</v>
      </c>
      <c r="DR88" s="19">
        <v>1806</v>
      </c>
      <c r="DS88" s="19">
        <v>0.104</v>
      </c>
      <c r="DT88" s="19">
        <v>0.05</v>
      </c>
      <c r="DU88" s="19">
        <v>2.8000000000000001E-2</v>
      </c>
      <c r="DV88" s="19">
        <v>1673506</v>
      </c>
      <c r="DW88" s="19">
        <v>170</v>
      </c>
      <c r="DX88" s="19">
        <v>0</v>
      </c>
      <c r="DY88" s="19">
        <v>0</v>
      </c>
      <c r="DZ88" s="19">
        <v>19.012393316816397</v>
      </c>
      <c r="EA88" s="19">
        <f>DataTable[[#This Row],[Sens_11]]/AVERAGEIF(DataTable[Strålkälla],DataTable[[#This Row],[Strålkälla]],DataTable[Sens_11])</f>
        <v>0.99636230199175713</v>
      </c>
      <c r="EB88" s="19">
        <v>1763</v>
      </c>
      <c r="EC88" s="19">
        <v>2191</v>
      </c>
      <c r="ED88" s="19">
        <v>0.108</v>
      </c>
      <c r="EE88" s="19">
        <v>5.0999999999999997E-2</v>
      </c>
      <c r="EF88" s="19">
        <v>2.8000000000000001E-2</v>
      </c>
      <c r="EG88" s="19">
        <v>1994633</v>
      </c>
      <c r="EH88" s="19">
        <v>170</v>
      </c>
      <c r="EI88" s="19">
        <v>0</v>
      </c>
      <c r="EJ88" s="19">
        <v>1</v>
      </c>
      <c r="EK88" s="19">
        <v>22.660657995072288</v>
      </c>
      <c r="EL88" s="23">
        <f>DataTable[[#This Row],[Sens_12]]/AVERAGEIF(DataTable[Strålkälla],DataTable[[#This Row],[Strålkälla]],DataTable[Sens_12])</f>
        <v>0.99815651139411421</v>
      </c>
      <c r="EM88" s="19">
        <v>1516</v>
      </c>
      <c r="EN88" s="19">
        <v>1807</v>
      </c>
      <c r="EO88" s="19">
        <v>8.7999999999999995E-2</v>
      </c>
      <c r="EP88" s="19">
        <v>4.9000000000000002E-2</v>
      </c>
      <c r="EQ88" s="19">
        <v>2.5999999999999999E-2</v>
      </c>
      <c r="ER88" s="19">
        <v>1704781</v>
      </c>
      <c r="ES88" s="19">
        <v>183</v>
      </c>
      <c r="ET88" s="19">
        <v>0</v>
      </c>
      <c r="EU88" s="19">
        <v>0</v>
      </c>
      <c r="EV88" s="19">
        <v>17.991855087319571</v>
      </c>
      <c r="EW88" s="19">
        <f>DataTable[[#This Row],[Sens_13]]/AVERAGEIF(DataTable[Strålkälla],DataTable[[#This Row],[Strålkälla]],DataTable[Sens_13])</f>
        <v>0.99865984436827249</v>
      </c>
      <c r="EX88" s="19">
        <v>1254</v>
      </c>
      <c r="EY88" s="19">
        <v>1537</v>
      </c>
      <c r="EZ88" s="19">
        <v>0.10100000000000001</v>
      </c>
      <c r="FA88" s="19">
        <v>4.3999999999999997E-2</v>
      </c>
      <c r="FB88" s="19">
        <v>2.9000000000000001E-2</v>
      </c>
      <c r="FC88" s="19">
        <v>1444458</v>
      </c>
      <c r="FD88" s="19">
        <v>183</v>
      </c>
      <c r="FE88" s="19">
        <v>0</v>
      </c>
      <c r="FF88" s="19">
        <v>0</v>
      </c>
      <c r="FG88" s="19">
        <v>15.24446777370199</v>
      </c>
      <c r="FH88" s="19">
        <f>DataTable[[#This Row],[Sens_14]]/AVERAGEIF(DataTable[Strålkälla],DataTable[[#This Row],[Strålkälla]],DataTable[Sens_14])</f>
        <v>0.99848652585084208</v>
      </c>
      <c r="FI88" s="19">
        <v>1430</v>
      </c>
      <c r="FJ88" s="19">
        <v>1711</v>
      </c>
      <c r="FK88" s="19">
        <v>8.8999999999999996E-2</v>
      </c>
      <c r="FL88" s="19">
        <v>0.04</v>
      </c>
      <c r="FM88" s="19">
        <v>2.8000000000000001E-2</v>
      </c>
      <c r="FN88" s="19">
        <v>1629894</v>
      </c>
      <c r="FO88" s="19">
        <v>183</v>
      </c>
      <c r="FP88" s="19">
        <v>0</v>
      </c>
      <c r="FQ88" s="19">
        <v>0</v>
      </c>
      <c r="FR88" s="19">
        <v>17.201515417928544</v>
      </c>
      <c r="FS88" s="19">
        <f>DataTable[[#This Row],[Sens_15]]/AVERAGEIF(DataTable[Strålkälla],DataTable[[#This Row],[Strålkälla]],DataTable[Sens_15])</f>
        <v>0.99575556243718055</v>
      </c>
      <c r="FT88" s="19">
        <v>1309</v>
      </c>
      <c r="FU88" s="19">
        <v>1576</v>
      </c>
      <c r="FV88" s="19">
        <v>9.2999999999999999E-2</v>
      </c>
      <c r="FW88" s="19">
        <v>4.3999999999999997E-2</v>
      </c>
      <c r="FX88" s="19">
        <v>2.9000000000000001E-2</v>
      </c>
      <c r="FY88" s="19">
        <v>1466615</v>
      </c>
      <c r="FZ88" s="19">
        <v>183</v>
      </c>
      <c r="GA88" s="19">
        <v>0</v>
      </c>
      <c r="GB88" s="19">
        <v>0</v>
      </c>
      <c r="GC88" s="19">
        <v>15.478307506295055</v>
      </c>
      <c r="GD88" s="19">
        <f>DataTable[[#This Row],[Sens_16]]/AVERAGEIF(DataTable[Strålkälla],DataTable[[#This Row],[Strålkälla]],DataTable[Sens_16])</f>
        <v>0.99588863313224152</v>
      </c>
      <c r="GE88" s="19">
        <v>1215</v>
      </c>
      <c r="GF88" s="19">
        <v>1513</v>
      </c>
      <c r="GG88" s="19">
        <v>0.109</v>
      </c>
      <c r="GH88" s="19">
        <v>0.05</v>
      </c>
      <c r="GI88" s="19">
        <v>3.1E-2</v>
      </c>
      <c r="GJ88" s="19">
        <v>1410081</v>
      </c>
      <c r="GK88" s="19">
        <v>183</v>
      </c>
      <c r="GL88" s="19">
        <v>0</v>
      </c>
      <c r="GM88" s="19">
        <v>0</v>
      </c>
      <c r="GN88" s="19">
        <v>14.881661054048976</v>
      </c>
      <c r="GO88" s="19">
        <f>DataTable[[#This Row],[Sens_17]]/AVERAGEIF(DataTable[Strålkälla],DataTable[[#This Row],[Strålkälla]],DataTable[Sens_17])</f>
        <v>0.99728630645889726</v>
      </c>
      <c r="GP88" s="19">
        <v>1430</v>
      </c>
      <c r="GQ88" s="19">
        <v>1751</v>
      </c>
      <c r="GR88" s="19">
        <v>0.10100000000000001</v>
      </c>
      <c r="GS88" s="19">
        <v>4.7E-2</v>
      </c>
      <c r="GT88" s="19">
        <v>2.8000000000000001E-2</v>
      </c>
      <c r="GU88" s="19">
        <v>1628273</v>
      </c>
      <c r="GV88" s="19">
        <v>183</v>
      </c>
      <c r="GW88" s="19">
        <v>0</v>
      </c>
      <c r="GX88" s="19">
        <v>0</v>
      </c>
      <c r="GY88" s="19">
        <v>17.184407767681069</v>
      </c>
      <c r="GZ88" s="19">
        <f>DataTable[[#This Row],[Sens_18]]/AVERAGEIF(DataTable[Strålkälla],DataTable[[#This Row],[Strålkälla]],DataTable[Sens_18])</f>
        <v>0.99523103012856295</v>
      </c>
      <c r="HA88" s="19">
        <v>1322</v>
      </c>
      <c r="HB88" s="19">
        <v>1600</v>
      </c>
      <c r="HC88" s="19">
        <v>9.5000000000000001E-2</v>
      </c>
      <c r="HD88" s="19">
        <v>5.2999999999999999E-2</v>
      </c>
      <c r="HE88" s="19">
        <v>0.03</v>
      </c>
      <c r="HF88" s="19">
        <v>1477676</v>
      </c>
      <c r="HG88" s="19">
        <v>183</v>
      </c>
      <c r="HH88" s="19">
        <v>0</v>
      </c>
      <c r="HI88" s="19">
        <v>0</v>
      </c>
      <c r="HJ88" s="19">
        <v>15.595042681734506</v>
      </c>
      <c r="HK88" s="19">
        <f>DataTable[[#This Row],[Sens_19]]/AVERAGEIF(DataTable[Strålkälla],DataTable[[#This Row],[Strålkälla]],DataTable[Sens_19])</f>
        <v>0.99668218953048382</v>
      </c>
      <c r="HL88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0.109</v>
      </c>
      <c r="HM88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9.2315789473684198E-2</v>
      </c>
      <c r="HN88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5.2999999999999999E-2</v>
      </c>
      <c r="HO88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4.4263157894736858E-2</v>
      </c>
      <c r="HP88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0.99523103012856295</v>
      </c>
      <c r="HQ88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0.99846910751098394</v>
      </c>
      <c r="HR88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1.0016807389663007</v>
      </c>
      <c r="HS88" s="49"/>
    </row>
    <row r="89" spans="2:227" x14ac:dyDescent="0.25">
      <c r="B89" s="19" t="s">
        <v>43</v>
      </c>
      <c r="C89" s="20">
        <v>42664</v>
      </c>
      <c r="D89" s="21">
        <v>0.44050925925925927</v>
      </c>
      <c r="E89" s="13" t="s">
        <v>217</v>
      </c>
      <c r="F89" s="13">
        <v>109.8</v>
      </c>
      <c r="G89" s="13">
        <v>134.19999999999999</v>
      </c>
      <c r="H89" s="24">
        <v>8.8394999999999992</v>
      </c>
      <c r="I89" s="22">
        <f>MATCH(DataTable[[#This Row],[Datum]],Övrigt!$D$10:$M$10,1)</f>
        <v>2</v>
      </c>
      <c r="J89" s="13"/>
      <c r="K89" s="22">
        <v>1770</v>
      </c>
      <c r="L89" s="22">
        <v>2141</v>
      </c>
      <c r="M89" s="23">
        <v>9.5000000000000001E-2</v>
      </c>
      <c r="N89" s="23">
        <v>4.4999999999999998E-2</v>
      </c>
      <c r="O89" s="23">
        <v>2.7E-2</v>
      </c>
      <c r="P89" s="22">
        <v>2018245</v>
      </c>
      <c r="Q89" s="24">
        <v>176</v>
      </c>
      <c r="R89" s="22">
        <v>0</v>
      </c>
      <c r="S89" s="22">
        <v>0</v>
      </c>
      <c r="T89" s="19">
        <v>22.26051609024999</v>
      </c>
      <c r="U89" s="23">
        <f>DataTable[[#This Row],[Sens_1]]/AVERAGEIF(DataTable[Strålkälla],DataTable[[#This Row],[Strålkälla]],DataTable[Sens_1])</f>
        <v>0.99334803610400246</v>
      </c>
      <c r="V89" s="22">
        <v>2151</v>
      </c>
      <c r="W89" s="22">
        <v>2630</v>
      </c>
      <c r="X89" s="23">
        <v>0.1</v>
      </c>
      <c r="Y89" s="23">
        <v>4.2999999999999997E-2</v>
      </c>
      <c r="Z89" s="23">
        <v>2.5000000000000001E-2</v>
      </c>
      <c r="AA89" s="22">
        <v>2431828</v>
      </c>
      <c r="AB89" s="24">
        <v>176</v>
      </c>
      <c r="AC89" s="22">
        <v>0</v>
      </c>
      <c r="AD89" s="22">
        <v>1</v>
      </c>
      <c r="AE89" s="19">
        <v>26.822187753578209</v>
      </c>
      <c r="AF89" s="23">
        <f>DataTable[[#This Row],[Sens_2]]/AVERAGEIF(DataTable[Strålkälla],DataTable[[#This Row],[Strålkälla]],DataTable[Sens_2])</f>
        <v>0.99187492634772279</v>
      </c>
      <c r="AG89" s="22">
        <v>1900</v>
      </c>
      <c r="AH89" s="22">
        <v>2269</v>
      </c>
      <c r="AI89" s="23">
        <v>8.8999999999999996E-2</v>
      </c>
      <c r="AJ89" s="23">
        <v>0.04</v>
      </c>
      <c r="AK89" s="23">
        <v>2.5999999999999999E-2</v>
      </c>
      <c r="AL89" s="22">
        <v>2142729</v>
      </c>
      <c r="AM89" s="24">
        <v>176</v>
      </c>
      <c r="AN89" s="22">
        <v>0</v>
      </c>
      <c r="AO89" s="22">
        <v>0</v>
      </c>
      <c r="AP89" s="19">
        <v>23.633529815034979</v>
      </c>
      <c r="AQ89" s="23">
        <f>DataTable[[#This Row],[Sens_3]]/AVERAGEIF(DataTable[Strålkälla],DataTable[[#This Row],[Strålkälla]],DataTable[Sens_3])</f>
        <v>1.0008540980864495</v>
      </c>
      <c r="AR89" s="22">
        <v>1856</v>
      </c>
      <c r="AS89" s="22">
        <v>2190</v>
      </c>
      <c r="AT89" s="23">
        <v>8.3000000000000004E-2</v>
      </c>
      <c r="AU89" s="23">
        <v>3.5999999999999997E-2</v>
      </c>
      <c r="AV89" s="23">
        <v>2.5999999999999999E-2</v>
      </c>
      <c r="AW89" s="22">
        <v>2071759</v>
      </c>
      <c r="AX89" s="24">
        <v>176</v>
      </c>
      <c r="AY89" s="22">
        <v>0</v>
      </c>
      <c r="AZ89" s="22">
        <v>0</v>
      </c>
      <c r="BA89" s="19">
        <v>22.850756253388578</v>
      </c>
      <c r="BB89" s="23">
        <f>DataTable[[#This Row],[Sens_4]]/AVERAGEIF(DataTable[Strålkälla],DataTable[[#This Row],[Strålkälla]],DataTable[Sens_4])</f>
        <v>1.0000610922179569</v>
      </c>
      <c r="BC89" s="22">
        <v>2098</v>
      </c>
      <c r="BD89" s="22">
        <v>2436</v>
      </c>
      <c r="BE89" s="19">
        <v>7.4999999999999997E-2</v>
      </c>
      <c r="BF89" s="19">
        <v>3.5000000000000003E-2</v>
      </c>
      <c r="BG89" s="19">
        <v>2.4E-2</v>
      </c>
      <c r="BH89" s="19">
        <v>2328757</v>
      </c>
      <c r="BI89" s="19">
        <v>176</v>
      </c>
      <c r="BJ89" s="19">
        <v>0</v>
      </c>
      <c r="BK89" s="19">
        <v>0</v>
      </c>
      <c r="BL89" s="19">
        <v>25.685351713385788</v>
      </c>
      <c r="BM89" s="23">
        <f>DataTable[[#This Row],[Sens_5]]/AVERAGEIF(DataTable[Strålkälla],DataTable[[#This Row],[Strålkälla]],DataTable[Sens_5])</f>
        <v>0.99812468336494642</v>
      </c>
      <c r="BN89" s="19">
        <v>2064</v>
      </c>
      <c r="BO89" s="19">
        <v>2486</v>
      </c>
      <c r="BP89" s="19">
        <v>9.2999999999999999E-2</v>
      </c>
      <c r="BQ89" s="19">
        <v>3.5000000000000003E-2</v>
      </c>
      <c r="BR89" s="19">
        <v>2.4E-2</v>
      </c>
      <c r="BS89" s="19">
        <v>2322043</v>
      </c>
      <c r="BT89" s="19">
        <v>176</v>
      </c>
      <c r="BU89" s="19">
        <v>0</v>
      </c>
      <c r="BV89" s="19">
        <v>0</v>
      </c>
      <c r="BW89" s="19">
        <v>25.61129870939968</v>
      </c>
      <c r="BX89" s="23">
        <f>DataTable[[#This Row],[Sens_6]]/AVERAGEIF(DataTable[Strålkälla],DataTable[[#This Row],[Strålkälla]],DataTable[Sens_6])</f>
        <v>0.99560048523829825</v>
      </c>
      <c r="BY89" s="19">
        <v>1844</v>
      </c>
      <c r="BZ89" s="19">
        <v>2288</v>
      </c>
      <c r="CA89" s="19">
        <v>0.107</v>
      </c>
      <c r="CB89" s="19">
        <v>5.3999999999999999E-2</v>
      </c>
      <c r="CC89" s="19">
        <v>2.7E-2</v>
      </c>
      <c r="CD89" s="19">
        <v>2083558</v>
      </c>
      <c r="CE89" s="19">
        <v>176</v>
      </c>
      <c r="CF89" s="19">
        <v>0</v>
      </c>
      <c r="CG89" s="19">
        <v>3</v>
      </c>
      <c r="CH89" s="19">
        <v>22.980894977551831</v>
      </c>
      <c r="CI89" s="23">
        <f>DataTable[[#This Row],[Sens_7]]/AVERAGEIF(DataTable[Strålkälla],DataTable[[#This Row],[Strålkälla]],DataTable[Sens_7])</f>
        <v>1.0050485323060714</v>
      </c>
      <c r="CJ89" s="19">
        <v>2141</v>
      </c>
      <c r="CK89" s="19">
        <v>2703</v>
      </c>
      <c r="CL89" s="19">
        <v>0.11600000000000001</v>
      </c>
      <c r="CM89" s="19">
        <v>3.5000000000000003E-2</v>
      </c>
      <c r="CN89" s="19">
        <v>2.5000000000000001E-2</v>
      </c>
      <c r="CO89" s="19">
        <v>2461110</v>
      </c>
      <c r="CP89" s="19">
        <v>176</v>
      </c>
      <c r="CQ89" s="19">
        <v>1</v>
      </c>
      <c r="CR89" s="19">
        <v>1</v>
      </c>
      <c r="CS89" s="19">
        <v>27.145157676533401</v>
      </c>
      <c r="CT89" s="23">
        <f>DataTable[[#This Row],[Sens_8]]/AVERAGEIF(DataTable[Strålkälla],DataTable[[#This Row],[Strålkälla]],DataTable[Sens_8])</f>
        <v>1.0046935203231449</v>
      </c>
      <c r="CU89" s="19">
        <v>1752</v>
      </c>
      <c r="CV89" s="19">
        <v>2122</v>
      </c>
      <c r="CW89" s="19">
        <v>9.6000000000000002E-2</v>
      </c>
      <c r="CX89" s="19">
        <v>4.1000000000000002E-2</v>
      </c>
      <c r="CY89" s="19">
        <v>2.7E-2</v>
      </c>
      <c r="CZ89" s="19">
        <v>1951414</v>
      </c>
      <c r="DA89" s="19">
        <v>170</v>
      </c>
      <c r="DB89" s="19">
        <v>0</v>
      </c>
      <c r="DC89" s="19">
        <v>1</v>
      </c>
      <c r="DD89" s="19">
        <v>22.283043416579549</v>
      </c>
      <c r="DE89" s="23">
        <f>DataTable[[#This Row],[Sens_9]]/AVERAGEIF(DataTable[Strålkälla],DataTable[[#This Row],[Strålkälla]],DataTable[Sens_9])</f>
        <v>0.9961660979031004</v>
      </c>
      <c r="DF89" s="19">
        <v>1715</v>
      </c>
      <c r="DG89" s="19">
        <v>2045</v>
      </c>
      <c r="DH89" s="19">
        <v>8.7999999999999995E-2</v>
      </c>
      <c r="DI89" s="19">
        <v>4.1000000000000002E-2</v>
      </c>
      <c r="DJ89" s="19">
        <v>2.5000000000000001E-2</v>
      </c>
      <c r="DK89" s="19">
        <v>1903322</v>
      </c>
      <c r="DL89" s="19">
        <v>170</v>
      </c>
      <c r="DM89" s="19">
        <v>0</v>
      </c>
      <c r="DN89" s="19">
        <v>1</v>
      </c>
      <c r="DO89" s="19">
        <v>21.733884640435612</v>
      </c>
      <c r="DP89" s="23">
        <f>DataTable[[#This Row],[Sens_10]]/AVERAGEIF(DataTable[Strålkälla],DataTable[[#This Row],[Strålkälla]],DataTable[Sens_10])</f>
        <v>1.0017405015439769</v>
      </c>
      <c r="DQ89" s="19">
        <v>1458</v>
      </c>
      <c r="DR89" s="19">
        <v>1754</v>
      </c>
      <c r="DS89" s="19">
        <v>9.1999999999999998E-2</v>
      </c>
      <c r="DT89" s="19">
        <v>0.04</v>
      </c>
      <c r="DU89" s="19">
        <v>2.5999999999999999E-2</v>
      </c>
      <c r="DV89" s="19">
        <v>1670797</v>
      </c>
      <c r="DW89" s="19">
        <v>170</v>
      </c>
      <c r="DX89" s="19">
        <v>1</v>
      </c>
      <c r="DY89" s="19">
        <v>0</v>
      </c>
      <c r="DZ89" s="19">
        <v>19.078699902373799</v>
      </c>
      <c r="EA89" s="19">
        <f>DataTable[[#This Row],[Sens_11]]/AVERAGEIF(DataTable[Strålkälla],DataTable[[#This Row],[Strålkälla]],DataTable[Sens_11])</f>
        <v>0.99983716079160911</v>
      </c>
      <c r="EB89" s="19">
        <v>1777</v>
      </c>
      <c r="EC89" s="19">
        <v>2213</v>
      </c>
      <c r="ED89" s="19">
        <v>0.109</v>
      </c>
      <c r="EE89" s="19">
        <v>5.6000000000000001E-2</v>
      </c>
      <c r="EF89" s="19">
        <v>2.7E-2</v>
      </c>
      <c r="EG89" s="19">
        <v>2002694</v>
      </c>
      <c r="EH89" s="19">
        <v>170</v>
      </c>
      <c r="EI89" s="19">
        <v>0</v>
      </c>
      <c r="EJ89" s="19">
        <v>2</v>
      </c>
      <c r="EK89" s="19">
        <v>22.868605714688613</v>
      </c>
      <c r="EL89" s="23">
        <f>DataTable[[#This Row],[Sens_12]]/AVERAGEIF(DataTable[Strålkälla],DataTable[[#This Row],[Strålkälla]],DataTable[Sens_12])</f>
        <v>1.0073161911531807</v>
      </c>
      <c r="EM89" s="19">
        <v>1478</v>
      </c>
      <c r="EN89" s="19">
        <v>1852</v>
      </c>
      <c r="EO89" s="19">
        <v>0.112</v>
      </c>
      <c r="EP89" s="19">
        <v>3.7999999999999999E-2</v>
      </c>
      <c r="EQ89" s="19">
        <v>2.8000000000000001E-2</v>
      </c>
      <c r="ER89" s="19">
        <v>1696200</v>
      </c>
      <c r="ES89" s="19">
        <v>184</v>
      </c>
      <c r="ET89" s="19">
        <v>0</v>
      </c>
      <c r="EU89" s="19">
        <v>1</v>
      </c>
      <c r="EV89" s="19">
        <v>17.89506364343892</v>
      </c>
      <c r="EW89" s="19">
        <f>DataTable[[#This Row],[Sens_13]]/AVERAGEIF(DataTable[Strålkälla],DataTable[[#This Row],[Strålkälla]],DataTable[Sens_13])</f>
        <v>0.99328731731017283</v>
      </c>
      <c r="EX89" s="19">
        <v>1269</v>
      </c>
      <c r="EY89" s="19">
        <v>1552</v>
      </c>
      <c r="EZ89" s="19">
        <v>0.1</v>
      </c>
      <c r="FA89" s="19">
        <v>4.1000000000000002E-2</v>
      </c>
      <c r="FB89" s="19">
        <v>0.03</v>
      </c>
      <c r="FC89" s="19">
        <v>1436913</v>
      </c>
      <c r="FD89" s="19">
        <v>184</v>
      </c>
      <c r="FE89" s="19">
        <v>0</v>
      </c>
      <c r="FF89" s="19">
        <v>0</v>
      </c>
      <c r="FG89" s="19">
        <v>15.159562306971317</v>
      </c>
      <c r="FH89" s="19">
        <f>DataTable[[#This Row],[Sens_14]]/AVERAGEIF(DataTable[Strålkälla],DataTable[[#This Row],[Strålkälla]],DataTable[Sens_14])</f>
        <v>0.9929253632205598</v>
      </c>
      <c r="FI89" s="19">
        <v>1462</v>
      </c>
      <c r="FJ89" s="19">
        <v>1759</v>
      </c>
      <c r="FK89" s="19">
        <v>9.1999999999999998E-2</v>
      </c>
      <c r="FL89" s="19">
        <v>3.5999999999999997E-2</v>
      </c>
      <c r="FM89" s="19">
        <v>2.7E-2</v>
      </c>
      <c r="FN89" s="19">
        <v>1630607</v>
      </c>
      <c r="FO89" s="19">
        <v>184</v>
      </c>
      <c r="FP89" s="19">
        <v>0</v>
      </c>
      <c r="FQ89" s="19">
        <v>0</v>
      </c>
      <c r="FR89" s="19">
        <v>17.203051551961448</v>
      </c>
      <c r="FS89" s="19">
        <f>DataTable[[#This Row],[Sens_15]]/AVERAGEIF(DataTable[Strålkälla],DataTable[[#This Row],[Strålkälla]],DataTable[Sens_15])</f>
        <v>0.99584448564951089</v>
      </c>
      <c r="FT89" s="19">
        <v>1269</v>
      </c>
      <c r="FU89" s="19">
        <v>1558</v>
      </c>
      <c r="FV89" s="19">
        <v>0.10199999999999999</v>
      </c>
      <c r="FW89" s="19">
        <v>4.2000000000000003E-2</v>
      </c>
      <c r="FX89" s="19">
        <v>2.9000000000000001E-2</v>
      </c>
      <c r="FY89" s="19">
        <v>1465871</v>
      </c>
      <c r="FZ89" s="19">
        <v>184</v>
      </c>
      <c r="GA89" s="19">
        <v>0</v>
      </c>
      <c r="GB89" s="19">
        <v>0</v>
      </c>
      <c r="GC89" s="19">
        <v>15.465071830015004</v>
      </c>
      <c r="GD89" s="19">
        <f>DataTable[[#This Row],[Sens_16]]/AVERAGEIF(DataTable[Strålkälla],DataTable[[#This Row],[Strålkälla]],DataTable[Sens_16])</f>
        <v>0.99503703746819627</v>
      </c>
      <c r="GE89" s="19">
        <v>1244</v>
      </c>
      <c r="GF89" s="19">
        <v>1519</v>
      </c>
      <c r="GG89" s="19">
        <v>0.1</v>
      </c>
      <c r="GH89" s="19">
        <v>0.04</v>
      </c>
      <c r="GI89" s="19">
        <v>2.9000000000000001E-2</v>
      </c>
      <c r="GJ89" s="19">
        <v>1408785</v>
      </c>
      <c r="GK89" s="19">
        <v>184</v>
      </c>
      <c r="GL89" s="19">
        <v>0</v>
      </c>
      <c r="GM89" s="19">
        <v>0</v>
      </c>
      <c r="GN89" s="19">
        <v>14.862809359109832</v>
      </c>
      <c r="GO89" s="19">
        <f>DataTable[[#This Row],[Sens_17]]/AVERAGEIF(DataTable[Strålkälla],DataTable[[#This Row],[Strålkälla]],DataTable[Sens_17])</f>
        <v>0.99602297052159383</v>
      </c>
      <c r="GP89" s="19">
        <v>1450</v>
      </c>
      <c r="GQ89" s="19">
        <v>1748</v>
      </c>
      <c r="GR89" s="19">
        <v>9.2999999999999999E-2</v>
      </c>
      <c r="GS89" s="19">
        <v>4.2999999999999997E-2</v>
      </c>
      <c r="GT89" s="19">
        <v>2.8000000000000001E-2</v>
      </c>
      <c r="GU89" s="19">
        <v>1635406</v>
      </c>
      <c r="GV89" s="19">
        <v>184</v>
      </c>
      <c r="GW89" s="19">
        <v>0</v>
      </c>
      <c r="GX89" s="19">
        <v>0</v>
      </c>
      <c r="GY89" s="19">
        <v>17.253681436659516</v>
      </c>
      <c r="GZ89" s="19">
        <f>DataTable[[#This Row],[Sens_18]]/AVERAGEIF(DataTable[Strålkälla],DataTable[[#This Row],[Strålkälla]],DataTable[Sens_18])</f>
        <v>0.99924299876142242</v>
      </c>
      <c r="HA89" s="19">
        <v>1326</v>
      </c>
      <c r="HB89" s="19">
        <v>1620</v>
      </c>
      <c r="HC89" s="19">
        <v>0.1</v>
      </c>
      <c r="HD89" s="19">
        <v>0.04</v>
      </c>
      <c r="HE89" s="19">
        <v>2.9000000000000001E-2</v>
      </c>
      <c r="HF89" s="19">
        <v>1480519</v>
      </c>
      <c r="HG89" s="19">
        <v>184</v>
      </c>
      <c r="HH89" s="19">
        <v>0</v>
      </c>
      <c r="HI89" s="19">
        <v>2</v>
      </c>
      <c r="HJ89" s="19">
        <v>15.619609556845033</v>
      </c>
      <c r="HK89" s="19">
        <f>DataTable[[#This Row],[Sens_19]]/AVERAGEIF(DataTable[Strålkälla],DataTable[[#This Row],[Strålkälla]],DataTable[Sens_19])</f>
        <v>0.99825226326319372</v>
      </c>
      <c r="HL89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0.11600000000000001</v>
      </c>
      <c r="HM89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9.6947368421052657E-2</v>
      </c>
      <c r="HN89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5.6000000000000001E-2</v>
      </c>
      <c r="HO89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4.1105263157894749E-2</v>
      </c>
      <c r="HP89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0.99187492634772279</v>
      </c>
      <c r="HQ89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0.99817251376711102</v>
      </c>
      <c r="HR89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1.0073161911531807</v>
      </c>
      <c r="HS89" s="49" t="s">
        <v>290</v>
      </c>
    </row>
    <row r="90" spans="2:227" x14ac:dyDescent="0.25">
      <c r="B90" s="19" t="s">
        <v>43</v>
      </c>
      <c r="C90" s="20">
        <v>42664</v>
      </c>
      <c r="D90" s="21">
        <v>0.13126157407407407</v>
      </c>
      <c r="E90" s="13" t="s">
        <v>217</v>
      </c>
      <c r="F90" s="13">
        <v>109.8</v>
      </c>
      <c r="G90" s="13">
        <v>134.19999999999999</v>
      </c>
      <c r="H90" s="24">
        <v>8.8408999999999995</v>
      </c>
      <c r="I90" s="22">
        <f>MATCH(DataTable[[#This Row],[Datum]],Övrigt!$D$10:$M$10,1)</f>
        <v>2</v>
      </c>
      <c r="J90" s="13"/>
      <c r="K90" s="22">
        <v>1774</v>
      </c>
      <c r="L90" s="22">
        <v>2383</v>
      </c>
      <c r="M90" s="23">
        <v>0.14599999999999999</v>
      </c>
      <c r="N90" s="23">
        <v>8.3000000000000004E-2</v>
      </c>
      <c r="O90" s="23">
        <v>3.5000000000000003E-2</v>
      </c>
      <c r="P90" s="22">
        <v>2036927</v>
      </c>
      <c r="Q90" s="24">
        <v>176</v>
      </c>
      <c r="R90" s="22">
        <v>0</v>
      </c>
      <c r="S90" s="22">
        <v>13</v>
      </c>
      <c r="T90" s="19">
        <v>22.466571827585177</v>
      </c>
      <c r="U90" s="23">
        <f>DataTable[[#This Row],[Sens_1]]/AVERAGEIF(DataTable[Strålkälla],DataTable[[#This Row],[Strålkälla]],DataTable[Sens_1])</f>
        <v>1.0025430188788862</v>
      </c>
      <c r="V90" s="22">
        <v>2218</v>
      </c>
      <c r="W90" s="22">
        <v>2667</v>
      </c>
      <c r="X90" s="23">
        <v>9.1999999999999998E-2</v>
      </c>
      <c r="Y90" s="23">
        <v>3.5000000000000003E-2</v>
      </c>
      <c r="Z90" s="23">
        <v>2.5000000000000001E-2</v>
      </c>
      <c r="AA90" s="22">
        <v>2454476</v>
      </c>
      <c r="AB90" s="24">
        <v>176</v>
      </c>
      <c r="AC90" s="22">
        <v>0</v>
      </c>
      <c r="AD90" s="22">
        <v>1</v>
      </c>
      <c r="AE90" s="19">
        <v>27.071987043759524</v>
      </c>
      <c r="AF90" s="23">
        <f>DataTable[[#This Row],[Sens_2]]/AVERAGEIF(DataTable[Strålkälla],DataTable[[#This Row],[Strålkälla]],DataTable[Sens_2])</f>
        <v>1.00111241490856</v>
      </c>
      <c r="AG90" s="22">
        <v>1938</v>
      </c>
      <c r="AH90" s="22">
        <v>2312</v>
      </c>
      <c r="AI90" s="23">
        <v>8.7999999999999995E-2</v>
      </c>
      <c r="AJ90" s="23">
        <v>4.3999999999999997E-2</v>
      </c>
      <c r="AK90" s="23">
        <v>2.7E-2</v>
      </c>
      <c r="AL90" s="22">
        <v>2144507</v>
      </c>
      <c r="AM90" s="24">
        <v>176</v>
      </c>
      <c r="AN90" s="22">
        <v>0</v>
      </c>
      <c r="AO90" s="22">
        <v>0</v>
      </c>
      <c r="AP90" s="19">
        <v>23.653140515226713</v>
      </c>
      <c r="AQ90" s="23">
        <f>DataTable[[#This Row],[Sens_3]]/AVERAGEIF(DataTable[Strålkälla],DataTable[[#This Row],[Strålkälla]],DataTable[Sens_3])</f>
        <v>1.0016845897568369</v>
      </c>
      <c r="AR90" s="22">
        <v>1824</v>
      </c>
      <c r="AS90" s="22">
        <v>2203</v>
      </c>
      <c r="AT90" s="23">
        <v>9.4E-2</v>
      </c>
      <c r="AU90" s="23">
        <v>3.9E-2</v>
      </c>
      <c r="AV90" s="23">
        <v>2.5999999999999999E-2</v>
      </c>
      <c r="AW90" s="22">
        <v>2071623</v>
      </c>
      <c r="AX90" s="24">
        <v>176</v>
      </c>
      <c r="AY90" s="22">
        <v>0</v>
      </c>
      <c r="AZ90" s="22">
        <v>0</v>
      </c>
      <c r="BA90" s="19">
        <v>22.849256222327792</v>
      </c>
      <c r="BB90" s="23">
        <f>DataTable[[#This Row],[Sens_4]]/AVERAGEIF(DataTable[Strålkälla],DataTable[[#This Row],[Strålkälla]],DataTable[Sens_4])</f>
        <v>0.99999544350662428</v>
      </c>
      <c r="BC90" s="22">
        <v>2089</v>
      </c>
      <c r="BD90" s="22">
        <v>2450</v>
      </c>
      <c r="BE90" s="19">
        <v>0.08</v>
      </c>
      <c r="BF90" s="19">
        <v>3.7999999999999999E-2</v>
      </c>
      <c r="BG90" s="19">
        <v>2.4E-2</v>
      </c>
      <c r="BH90" s="19">
        <v>2331412</v>
      </c>
      <c r="BI90" s="19">
        <v>176</v>
      </c>
      <c r="BJ90" s="19">
        <v>0</v>
      </c>
      <c r="BK90" s="19">
        <v>0</v>
      </c>
      <c r="BL90" s="19">
        <v>25.714635407991555</v>
      </c>
      <c r="BM90" s="23">
        <f>DataTable[[#This Row],[Sens_5]]/AVERAGEIF(DataTable[Strålkälla],DataTable[[#This Row],[Strålkälla]],DataTable[Sens_5])</f>
        <v>0.99926263852056552</v>
      </c>
      <c r="BN90" s="19">
        <v>2123</v>
      </c>
      <c r="BO90" s="19">
        <v>2449</v>
      </c>
      <c r="BP90" s="19">
        <v>7.0999999999999994E-2</v>
      </c>
      <c r="BQ90" s="19">
        <v>4.1000000000000002E-2</v>
      </c>
      <c r="BR90" s="19">
        <v>2.4E-2</v>
      </c>
      <c r="BS90" s="19">
        <v>2328049</v>
      </c>
      <c r="BT90" s="19">
        <v>176</v>
      </c>
      <c r="BU90" s="19">
        <v>0</v>
      </c>
      <c r="BV90" s="19">
        <v>0</v>
      </c>
      <c r="BW90" s="19">
        <v>25.677542728157583</v>
      </c>
      <c r="BX90" s="23">
        <f>DataTable[[#This Row],[Sens_6]]/AVERAGEIF(DataTable[Strålkälla],DataTable[[#This Row],[Strålkälla]],DataTable[Sens_6])</f>
        <v>0.99817562123463477</v>
      </c>
      <c r="BY90" s="19">
        <v>1798</v>
      </c>
      <c r="BZ90" s="19">
        <v>2475</v>
      </c>
      <c r="CA90" s="19">
        <v>0.158</v>
      </c>
      <c r="CB90" s="19">
        <v>8.1000000000000003E-2</v>
      </c>
      <c r="CC90" s="19">
        <v>3.5999999999999997E-2</v>
      </c>
      <c r="CD90" s="19">
        <v>2072282</v>
      </c>
      <c r="CE90" s="19">
        <v>176</v>
      </c>
      <c r="CF90" s="19">
        <v>0</v>
      </c>
      <c r="CG90" s="19">
        <v>13</v>
      </c>
      <c r="CH90" s="19">
        <v>22.856524755188509</v>
      </c>
      <c r="CI90" s="23">
        <f>DataTable[[#This Row],[Sens_7]]/AVERAGEIF(DataTable[Strålkälla],DataTable[[#This Row],[Strålkälla]],DataTable[Sens_7])</f>
        <v>0.99960931379126006</v>
      </c>
      <c r="CJ90" s="19">
        <v>2127</v>
      </c>
      <c r="CK90" s="19">
        <v>2616</v>
      </c>
      <c r="CL90" s="19">
        <v>0.10299999999999999</v>
      </c>
      <c r="CM90" s="19">
        <v>3.5999999999999997E-2</v>
      </c>
      <c r="CN90" s="19">
        <v>2.5000000000000001E-2</v>
      </c>
      <c r="CO90" s="19">
        <v>2442737</v>
      </c>
      <c r="CP90" s="19">
        <v>176</v>
      </c>
      <c r="CQ90" s="19">
        <v>2</v>
      </c>
      <c r="CR90" s="19">
        <v>0</v>
      </c>
      <c r="CS90" s="19">
        <v>26.942510098005442</v>
      </c>
      <c r="CT90" s="23">
        <f>DataTable[[#This Row],[Sens_8]]/AVERAGEIF(DataTable[Strålkälla],DataTable[[#This Row],[Strålkälla]],DataTable[Sens_8])</f>
        <v>0.99719315095773775</v>
      </c>
      <c r="CU90" s="19">
        <v>1669</v>
      </c>
      <c r="CV90" s="19">
        <v>2131</v>
      </c>
      <c r="CW90" s="19">
        <v>0.122</v>
      </c>
      <c r="CX90" s="19">
        <v>4.7E-2</v>
      </c>
      <c r="CY90" s="19">
        <v>2.9000000000000001E-2</v>
      </c>
      <c r="CZ90" s="19">
        <v>1965535</v>
      </c>
      <c r="DA90" s="19">
        <v>170</v>
      </c>
      <c r="DB90" s="19">
        <v>1</v>
      </c>
      <c r="DC90" s="19">
        <v>0</v>
      </c>
      <c r="DD90" s="19">
        <v>22.444290008069373</v>
      </c>
      <c r="DE90" s="23">
        <f>DataTable[[#This Row],[Sens_9]]/AVERAGEIF(DataTable[Strålkälla],DataTable[[#This Row],[Strålkälla]],DataTable[Sens_9])</f>
        <v>1.0033746458936805</v>
      </c>
      <c r="DF90" s="19">
        <v>1714</v>
      </c>
      <c r="DG90" s="19">
        <v>2096</v>
      </c>
      <c r="DH90" s="19">
        <v>0.1</v>
      </c>
      <c r="DI90" s="19">
        <v>3.5000000000000003E-2</v>
      </c>
      <c r="DJ90" s="19">
        <v>2.5999999999999999E-2</v>
      </c>
      <c r="DK90" s="19">
        <v>1903078</v>
      </c>
      <c r="DL90" s="19">
        <v>170</v>
      </c>
      <c r="DM90" s="19">
        <v>0</v>
      </c>
      <c r="DN90" s="19">
        <v>1</v>
      </c>
      <c r="DO90" s="19">
        <v>21.731098423572536</v>
      </c>
      <c r="DP90" s="23">
        <f>DataTable[[#This Row],[Sens_10]]/AVERAGEIF(DataTable[Strålkälla],DataTable[[#This Row],[Strålkälla]],DataTable[Sens_10])</f>
        <v>1.0016120815066019</v>
      </c>
      <c r="DQ90" s="19">
        <v>1484</v>
      </c>
      <c r="DR90" s="19">
        <v>1790</v>
      </c>
      <c r="DS90" s="19">
        <v>9.2999999999999999E-2</v>
      </c>
      <c r="DT90" s="19">
        <v>4.4999999999999998E-2</v>
      </c>
      <c r="DU90" s="19">
        <v>2.8000000000000001E-2</v>
      </c>
      <c r="DV90" s="19">
        <v>1671466</v>
      </c>
      <c r="DW90" s="19">
        <v>170</v>
      </c>
      <c r="DX90" s="19">
        <v>0</v>
      </c>
      <c r="DY90" s="19">
        <v>0</v>
      </c>
      <c r="DZ90" s="19">
        <v>19.086339160904121</v>
      </c>
      <c r="EA90" s="19">
        <f>DataTable[[#This Row],[Sens_11]]/AVERAGEIF(DataTable[Strålkälla],DataTable[[#This Row],[Strålkälla]],DataTable[Sens_11])</f>
        <v>1.0002375032991486</v>
      </c>
      <c r="EB90" s="19">
        <v>1729</v>
      </c>
      <c r="EC90" s="19">
        <v>2202</v>
      </c>
      <c r="ED90" s="19">
        <v>0.12</v>
      </c>
      <c r="EE90" s="19">
        <v>4.4999999999999998E-2</v>
      </c>
      <c r="EF90" s="19">
        <v>2.8000000000000001E-2</v>
      </c>
      <c r="EG90" s="19">
        <v>1988222</v>
      </c>
      <c r="EH90" s="19">
        <v>170</v>
      </c>
      <c r="EI90" s="19">
        <v>0</v>
      </c>
      <c r="EJ90" s="19">
        <v>1</v>
      </c>
      <c r="EK90" s="19">
        <v>22.703351081727725</v>
      </c>
      <c r="EL90" s="23">
        <f>DataTable[[#This Row],[Sens_12]]/AVERAGEIF(DataTable[Strålkälla],DataTable[[#This Row],[Strålkälla]],DataTable[Sens_12])</f>
        <v>1.0000370561887935</v>
      </c>
      <c r="EM90" s="19">
        <v>1536</v>
      </c>
      <c r="EN90" s="19">
        <v>1820</v>
      </c>
      <c r="EO90" s="19">
        <v>8.5000000000000006E-2</v>
      </c>
      <c r="EP90" s="19">
        <v>4.2000000000000003E-2</v>
      </c>
      <c r="EQ90" s="19">
        <v>2.7E-2</v>
      </c>
      <c r="ER90" s="19">
        <v>1701677</v>
      </c>
      <c r="ES90" s="19">
        <v>184</v>
      </c>
      <c r="ET90" s="19">
        <v>0</v>
      </c>
      <c r="EU90" s="19">
        <v>0</v>
      </c>
      <c r="EV90" s="19">
        <v>17.952846489550883</v>
      </c>
      <c r="EW90" s="19">
        <f>DataTable[[#This Row],[Sens_13]]/AVERAGEIF(DataTable[Strålkälla],DataTable[[#This Row],[Strålkälla]],DataTable[Sens_13])</f>
        <v>0.99649462460701732</v>
      </c>
      <c r="EX90" s="19">
        <v>1290</v>
      </c>
      <c r="EY90" s="19">
        <v>1548</v>
      </c>
      <c r="EZ90" s="19">
        <v>9.0999999999999998E-2</v>
      </c>
      <c r="FA90" s="19">
        <v>0.04</v>
      </c>
      <c r="FB90" s="19">
        <v>0.03</v>
      </c>
      <c r="FC90" s="19">
        <v>1440360</v>
      </c>
      <c r="FD90" s="19">
        <v>184</v>
      </c>
      <c r="FE90" s="19">
        <v>0</v>
      </c>
      <c r="FF90" s="19">
        <v>0</v>
      </c>
      <c r="FG90" s="19">
        <v>15.195928469203915</v>
      </c>
      <c r="FH90" s="19">
        <f>DataTable[[#This Row],[Sens_14]]/AVERAGEIF(DataTable[Strålkälla],DataTable[[#This Row],[Strålkälla]],DataTable[Sens_14])</f>
        <v>0.99530728455262463</v>
      </c>
      <c r="FI90" s="19">
        <v>1413</v>
      </c>
      <c r="FJ90" s="19">
        <v>1724</v>
      </c>
      <c r="FK90" s="19">
        <v>9.9000000000000005E-2</v>
      </c>
      <c r="FL90" s="19">
        <v>4.3999999999999997E-2</v>
      </c>
      <c r="FM90" s="19">
        <v>2.7E-2</v>
      </c>
      <c r="FN90" s="19">
        <v>1630234</v>
      </c>
      <c r="FO90" s="19">
        <v>184</v>
      </c>
      <c r="FP90" s="19">
        <v>1</v>
      </c>
      <c r="FQ90" s="19">
        <v>0</v>
      </c>
      <c r="FR90" s="19">
        <v>17.199116368174746</v>
      </c>
      <c r="FS90" s="19">
        <f>DataTable[[#This Row],[Sens_15]]/AVERAGEIF(DataTable[Strålkälla],DataTable[[#This Row],[Strålkälla]],DataTable[Sens_15])</f>
        <v>0.99561668704865414</v>
      </c>
      <c r="FT90" s="19">
        <v>1292</v>
      </c>
      <c r="FU90" s="19">
        <v>1584</v>
      </c>
      <c r="FV90" s="19">
        <v>0.10199999999999999</v>
      </c>
      <c r="FW90" s="19">
        <v>4.2999999999999997E-2</v>
      </c>
      <c r="FX90" s="19">
        <v>0.03</v>
      </c>
      <c r="FY90" s="19">
        <v>1468094</v>
      </c>
      <c r="FZ90" s="19">
        <v>184</v>
      </c>
      <c r="GA90" s="19">
        <v>0</v>
      </c>
      <c r="GB90" s="19">
        <v>0</v>
      </c>
      <c r="GC90" s="19">
        <v>15.488524681376498</v>
      </c>
      <c r="GD90" s="19">
        <f>DataTable[[#This Row],[Sens_16]]/AVERAGEIF(DataTable[Strålkälla],DataTable[[#This Row],[Strålkälla]],DataTable[Sens_16])</f>
        <v>0.99654601563495981</v>
      </c>
      <c r="GE90" s="19">
        <v>1250</v>
      </c>
      <c r="GF90" s="19">
        <v>1481</v>
      </c>
      <c r="GG90" s="19">
        <v>8.5000000000000006E-2</v>
      </c>
      <c r="GH90" s="19">
        <v>4.7E-2</v>
      </c>
      <c r="GI90" s="19">
        <v>2.9000000000000001E-2</v>
      </c>
      <c r="GJ90" s="19">
        <v>1407373</v>
      </c>
      <c r="GK90" s="19">
        <v>184</v>
      </c>
      <c r="GL90" s="19">
        <v>0</v>
      </c>
      <c r="GM90" s="19">
        <v>0</v>
      </c>
      <c r="GN90" s="19">
        <v>14.847912631209505</v>
      </c>
      <c r="GO90" s="19">
        <f>DataTable[[#This Row],[Sens_17]]/AVERAGEIF(DataTable[Strålkälla],DataTable[[#This Row],[Strålkälla]],DataTable[Sens_17])</f>
        <v>0.99502467451874288</v>
      </c>
      <c r="GP90" s="19">
        <v>1463</v>
      </c>
      <c r="GQ90" s="19">
        <v>1759</v>
      </c>
      <c r="GR90" s="19">
        <v>9.1999999999999998E-2</v>
      </c>
      <c r="GS90" s="19">
        <v>3.7999999999999999E-2</v>
      </c>
      <c r="GT90" s="19">
        <v>2.8000000000000001E-2</v>
      </c>
      <c r="GU90" s="19">
        <v>1629918</v>
      </c>
      <c r="GV90" s="19">
        <v>184</v>
      </c>
      <c r="GW90" s="19">
        <v>0</v>
      </c>
      <c r="GX90" s="19">
        <v>0</v>
      </c>
      <c r="GY90" s="19">
        <v>17.195782539551161</v>
      </c>
      <c r="GZ90" s="19">
        <f>DataTable[[#This Row],[Sens_18]]/AVERAGEIF(DataTable[Strålkälla],DataTable[[#This Row],[Strålkälla]],DataTable[Sens_18])</f>
        <v>0.99588979742964145</v>
      </c>
      <c r="HA90" s="19">
        <v>1309</v>
      </c>
      <c r="HB90" s="19">
        <v>1596</v>
      </c>
      <c r="HC90" s="19">
        <v>9.9000000000000005E-2</v>
      </c>
      <c r="HD90" s="19">
        <v>0.04</v>
      </c>
      <c r="HE90" s="19">
        <v>0.03</v>
      </c>
      <c r="HF90" s="19">
        <v>1477902</v>
      </c>
      <c r="HG90" s="19">
        <v>184</v>
      </c>
      <c r="HH90" s="19">
        <v>0</v>
      </c>
      <c r="HI90" s="19">
        <v>0</v>
      </c>
      <c r="HJ90" s="19">
        <v>15.591999969794639</v>
      </c>
      <c r="HK90" s="19">
        <f>DataTable[[#This Row],[Sens_19]]/AVERAGEIF(DataTable[Strålkälla],DataTable[[#This Row],[Strålkälla]],DataTable[Sens_19])</f>
        <v>0.99648772922279327</v>
      </c>
      <c r="HL90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0.158</v>
      </c>
      <c r="HM90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0.10105263157894737</v>
      </c>
      <c r="HN90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8.3000000000000004E-2</v>
      </c>
      <c r="HO90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4.5421052631578966E-2</v>
      </c>
      <c r="HP90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0.99502467451874288</v>
      </c>
      <c r="HQ90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0.99874759428725068</v>
      </c>
      <c r="HR90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1.0033746458936805</v>
      </c>
      <c r="HS90" s="49" t="s">
        <v>291</v>
      </c>
    </row>
    <row r="91" spans="2:227" x14ac:dyDescent="0.25">
      <c r="B91" s="19" t="s">
        <v>43</v>
      </c>
      <c r="C91" s="20">
        <v>42664</v>
      </c>
      <c r="D91" s="21">
        <v>0.26090277777777776</v>
      </c>
      <c r="E91" s="13" t="s">
        <v>217</v>
      </c>
      <c r="F91" s="13">
        <v>109.8</v>
      </c>
      <c r="G91" s="13">
        <v>134.19999999999999</v>
      </c>
      <c r="H91" s="24">
        <v>8.8414000000000001</v>
      </c>
      <c r="I91" s="22">
        <f>MATCH(DataTable[[#This Row],[Datum]],Övrigt!$D$10:$M$10,1)</f>
        <v>2</v>
      </c>
      <c r="J91" s="13"/>
      <c r="K91" s="22">
        <v>1803</v>
      </c>
      <c r="L91" s="22">
        <v>2269</v>
      </c>
      <c r="M91" s="23">
        <v>0.114</v>
      </c>
      <c r="N91" s="23">
        <v>4.3999999999999997E-2</v>
      </c>
      <c r="O91" s="23">
        <v>2.7E-2</v>
      </c>
      <c r="P91" s="22">
        <v>2030868</v>
      </c>
      <c r="Q91" s="24">
        <v>176</v>
      </c>
      <c r="R91" s="22">
        <v>0</v>
      </c>
      <c r="S91" s="22">
        <v>1</v>
      </c>
      <c r="T91" s="19">
        <v>22.399743237899173</v>
      </c>
      <c r="U91" s="23">
        <f>DataTable[[#This Row],[Sens_1]]/AVERAGEIF(DataTable[Strålkälla],DataTable[[#This Row],[Strålkälla]],DataTable[Sens_1])</f>
        <v>0.99956087560552032</v>
      </c>
      <c r="V91" s="22">
        <v>2161</v>
      </c>
      <c r="W91" s="22">
        <v>2608</v>
      </c>
      <c r="X91" s="23">
        <v>9.4E-2</v>
      </c>
      <c r="Y91" s="23">
        <v>3.5999999999999997E-2</v>
      </c>
      <c r="Z91" s="23">
        <v>2.4E-2</v>
      </c>
      <c r="AA91" s="22">
        <v>2447511</v>
      </c>
      <c r="AB91" s="24">
        <v>176</v>
      </c>
      <c r="AC91" s="22">
        <v>1</v>
      </c>
      <c r="AD91" s="22">
        <v>0</v>
      </c>
      <c r="AE91" s="19">
        <v>26.995165600095056</v>
      </c>
      <c r="AF91" s="23">
        <f>DataTable[[#This Row],[Sens_2]]/AVERAGEIF(DataTable[Strålkälla],DataTable[[#This Row],[Strålkälla]],DataTable[Sens_2])</f>
        <v>0.99827158535070804</v>
      </c>
      <c r="AG91" s="22">
        <v>1937</v>
      </c>
      <c r="AH91" s="22">
        <v>2253</v>
      </c>
      <c r="AI91" s="23">
        <v>7.4999999999999997E-2</v>
      </c>
      <c r="AJ91" s="23">
        <v>3.4000000000000002E-2</v>
      </c>
      <c r="AK91" s="23">
        <v>2.4E-2</v>
      </c>
      <c r="AL91" s="22">
        <v>2138876</v>
      </c>
      <c r="AM91" s="24">
        <v>176</v>
      </c>
      <c r="AN91" s="22">
        <v>0</v>
      </c>
      <c r="AO91" s="22">
        <v>0</v>
      </c>
      <c r="AP91" s="19">
        <v>23.591032611526124</v>
      </c>
      <c r="AQ91" s="23">
        <f>DataTable[[#This Row],[Sens_3]]/AVERAGEIF(DataTable[Strålkälla],DataTable[[#This Row],[Strålkälla]],DataTable[Sens_3])</f>
        <v>0.99905438807182478</v>
      </c>
      <c r="AR91" s="22">
        <v>1770</v>
      </c>
      <c r="AS91" s="22">
        <v>2183</v>
      </c>
      <c r="AT91" s="23">
        <v>0.104</v>
      </c>
      <c r="AU91" s="23">
        <v>4.2000000000000003E-2</v>
      </c>
      <c r="AV91" s="23">
        <v>2.5000000000000001E-2</v>
      </c>
      <c r="AW91" s="22">
        <v>2068268</v>
      </c>
      <c r="AX91" s="24">
        <v>176</v>
      </c>
      <c r="AY91" s="22">
        <v>1</v>
      </c>
      <c r="AZ91" s="22">
        <v>0</v>
      </c>
      <c r="BA91" s="19">
        <v>22.812251779615046</v>
      </c>
      <c r="BB91" s="23">
        <f>DataTable[[#This Row],[Sens_4]]/AVERAGEIF(DataTable[Strålkälla],DataTable[[#This Row],[Strålkälla]],DataTable[Sens_4])</f>
        <v>0.99837594772338345</v>
      </c>
      <c r="BC91" s="22">
        <v>2086</v>
      </c>
      <c r="BD91" s="22">
        <v>2430</v>
      </c>
      <c r="BE91" s="19">
        <v>7.5999999999999998E-2</v>
      </c>
      <c r="BF91" s="19">
        <v>3.3000000000000002E-2</v>
      </c>
      <c r="BG91" s="19">
        <v>2.3E-2</v>
      </c>
      <c r="BH91" s="19">
        <v>2327721</v>
      </c>
      <c r="BI91" s="19">
        <v>176</v>
      </c>
      <c r="BJ91" s="19">
        <v>0</v>
      </c>
      <c r="BK91" s="19">
        <v>0</v>
      </c>
      <c r="BL91" s="19">
        <v>25.673925006187456</v>
      </c>
      <c r="BM91" s="23">
        <f>DataTable[[#This Row],[Sens_5]]/AVERAGEIF(DataTable[Strålkälla],DataTable[[#This Row],[Strålkälla]],DataTable[Sens_5])</f>
        <v>0.99768064511966537</v>
      </c>
      <c r="BN91" s="19">
        <v>2064</v>
      </c>
      <c r="BO91" s="19">
        <v>2493</v>
      </c>
      <c r="BP91" s="19">
        <v>9.4E-2</v>
      </c>
      <c r="BQ91" s="19">
        <v>3.5999999999999997E-2</v>
      </c>
      <c r="BR91" s="19">
        <v>2.4E-2</v>
      </c>
      <c r="BS91" s="19">
        <v>2330074</v>
      </c>
      <c r="BT91" s="19">
        <v>176</v>
      </c>
      <c r="BU91" s="19">
        <v>0</v>
      </c>
      <c r="BV91" s="19">
        <v>1</v>
      </c>
      <c r="BW91" s="19">
        <v>25.699877749467067</v>
      </c>
      <c r="BX91" s="23">
        <f>DataTable[[#This Row],[Sens_6]]/AVERAGEIF(DataTable[Strålkälla],DataTable[[#This Row],[Strålkälla]],DataTable[Sens_6])</f>
        <v>0.99904386139323975</v>
      </c>
      <c r="BY91" s="19">
        <v>1854</v>
      </c>
      <c r="BZ91" s="19">
        <v>2236</v>
      </c>
      <c r="CA91" s="19">
        <v>9.2999999999999999E-2</v>
      </c>
      <c r="CB91" s="19">
        <v>0.04</v>
      </c>
      <c r="CC91" s="19">
        <v>2.5999999999999999E-2</v>
      </c>
      <c r="CD91" s="19">
        <v>2068938</v>
      </c>
      <c r="CE91" s="19">
        <v>176</v>
      </c>
      <c r="CF91" s="19">
        <v>0</v>
      </c>
      <c r="CG91" s="19">
        <v>1</v>
      </c>
      <c r="CH91" s="19">
        <v>22.819641638517442</v>
      </c>
      <c r="CI91" s="23">
        <f>DataTable[[#This Row],[Sens_7]]/AVERAGEIF(DataTable[Strålkälla],DataTable[[#This Row],[Strålkälla]],DataTable[Sens_7])</f>
        <v>0.99799626424234822</v>
      </c>
      <c r="CJ91" s="19">
        <v>2178</v>
      </c>
      <c r="CK91" s="19">
        <v>2625</v>
      </c>
      <c r="CL91" s="19">
        <v>9.2999999999999999E-2</v>
      </c>
      <c r="CM91" s="19">
        <v>0.04</v>
      </c>
      <c r="CN91" s="19">
        <v>2.4E-2</v>
      </c>
      <c r="CO91" s="19">
        <v>2449408</v>
      </c>
      <c r="CP91" s="19">
        <v>176</v>
      </c>
      <c r="CQ91" s="19">
        <v>0</v>
      </c>
      <c r="CR91" s="19">
        <v>0</v>
      </c>
      <c r="CS91" s="19">
        <v>27.016088827464976</v>
      </c>
      <c r="CT91" s="23">
        <f>DataTable[[#This Row],[Sens_8]]/AVERAGEIF(DataTable[Strålkälla],DataTable[[#This Row],[Strålkälla]],DataTable[Sens_8])</f>
        <v>0.99991643861008794</v>
      </c>
      <c r="CU91" s="19">
        <v>1766</v>
      </c>
      <c r="CV91" s="19">
        <v>2152</v>
      </c>
      <c r="CW91" s="19">
        <v>9.9000000000000005E-2</v>
      </c>
      <c r="CX91" s="19">
        <v>4.9000000000000002E-2</v>
      </c>
      <c r="CY91" s="19">
        <v>2.7E-2</v>
      </c>
      <c r="CZ91" s="19">
        <v>1963770</v>
      </c>
      <c r="DA91" s="19">
        <v>171</v>
      </c>
      <c r="DB91" s="19">
        <v>0</v>
      </c>
      <c r="DC91" s="19">
        <v>2</v>
      </c>
      <c r="DD91" s="19">
        <v>22.293000315524665</v>
      </c>
      <c r="DE91" s="23">
        <f>DataTable[[#This Row],[Sens_9]]/AVERAGEIF(DataTable[Strålkälla],DataTable[[#This Row],[Strålkälla]],DataTable[Sens_9])</f>
        <v>0.99661122225097076</v>
      </c>
      <c r="DF91" s="19">
        <v>1673</v>
      </c>
      <c r="DG91" s="19">
        <v>2020</v>
      </c>
      <c r="DH91" s="19">
        <v>9.4E-2</v>
      </c>
      <c r="DI91" s="19">
        <v>3.7999999999999999E-2</v>
      </c>
      <c r="DJ91" s="19">
        <v>2.5000000000000001E-2</v>
      </c>
      <c r="DK91" s="19">
        <v>1901162</v>
      </c>
      <c r="DL91" s="19">
        <v>171</v>
      </c>
      <c r="DM91" s="19">
        <v>0</v>
      </c>
      <c r="DN91" s="19">
        <v>0</v>
      </c>
      <c r="DO91" s="19">
        <v>21.582265268266401</v>
      </c>
      <c r="DP91" s="23">
        <f>DataTable[[#This Row],[Sens_10]]/AVERAGEIF(DataTable[Strålkälla],DataTable[[#This Row],[Strålkälla]],DataTable[Sens_10])</f>
        <v>0.99475218498514173</v>
      </c>
      <c r="DQ91" s="19">
        <v>1481</v>
      </c>
      <c r="DR91" s="19">
        <v>1778</v>
      </c>
      <c r="DS91" s="19">
        <v>9.0999999999999998E-2</v>
      </c>
      <c r="DT91" s="19">
        <v>4.1000000000000002E-2</v>
      </c>
      <c r="DU91" s="19">
        <v>2.8000000000000001E-2</v>
      </c>
      <c r="DV91" s="19">
        <v>1674386</v>
      </c>
      <c r="DW91" s="19">
        <v>171</v>
      </c>
      <c r="DX91" s="19">
        <v>0</v>
      </c>
      <c r="DY91" s="19">
        <v>0</v>
      </c>
      <c r="DZ91" s="19">
        <v>19.007871403631832</v>
      </c>
      <c r="EA91" s="19">
        <f>DataTable[[#This Row],[Sens_11]]/AVERAGEIF(DataTable[Strålkälla],DataTable[[#This Row],[Strålkälla]],DataTable[Sens_11])</f>
        <v>0.99612532689057431</v>
      </c>
      <c r="EB91" s="19">
        <v>1785</v>
      </c>
      <c r="EC91" s="19">
        <v>2161</v>
      </c>
      <c r="ED91" s="19">
        <v>9.5000000000000001E-2</v>
      </c>
      <c r="EE91" s="19">
        <v>4.5999999999999999E-2</v>
      </c>
      <c r="EF91" s="19">
        <v>2.7E-2</v>
      </c>
      <c r="EG91" s="19">
        <v>1989174</v>
      </c>
      <c r="EH91" s="19">
        <v>171</v>
      </c>
      <c r="EI91" s="19">
        <v>0</v>
      </c>
      <c r="EJ91" s="19">
        <v>1</v>
      </c>
      <c r="EK91" s="19">
        <v>22.581390188073687</v>
      </c>
      <c r="EL91" s="23">
        <f>DataTable[[#This Row],[Sens_12]]/AVERAGEIF(DataTable[Strålkälla],DataTable[[#This Row],[Strålkälla]],DataTable[Sens_12])</f>
        <v>0.99466492356304637</v>
      </c>
      <c r="EM91" s="19">
        <v>1478</v>
      </c>
      <c r="EN91" s="19">
        <v>1804</v>
      </c>
      <c r="EO91" s="19">
        <v>9.9000000000000005E-2</v>
      </c>
      <c r="EP91" s="19">
        <v>4.1000000000000002E-2</v>
      </c>
      <c r="EQ91" s="19">
        <v>2.8000000000000001E-2</v>
      </c>
      <c r="ER91" s="19">
        <v>1698516</v>
      </c>
      <c r="ES91" s="19">
        <v>184</v>
      </c>
      <c r="ET91" s="19">
        <v>0</v>
      </c>
      <c r="EU91" s="19">
        <v>0</v>
      </c>
      <c r="EV91" s="19">
        <v>17.919497653224443</v>
      </c>
      <c r="EW91" s="19">
        <f>DataTable[[#This Row],[Sens_13]]/AVERAGEIF(DataTable[Strålkälla],DataTable[[#This Row],[Strålkälla]],DataTable[Sens_13])</f>
        <v>0.99464355680250294</v>
      </c>
      <c r="EX91" s="19">
        <v>1272</v>
      </c>
      <c r="EY91" s="19">
        <v>1560</v>
      </c>
      <c r="EZ91" s="19">
        <v>0.10199999999999999</v>
      </c>
      <c r="FA91" s="19">
        <v>4.7E-2</v>
      </c>
      <c r="FB91" s="19">
        <v>2.9000000000000001E-2</v>
      </c>
      <c r="FC91" s="19">
        <v>1443552</v>
      </c>
      <c r="FD91" s="19">
        <v>184</v>
      </c>
      <c r="FE91" s="19">
        <v>0</v>
      </c>
      <c r="FF91" s="19">
        <v>0</v>
      </c>
      <c r="FG91" s="19">
        <v>15.229604358338367</v>
      </c>
      <c r="FH91" s="19">
        <f>DataTable[[#This Row],[Sens_14]]/AVERAGEIF(DataTable[Strålkälla],DataTable[[#This Row],[Strålkälla]],DataTable[Sens_14])</f>
        <v>0.9975129976051198</v>
      </c>
      <c r="FI91" s="19">
        <v>1449</v>
      </c>
      <c r="FJ91" s="19">
        <v>1744</v>
      </c>
      <c r="FK91" s="19">
        <v>9.1999999999999998E-2</v>
      </c>
      <c r="FL91" s="19">
        <v>3.6999999999999998E-2</v>
      </c>
      <c r="FM91" s="19">
        <v>2.7E-2</v>
      </c>
      <c r="FN91" s="19">
        <v>1629510</v>
      </c>
      <c r="FO91" s="19">
        <v>184</v>
      </c>
      <c r="FP91" s="19">
        <v>0</v>
      </c>
      <c r="FQ91" s="19">
        <v>0</v>
      </c>
      <c r="FR91" s="19">
        <v>17.191478102594125</v>
      </c>
      <c r="FS91" s="19">
        <f>DataTable[[#This Row],[Sens_15]]/AVERAGEIF(DataTable[Strålkälla],DataTable[[#This Row],[Strålkälla]],DataTable[Sens_15])</f>
        <v>0.99517452568935039</v>
      </c>
      <c r="FT91" s="19">
        <v>1286</v>
      </c>
      <c r="FU91" s="19">
        <v>1616</v>
      </c>
      <c r="FV91" s="19">
        <v>0.114</v>
      </c>
      <c r="FW91" s="19">
        <v>3.9E-2</v>
      </c>
      <c r="FX91" s="19">
        <v>2.9000000000000001E-2</v>
      </c>
      <c r="FY91" s="19">
        <v>1467223</v>
      </c>
      <c r="FZ91" s="19">
        <v>184</v>
      </c>
      <c r="GA91" s="19">
        <v>0</v>
      </c>
      <c r="GB91" s="19">
        <v>1</v>
      </c>
      <c r="GC91" s="19">
        <v>15.479335552480475</v>
      </c>
      <c r="GD91" s="19">
        <f>DataTable[[#This Row],[Sens_16]]/AVERAGEIF(DataTable[Strålkälla],DataTable[[#This Row],[Strålkälla]],DataTable[Sens_16])</f>
        <v>0.99595477857546766</v>
      </c>
      <c r="GE91" s="19">
        <v>1220</v>
      </c>
      <c r="GF91" s="19">
        <v>1512</v>
      </c>
      <c r="GG91" s="19">
        <v>0.107</v>
      </c>
      <c r="GH91" s="19">
        <v>4.3999999999999997E-2</v>
      </c>
      <c r="GI91" s="19">
        <v>3.1E-2</v>
      </c>
      <c r="GJ91" s="19">
        <v>1409453</v>
      </c>
      <c r="GK91" s="19">
        <v>184</v>
      </c>
      <c r="GL91" s="19">
        <v>0</v>
      </c>
      <c r="GM91" s="19">
        <v>0</v>
      </c>
      <c r="GN91" s="19">
        <v>14.869856819617919</v>
      </c>
      <c r="GO91" s="19">
        <f>DataTable[[#This Row],[Sens_17]]/AVERAGEIF(DataTable[Strålkälla],DataTable[[#This Row],[Strålkälla]],DataTable[Sens_17])</f>
        <v>0.99649525219999646</v>
      </c>
      <c r="GP91" s="19">
        <v>1457</v>
      </c>
      <c r="GQ91" s="19">
        <v>1728</v>
      </c>
      <c r="GR91" s="19">
        <v>8.5000000000000006E-2</v>
      </c>
      <c r="GS91" s="19">
        <v>4.2999999999999997E-2</v>
      </c>
      <c r="GT91" s="19">
        <v>2.8000000000000001E-2</v>
      </c>
      <c r="GU91" s="19">
        <v>1627131</v>
      </c>
      <c r="GV91" s="19">
        <v>184</v>
      </c>
      <c r="GW91" s="19">
        <v>0</v>
      </c>
      <c r="GX91" s="19">
        <v>0</v>
      </c>
      <c r="GY91" s="19">
        <v>17.166379437101998</v>
      </c>
      <c r="GZ91" s="19">
        <f>DataTable[[#This Row],[Sens_18]]/AVERAGEIF(DataTable[Strålkälla],DataTable[[#This Row],[Strålkälla]],DataTable[Sens_18])</f>
        <v>0.99418692350258708</v>
      </c>
      <c r="HA91" s="19">
        <v>1304</v>
      </c>
      <c r="HB91" s="19">
        <v>1606</v>
      </c>
      <c r="HC91" s="19">
        <v>0.104</v>
      </c>
      <c r="HD91" s="19">
        <v>3.5000000000000003E-2</v>
      </c>
      <c r="HE91" s="19">
        <v>2.8000000000000001E-2</v>
      </c>
      <c r="HF91" s="19">
        <v>1478757</v>
      </c>
      <c r="HG91" s="19">
        <v>184</v>
      </c>
      <c r="HH91" s="19">
        <v>0</v>
      </c>
      <c r="HI91" s="19">
        <v>0</v>
      </c>
      <c r="HJ91" s="19">
        <v>15.601020297241366</v>
      </c>
      <c r="HK91" s="19">
        <f>DataTable[[#This Row],[Sens_19]]/AVERAGEIF(DataTable[Strålkälla],DataTable[[#This Row],[Strålkälla]],DataTable[Sens_19])</f>
        <v>0.99706422009193429</v>
      </c>
      <c r="HL91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0.114</v>
      </c>
      <c r="HM91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9.6052631578947376E-2</v>
      </c>
      <c r="HN91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4.9000000000000002E-2</v>
      </c>
      <c r="HO91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4.0263157894736848E-2</v>
      </c>
      <c r="HP91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0.99418692350258708</v>
      </c>
      <c r="HQ91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0.99700452201439327</v>
      </c>
      <c r="HR91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0.99991643861008794</v>
      </c>
      <c r="HS91" s="49" t="s">
        <v>292</v>
      </c>
    </row>
    <row r="92" spans="2:227" x14ac:dyDescent="0.25">
      <c r="B92" s="19" t="s">
        <v>43</v>
      </c>
      <c r="C92" s="20">
        <v>42667</v>
      </c>
      <c r="D92" s="21">
        <v>0.31460648148148146</v>
      </c>
      <c r="E92" s="13" t="s">
        <v>217</v>
      </c>
      <c r="F92" s="13">
        <v>109.8</v>
      </c>
      <c r="G92" s="13">
        <v>134.19999999999999</v>
      </c>
      <c r="H92" s="24">
        <v>8.9065999999999992</v>
      </c>
      <c r="I92" s="22">
        <f>MATCH(DataTable[[#This Row],[Datum]],Övrigt!$D$10:$M$10,1)</f>
        <v>2</v>
      </c>
      <c r="J92" s="13"/>
      <c r="K92" s="22">
        <v>1820</v>
      </c>
      <c r="L92" s="22">
        <v>2155</v>
      </c>
      <c r="M92" s="23">
        <v>8.4000000000000005E-2</v>
      </c>
      <c r="N92" s="23">
        <v>3.6999999999999998E-2</v>
      </c>
      <c r="O92" s="23">
        <v>2.5999999999999999E-2</v>
      </c>
      <c r="P92" s="22">
        <v>2032097</v>
      </c>
      <c r="Q92" s="24">
        <v>178</v>
      </c>
      <c r="R92" s="22">
        <v>0</v>
      </c>
      <c r="S92" s="22">
        <v>0</v>
      </c>
      <c r="T92" s="19">
        <v>22.331700994635895</v>
      </c>
      <c r="U92" s="23">
        <f>DataTable[[#This Row],[Sens_1]]/AVERAGEIF(DataTable[Strålkälla],DataTable[[#This Row],[Strålkälla]],DataTable[Sens_1])</f>
        <v>0.9965245745402771</v>
      </c>
      <c r="V92" s="22">
        <v>2198</v>
      </c>
      <c r="W92" s="22">
        <v>2665</v>
      </c>
      <c r="X92" s="23">
        <v>9.6000000000000002E-2</v>
      </c>
      <c r="Y92" s="23">
        <v>3.7999999999999999E-2</v>
      </c>
      <c r="Z92" s="23">
        <v>2.5000000000000001E-2</v>
      </c>
      <c r="AA92" s="22">
        <v>2450339</v>
      </c>
      <c r="AB92" s="24">
        <v>178</v>
      </c>
      <c r="AC92" s="22">
        <v>0</v>
      </c>
      <c r="AD92" s="22">
        <v>1</v>
      </c>
      <c r="AE92" s="19">
        <v>26.927965487619499</v>
      </c>
      <c r="AF92" s="23">
        <f>DataTable[[#This Row],[Sens_2]]/AVERAGEIF(DataTable[Strålkälla],DataTable[[#This Row],[Strålkälla]],DataTable[Sens_2])</f>
        <v>0.99578654918495524</v>
      </c>
      <c r="AG92" s="22">
        <v>1888</v>
      </c>
      <c r="AH92" s="22">
        <v>2256</v>
      </c>
      <c r="AI92" s="23">
        <v>8.8999999999999996E-2</v>
      </c>
      <c r="AJ92" s="23">
        <v>3.9E-2</v>
      </c>
      <c r="AK92" s="23">
        <v>2.4E-2</v>
      </c>
      <c r="AL92" s="22">
        <v>2139643</v>
      </c>
      <c r="AM92" s="24">
        <v>178</v>
      </c>
      <c r="AN92" s="22">
        <v>0</v>
      </c>
      <c r="AO92" s="22">
        <v>0</v>
      </c>
      <c r="AP92" s="19">
        <v>23.513576227545109</v>
      </c>
      <c r="AQ92" s="23">
        <f>DataTable[[#This Row],[Sens_3]]/AVERAGEIF(DataTable[Strålkälla],DataTable[[#This Row],[Strålkälla]],DataTable[Sens_3])</f>
        <v>0.99577419506057852</v>
      </c>
      <c r="AR92" s="22">
        <v>1838</v>
      </c>
      <c r="AS92" s="22">
        <v>2158</v>
      </c>
      <c r="AT92" s="23">
        <v>0.08</v>
      </c>
      <c r="AU92" s="23">
        <v>3.6999999999999998E-2</v>
      </c>
      <c r="AV92" s="23">
        <v>2.4E-2</v>
      </c>
      <c r="AW92" s="22">
        <v>2068021</v>
      </c>
      <c r="AX92" s="24">
        <v>178</v>
      </c>
      <c r="AY92" s="22">
        <v>0</v>
      </c>
      <c r="AZ92" s="22">
        <v>0</v>
      </c>
      <c r="BA92" s="19">
        <v>22.726487280197706</v>
      </c>
      <c r="BB92" s="23">
        <f>DataTable[[#This Row],[Sens_4]]/AVERAGEIF(DataTable[Strålkälla],DataTable[[#This Row],[Strålkälla]],DataTable[Sens_4])</f>
        <v>0.99462247287074645</v>
      </c>
      <c r="BC92" s="22">
        <v>2076</v>
      </c>
      <c r="BD92" s="22">
        <v>2541</v>
      </c>
      <c r="BE92" s="19">
        <v>0.10100000000000001</v>
      </c>
      <c r="BF92" s="19">
        <v>0.05</v>
      </c>
      <c r="BG92" s="19">
        <v>2.4E-2</v>
      </c>
      <c r="BH92" s="19">
        <v>2324275</v>
      </c>
      <c r="BI92" s="19">
        <v>178</v>
      </c>
      <c r="BJ92" s="19">
        <v>0</v>
      </c>
      <c r="BK92" s="19">
        <v>1</v>
      </c>
      <c r="BL92" s="19">
        <v>25.542586957860451</v>
      </c>
      <c r="BM92" s="23">
        <f>DataTable[[#This Row],[Sens_5]]/AVERAGEIF(DataTable[Strålkälla],DataTable[[#This Row],[Strålkälla]],DataTable[Sens_5])</f>
        <v>0.99257688989906445</v>
      </c>
      <c r="BN92" s="19">
        <v>2073</v>
      </c>
      <c r="BO92" s="19">
        <v>2466</v>
      </c>
      <c r="BP92" s="19">
        <v>8.6999999999999994E-2</v>
      </c>
      <c r="BQ92" s="19">
        <v>3.2000000000000001E-2</v>
      </c>
      <c r="BR92" s="19">
        <v>2.4E-2</v>
      </c>
      <c r="BS92" s="19">
        <v>2328270</v>
      </c>
      <c r="BT92" s="19">
        <v>178</v>
      </c>
      <c r="BU92" s="19">
        <v>0</v>
      </c>
      <c r="BV92" s="19">
        <v>0</v>
      </c>
      <c r="BW92" s="19">
        <v>25.586489953373739</v>
      </c>
      <c r="BX92" s="23">
        <f>DataTable[[#This Row],[Sens_6]]/AVERAGEIF(DataTable[Strålkälla],DataTable[[#This Row],[Strålkälla]],DataTable[Sens_6])</f>
        <v>0.99463608238556356</v>
      </c>
      <c r="BY92" s="19">
        <v>1864</v>
      </c>
      <c r="BZ92" s="19">
        <v>2228</v>
      </c>
      <c r="CA92" s="19">
        <v>8.8999999999999996E-2</v>
      </c>
      <c r="CB92" s="19">
        <v>4.4999999999999998E-2</v>
      </c>
      <c r="CC92" s="19">
        <v>2.5999999999999999E-2</v>
      </c>
      <c r="CD92" s="19">
        <v>2073139</v>
      </c>
      <c r="CE92" s="19">
        <v>178</v>
      </c>
      <c r="CF92" s="19">
        <v>0</v>
      </c>
      <c r="CG92" s="19">
        <v>0</v>
      </c>
      <c r="CH92" s="19">
        <v>22.782731468191955</v>
      </c>
      <c r="CI92" s="23">
        <f>DataTable[[#This Row],[Sens_7]]/AVERAGEIF(DataTable[Strålkälla],DataTable[[#This Row],[Strålkälla]],DataTable[Sens_7])</f>
        <v>0.99638203152647553</v>
      </c>
      <c r="CJ92" s="19">
        <v>2149</v>
      </c>
      <c r="CK92" s="19">
        <v>2610</v>
      </c>
      <c r="CL92" s="19">
        <v>9.7000000000000003E-2</v>
      </c>
      <c r="CM92" s="19">
        <v>5.2999999999999999E-2</v>
      </c>
      <c r="CN92" s="19">
        <v>2.5000000000000001E-2</v>
      </c>
      <c r="CO92" s="19">
        <v>2447661</v>
      </c>
      <c r="CP92" s="19">
        <v>178</v>
      </c>
      <c r="CQ92" s="19">
        <v>1</v>
      </c>
      <c r="CR92" s="19">
        <v>0</v>
      </c>
      <c r="CS92" s="19">
        <v>26.898535644819852</v>
      </c>
      <c r="CT92" s="23">
        <f>DataTable[[#This Row],[Sens_8]]/AVERAGEIF(DataTable[Strålkälla],DataTable[[#This Row],[Strålkälla]],DataTable[Sens_8])</f>
        <v>0.99556557344642671</v>
      </c>
      <c r="CU92" s="19">
        <v>1657</v>
      </c>
      <c r="CV92" s="19">
        <v>2083</v>
      </c>
      <c r="CW92" s="19">
        <v>0.114</v>
      </c>
      <c r="CX92" s="19">
        <v>3.5999999999999997E-2</v>
      </c>
      <c r="CY92" s="19">
        <v>2.5999999999999999E-2</v>
      </c>
      <c r="CZ92" s="19">
        <v>1960943</v>
      </c>
      <c r="DA92" s="19">
        <v>172</v>
      </c>
      <c r="DB92" s="19">
        <v>1</v>
      </c>
      <c r="DC92" s="19">
        <v>0</v>
      </c>
      <c r="DD92" s="19">
        <v>22.30149077056431</v>
      </c>
      <c r="DE92" s="23">
        <f>DataTable[[#This Row],[Sens_9]]/AVERAGEIF(DataTable[Strålkälla],DataTable[[#This Row],[Strålkälla]],DataTable[Sens_9])</f>
        <v>0.99699078905017979</v>
      </c>
      <c r="DF92" s="19">
        <v>1708</v>
      </c>
      <c r="DG92" s="19">
        <v>2046</v>
      </c>
      <c r="DH92" s="19">
        <v>0.09</v>
      </c>
      <c r="DI92" s="19">
        <v>4.2999999999999997E-2</v>
      </c>
      <c r="DJ92" s="19">
        <v>2.5999999999999999E-2</v>
      </c>
      <c r="DK92" s="19">
        <v>1903725</v>
      </c>
      <c r="DL92" s="19">
        <v>172</v>
      </c>
      <c r="DM92" s="19">
        <v>0</v>
      </c>
      <c r="DN92" s="19">
        <v>0</v>
      </c>
      <c r="DO92" s="19">
        <v>21.650759617792328</v>
      </c>
      <c r="DP92" s="23">
        <f>DataTable[[#This Row],[Sens_10]]/AVERAGEIF(DataTable[Strålkälla],DataTable[[#This Row],[Strålkälla]],DataTable[Sens_10])</f>
        <v>0.99790917073261265</v>
      </c>
      <c r="DQ92" s="19">
        <v>1491</v>
      </c>
      <c r="DR92" s="19">
        <v>1789</v>
      </c>
      <c r="DS92" s="19">
        <v>9.0999999999999998E-2</v>
      </c>
      <c r="DT92" s="19">
        <v>0.04</v>
      </c>
      <c r="DU92" s="19">
        <v>2.5999999999999999E-2</v>
      </c>
      <c r="DV92" s="19">
        <v>1672857</v>
      </c>
      <c r="DW92" s="19">
        <v>172</v>
      </c>
      <c r="DX92" s="19">
        <v>0</v>
      </c>
      <c r="DY92" s="19">
        <v>0</v>
      </c>
      <c r="DZ92" s="19">
        <v>19.025134818285846</v>
      </c>
      <c r="EA92" s="19">
        <f>DataTable[[#This Row],[Sens_11]]/AVERAGEIF(DataTable[Strålkälla],DataTable[[#This Row],[Strålkälla]],DataTable[Sens_11])</f>
        <v>0.99703003232551279</v>
      </c>
      <c r="EB92" s="19">
        <v>1770</v>
      </c>
      <c r="EC92" s="19">
        <v>2124</v>
      </c>
      <c r="ED92" s="19">
        <v>9.0999999999999998E-2</v>
      </c>
      <c r="EE92" s="19">
        <v>4.5999999999999999E-2</v>
      </c>
      <c r="EF92" s="19">
        <v>2.5999999999999999E-2</v>
      </c>
      <c r="EG92" s="19">
        <v>1990765</v>
      </c>
      <c r="EH92" s="19">
        <v>172</v>
      </c>
      <c r="EI92" s="19">
        <v>0</v>
      </c>
      <c r="EJ92" s="19">
        <v>0</v>
      </c>
      <c r="EK92" s="19">
        <v>22.640651601735726</v>
      </c>
      <c r="EL92" s="23">
        <f>DataTable[[#This Row],[Sens_12]]/AVERAGEIF(DataTable[Strålkälla],DataTable[[#This Row],[Strålkälla]],DataTable[Sens_12])</f>
        <v>0.99727526991459747</v>
      </c>
      <c r="EM92" s="19">
        <v>1511</v>
      </c>
      <c r="EN92" s="19">
        <v>1812</v>
      </c>
      <c r="EO92" s="19">
        <v>9.0999999999999998E-2</v>
      </c>
      <c r="EP92" s="19">
        <v>0.04</v>
      </c>
      <c r="EQ92" s="19">
        <v>2.8000000000000001E-2</v>
      </c>
      <c r="ER92" s="19">
        <v>1702174</v>
      </c>
      <c r="ES92" s="19">
        <v>185</v>
      </c>
      <c r="ET92" s="19">
        <v>0</v>
      </c>
      <c r="EU92" s="19">
        <v>0</v>
      </c>
      <c r="EV92" s="19">
        <v>17.998221658561544</v>
      </c>
      <c r="EW92" s="19">
        <f>DataTable[[#This Row],[Sens_13]]/AVERAGEIF(DataTable[Strålkälla],DataTable[[#This Row],[Strålkälla]],DataTable[Sens_13])</f>
        <v>0.99901322866437814</v>
      </c>
      <c r="EX92" s="19">
        <v>1260</v>
      </c>
      <c r="EY92" s="19">
        <v>1548</v>
      </c>
      <c r="EZ92" s="19">
        <v>0.10299999999999999</v>
      </c>
      <c r="FA92" s="19">
        <v>0.05</v>
      </c>
      <c r="FB92" s="19">
        <v>2.9000000000000001E-2</v>
      </c>
      <c r="FC92" s="19">
        <v>1440569</v>
      </c>
      <c r="FD92" s="19">
        <v>185</v>
      </c>
      <c r="FE92" s="19">
        <v>0</v>
      </c>
      <c r="FF92" s="19">
        <v>0</v>
      </c>
      <c r="FG92" s="19">
        <v>15.23209740981377</v>
      </c>
      <c r="FH92" s="19">
        <f>DataTable[[#This Row],[Sens_14]]/AVERAGEIF(DataTable[Strålkälla],DataTable[[#This Row],[Strålkälla]],DataTable[Sens_14])</f>
        <v>0.99767628820623455</v>
      </c>
      <c r="FI92" s="19">
        <v>1424</v>
      </c>
      <c r="FJ92" s="19">
        <v>1728</v>
      </c>
      <c r="FK92" s="19">
        <v>9.6000000000000002E-2</v>
      </c>
      <c r="FL92" s="19">
        <v>4.2000000000000003E-2</v>
      </c>
      <c r="FM92" s="19">
        <v>2.5999999999999999E-2</v>
      </c>
      <c r="FN92" s="19">
        <v>1631121</v>
      </c>
      <c r="FO92" s="19">
        <v>185</v>
      </c>
      <c r="FP92" s="19">
        <v>1</v>
      </c>
      <c r="FQ92" s="19">
        <v>0</v>
      </c>
      <c r="FR92" s="19">
        <v>17.246930871893568</v>
      </c>
      <c r="FS92" s="19">
        <f>DataTable[[#This Row],[Sens_15]]/AVERAGEIF(DataTable[Strålkälla],DataTable[[#This Row],[Strålkälla]],DataTable[Sens_15])</f>
        <v>0.99838455702327078</v>
      </c>
      <c r="FT92" s="19">
        <v>1310</v>
      </c>
      <c r="FU92" s="19">
        <v>1586</v>
      </c>
      <c r="FV92" s="19">
        <v>9.5000000000000001E-2</v>
      </c>
      <c r="FW92" s="19">
        <v>3.6999999999999998E-2</v>
      </c>
      <c r="FX92" s="19">
        <v>2.7E-2</v>
      </c>
      <c r="FY92" s="19">
        <v>1467041</v>
      </c>
      <c r="FZ92" s="19">
        <v>185</v>
      </c>
      <c r="GA92" s="19">
        <v>0</v>
      </c>
      <c r="GB92" s="19">
        <v>0</v>
      </c>
      <c r="GC92" s="19">
        <v>15.512003532070038</v>
      </c>
      <c r="GD92" s="19">
        <f>DataTable[[#This Row],[Sens_16]]/AVERAGEIF(DataTable[Strålkälla],DataTable[[#This Row],[Strålkälla]],DataTable[Sens_16])</f>
        <v>0.99805666662281467</v>
      </c>
      <c r="GE92" s="19">
        <v>1218</v>
      </c>
      <c r="GF92" s="19">
        <v>1518</v>
      </c>
      <c r="GG92" s="19">
        <v>0.11</v>
      </c>
      <c r="GH92" s="19">
        <v>4.2999999999999997E-2</v>
      </c>
      <c r="GI92" s="19">
        <v>0.03</v>
      </c>
      <c r="GJ92" s="19">
        <v>1405628</v>
      </c>
      <c r="GK92" s="19">
        <v>185</v>
      </c>
      <c r="GL92" s="19">
        <v>0</v>
      </c>
      <c r="GM92" s="19">
        <v>0</v>
      </c>
      <c r="GN92" s="19">
        <v>14.862642898716903</v>
      </c>
      <c r="GO92" s="19">
        <f>DataTable[[#This Row],[Sens_17]]/AVERAGEIF(DataTable[Strålkälla],DataTable[[#This Row],[Strålkälla]],DataTable[Sens_17])</f>
        <v>0.99601181527018523</v>
      </c>
      <c r="GP92" s="19">
        <v>1427</v>
      </c>
      <c r="GQ92" s="19">
        <v>1778</v>
      </c>
      <c r="GR92" s="19">
        <v>0.11</v>
      </c>
      <c r="GS92" s="19">
        <v>4.5999999999999999E-2</v>
      </c>
      <c r="GT92" s="19">
        <v>2.8000000000000001E-2</v>
      </c>
      <c r="GU92" s="19">
        <v>1630787</v>
      </c>
      <c r="GV92" s="19">
        <v>185</v>
      </c>
      <c r="GW92" s="19">
        <v>0</v>
      </c>
      <c r="GX92" s="19">
        <v>1</v>
      </c>
      <c r="GY92" s="19">
        <v>17.243399266996558</v>
      </c>
      <c r="GZ92" s="19">
        <f>DataTable[[#This Row],[Sens_18]]/AVERAGEIF(DataTable[Strålkälla],DataTable[[#This Row],[Strålkälla]],DataTable[Sens_18])</f>
        <v>0.99864750926629609</v>
      </c>
      <c r="HA92" s="19">
        <v>1290</v>
      </c>
      <c r="HB92" s="19">
        <v>1610</v>
      </c>
      <c r="HC92" s="19">
        <v>0.11</v>
      </c>
      <c r="HD92" s="19">
        <v>5.5E-2</v>
      </c>
      <c r="HE92" s="19">
        <v>3.1E-2</v>
      </c>
      <c r="HF92" s="19">
        <v>1476518</v>
      </c>
      <c r="HG92" s="19">
        <v>185</v>
      </c>
      <c r="HH92" s="19">
        <v>0</v>
      </c>
      <c r="HI92" s="19">
        <v>0</v>
      </c>
      <c r="HJ92" s="19">
        <v>15.612210177605798</v>
      </c>
      <c r="HK92" s="19">
        <f>DataTable[[#This Row],[Sens_19]]/AVERAGEIF(DataTable[Strålkälla],DataTable[[#This Row],[Strålkälla]],DataTable[Sens_19])</f>
        <v>0.99777936750703367</v>
      </c>
      <c r="HL92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0.114</v>
      </c>
      <c r="HM92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9.6000000000000016E-2</v>
      </c>
      <c r="HN92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5.5E-2</v>
      </c>
      <c r="HO92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4.2578947368421063E-2</v>
      </c>
      <c r="HP92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0.99257688989906445</v>
      </c>
      <c r="HQ92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0.99666542439458949</v>
      </c>
      <c r="HR92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0.99901322866437814</v>
      </c>
      <c r="HS92" s="49" t="s">
        <v>286</v>
      </c>
    </row>
    <row r="93" spans="2:227" x14ac:dyDescent="0.25">
      <c r="B93" s="19" t="s">
        <v>43</v>
      </c>
      <c r="C93" s="20">
        <v>42669</v>
      </c>
      <c r="D93" s="21">
        <v>0.32849537037037035</v>
      </c>
      <c r="E93" s="13" t="s">
        <v>217</v>
      </c>
      <c r="F93" s="13">
        <v>109.8</v>
      </c>
      <c r="G93" s="13">
        <v>134.19999999999999</v>
      </c>
      <c r="H93" s="24">
        <v>8.9473000000000003</v>
      </c>
      <c r="I93" s="22">
        <f>MATCH(DataTable[[#This Row],[Datum]],Övrigt!$D$10:$M$10,1)</f>
        <v>2</v>
      </c>
      <c r="J93" s="13"/>
      <c r="K93" s="22">
        <v>1798</v>
      </c>
      <c r="L93" s="22">
        <v>2178</v>
      </c>
      <c r="M93" s="23">
        <v>9.6000000000000002E-2</v>
      </c>
      <c r="N93" s="23">
        <v>3.7999999999999999E-2</v>
      </c>
      <c r="O93" s="23">
        <v>2.5999999999999999E-2</v>
      </c>
      <c r="P93" s="22">
        <v>2036609</v>
      </c>
      <c r="Q93" s="24">
        <v>178</v>
      </c>
      <c r="R93" s="22">
        <v>0</v>
      </c>
      <c r="S93" s="22">
        <v>0</v>
      </c>
      <c r="T93" s="19">
        <v>22.495756473866074</v>
      </c>
      <c r="U93" s="23">
        <f>DataTable[[#This Row],[Sens_1]]/AVERAGEIF(DataTable[Strålkälla],DataTable[[#This Row],[Strålkälla]],DataTable[Sens_1])</f>
        <v>1.0038453476726115</v>
      </c>
      <c r="V93" s="22">
        <v>2073</v>
      </c>
      <c r="W93" s="22">
        <v>2692</v>
      </c>
      <c r="X93" s="23">
        <v>0.13</v>
      </c>
      <c r="Y93" s="23">
        <v>4.4999999999999998E-2</v>
      </c>
      <c r="Z93" s="23">
        <v>2.4E-2</v>
      </c>
      <c r="AA93" s="22">
        <v>2454999</v>
      </c>
      <c r="AB93" s="24">
        <v>178</v>
      </c>
      <c r="AC93" s="22">
        <v>1</v>
      </c>
      <c r="AD93" s="22">
        <v>2</v>
      </c>
      <c r="AE93" s="19">
        <v>27.117163700830517</v>
      </c>
      <c r="AF93" s="23">
        <f>DataTable[[#This Row],[Sens_2]]/AVERAGEIF(DataTable[Strålkälla],DataTable[[#This Row],[Strålkälla]],DataTable[Sens_2])</f>
        <v>1.0027830315568589</v>
      </c>
      <c r="AG93" s="22">
        <v>1895</v>
      </c>
      <c r="AH93" s="22">
        <v>2323</v>
      </c>
      <c r="AI93" s="23">
        <v>0.10100000000000001</v>
      </c>
      <c r="AJ93" s="23">
        <v>3.2000000000000001E-2</v>
      </c>
      <c r="AK93" s="23">
        <v>2.5000000000000001E-2</v>
      </c>
      <c r="AL93" s="22">
        <v>2142466</v>
      </c>
      <c r="AM93" s="24">
        <v>178</v>
      </c>
      <c r="AN93" s="22">
        <v>0</v>
      </c>
      <c r="AO93" s="22">
        <v>1</v>
      </c>
      <c r="AP93" s="19">
        <v>23.665020330135999</v>
      </c>
      <c r="AQ93" s="23">
        <f>DataTable[[#This Row],[Sens_3]]/AVERAGEIF(DataTable[Strålkälla],DataTable[[#This Row],[Strålkälla]],DataTable[Sens_3])</f>
        <v>1.0021876869043864</v>
      </c>
      <c r="AR93" s="22">
        <v>1817</v>
      </c>
      <c r="AS93" s="22">
        <v>2219</v>
      </c>
      <c r="AT93" s="23">
        <v>0.1</v>
      </c>
      <c r="AU93" s="23">
        <v>4.3999999999999997E-2</v>
      </c>
      <c r="AV93" s="23">
        <v>2.5999999999999999E-2</v>
      </c>
      <c r="AW93" s="22">
        <v>2066895</v>
      </c>
      <c r="AX93" s="24">
        <v>178</v>
      </c>
      <c r="AY93" s="22">
        <v>0</v>
      </c>
      <c r="AZ93" s="22">
        <v>0</v>
      </c>
      <c r="BA93" s="19">
        <v>22.830286312714623</v>
      </c>
      <c r="BB93" s="23">
        <f>DataTable[[#This Row],[Sens_4]]/AVERAGEIF(DataTable[Strålkälla],DataTable[[#This Row],[Strålkälla]],DataTable[Sens_4])</f>
        <v>0.99916522728460277</v>
      </c>
      <c r="BC93" s="22">
        <v>2091</v>
      </c>
      <c r="BD93" s="22">
        <v>2470</v>
      </c>
      <c r="BE93" s="19">
        <v>8.3000000000000004E-2</v>
      </c>
      <c r="BF93" s="19">
        <v>3.3000000000000002E-2</v>
      </c>
      <c r="BG93" s="19">
        <v>2.4E-2</v>
      </c>
      <c r="BH93" s="19">
        <v>2324567</v>
      </c>
      <c r="BI93" s="19">
        <v>178</v>
      </c>
      <c r="BJ93" s="19">
        <v>0</v>
      </c>
      <c r="BK93" s="19">
        <v>0</v>
      </c>
      <c r="BL93" s="19">
        <v>25.67645195478633</v>
      </c>
      <c r="BM93" s="23">
        <f>DataTable[[#This Row],[Sens_5]]/AVERAGEIF(DataTable[Strålkälla],DataTable[[#This Row],[Strålkälla]],DataTable[Sens_5])</f>
        <v>0.9977788415468849</v>
      </c>
      <c r="BN93" s="19">
        <v>2089</v>
      </c>
      <c r="BO93" s="19">
        <v>2452</v>
      </c>
      <c r="BP93" s="19">
        <v>0.08</v>
      </c>
      <c r="BQ93" s="19">
        <v>3.3000000000000002E-2</v>
      </c>
      <c r="BR93" s="19">
        <v>2.3E-2</v>
      </c>
      <c r="BS93" s="19">
        <v>2325081</v>
      </c>
      <c r="BT93" s="19">
        <v>178</v>
      </c>
      <c r="BU93" s="19">
        <v>0</v>
      </c>
      <c r="BV93" s="19">
        <v>0</v>
      </c>
      <c r="BW93" s="19">
        <v>25.682129440659942</v>
      </c>
      <c r="BX93" s="23">
        <f>DataTable[[#This Row],[Sens_6]]/AVERAGEIF(DataTable[Strålkälla],DataTable[[#This Row],[Strålkälla]],DataTable[Sens_6])</f>
        <v>0.99835392274307488</v>
      </c>
      <c r="BY93" s="19">
        <v>1864</v>
      </c>
      <c r="BZ93" s="19">
        <v>2233</v>
      </c>
      <c r="CA93" s="19">
        <v>0.09</v>
      </c>
      <c r="CB93" s="19">
        <v>3.9E-2</v>
      </c>
      <c r="CC93" s="19">
        <v>2.5999999999999999E-2</v>
      </c>
      <c r="CD93" s="19">
        <v>2071525</v>
      </c>
      <c r="CE93" s="19">
        <v>178</v>
      </c>
      <c r="CF93" s="19">
        <v>0</v>
      </c>
      <c r="CG93" s="19">
        <v>1</v>
      </c>
      <c r="CH93" s="19">
        <v>22.88142786834656</v>
      </c>
      <c r="CI93" s="23">
        <f>DataTable[[#This Row],[Sens_7]]/AVERAGEIF(DataTable[Strålkälla],DataTable[[#This Row],[Strålkälla]],DataTable[Sens_7])</f>
        <v>1.0006984287867291</v>
      </c>
      <c r="CJ93" s="19">
        <v>2127</v>
      </c>
      <c r="CK93" s="19">
        <v>2602</v>
      </c>
      <c r="CL93" s="19">
        <v>0.1</v>
      </c>
      <c r="CM93" s="19">
        <v>4.1000000000000002E-2</v>
      </c>
      <c r="CN93" s="19">
        <v>2.5000000000000001E-2</v>
      </c>
      <c r="CO93" s="19">
        <v>2442347</v>
      </c>
      <c r="CP93" s="19">
        <v>178</v>
      </c>
      <c r="CQ93" s="19">
        <v>2</v>
      </c>
      <c r="CR93" s="19">
        <v>0</v>
      </c>
      <c r="CS93" s="19">
        <v>26.977413601077764</v>
      </c>
      <c r="CT93" s="23">
        <f>DataTable[[#This Row],[Sens_8]]/AVERAGEIF(DataTable[Strålkälla],DataTable[[#This Row],[Strålkälla]],DataTable[Sens_8])</f>
        <v>0.99848499548452996</v>
      </c>
      <c r="CU93" s="19">
        <v>1742</v>
      </c>
      <c r="CV93" s="19">
        <v>2085</v>
      </c>
      <c r="CW93" s="19">
        <v>0.09</v>
      </c>
      <c r="CX93" s="19">
        <v>3.5999999999999997E-2</v>
      </c>
      <c r="CY93" s="19">
        <v>2.5999999999999999E-2</v>
      </c>
      <c r="CZ93" s="19">
        <v>1961194</v>
      </c>
      <c r="DA93" s="19">
        <v>173</v>
      </c>
      <c r="DB93" s="19">
        <v>0</v>
      </c>
      <c r="DC93" s="19">
        <v>0</v>
      </c>
      <c r="DD93" s="19">
        <v>22.288836497298494</v>
      </c>
      <c r="DE93" s="23">
        <f>DataTable[[#This Row],[Sens_9]]/AVERAGEIF(DataTable[Strålkälla],DataTable[[#This Row],[Strålkälla]],DataTable[Sens_9])</f>
        <v>0.99642507826349125</v>
      </c>
      <c r="DF93" s="19">
        <v>1692</v>
      </c>
      <c r="DG93" s="19">
        <v>2068</v>
      </c>
      <c r="DH93" s="19">
        <v>0.1</v>
      </c>
      <c r="DI93" s="19">
        <v>0.04</v>
      </c>
      <c r="DJ93" s="19">
        <v>2.5999999999999999E-2</v>
      </c>
      <c r="DK93" s="19">
        <v>1904427</v>
      </c>
      <c r="DL93" s="19">
        <v>173</v>
      </c>
      <c r="DM93" s="19">
        <v>0</v>
      </c>
      <c r="DN93" s="19">
        <v>1</v>
      </c>
      <c r="DO93" s="19">
        <v>21.643683401050932</v>
      </c>
      <c r="DP93" s="23">
        <f>DataTable[[#This Row],[Sens_10]]/AVERAGEIF(DataTable[Strålkälla],DataTable[[#This Row],[Strålkälla]],DataTable[Sens_10])</f>
        <v>0.99758301951644346</v>
      </c>
      <c r="DQ93" s="19">
        <v>1407</v>
      </c>
      <c r="DR93" s="19">
        <v>1840</v>
      </c>
      <c r="DS93" s="19">
        <v>0.13300000000000001</v>
      </c>
      <c r="DT93" s="19">
        <v>3.9E-2</v>
      </c>
      <c r="DU93" s="19">
        <v>2.8000000000000001E-2</v>
      </c>
      <c r="DV93" s="19">
        <v>1673103</v>
      </c>
      <c r="DW93" s="19">
        <v>173</v>
      </c>
      <c r="DX93" s="19">
        <v>1</v>
      </c>
      <c r="DY93" s="19">
        <v>1</v>
      </c>
      <c r="DZ93" s="19">
        <v>19.014701865363449</v>
      </c>
      <c r="EA93" s="19">
        <f>DataTable[[#This Row],[Sens_11]]/AVERAGEIF(DataTable[Strålkälla],DataTable[[#This Row],[Strålkälla]],DataTable[Sens_11])</f>
        <v>0.99648328364337091</v>
      </c>
      <c r="EB93" s="19">
        <v>1766</v>
      </c>
      <c r="EC93" s="19">
        <v>2110</v>
      </c>
      <c r="ED93" s="19">
        <v>8.8999999999999996E-2</v>
      </c>
      <c r="EE93" s="19">
        <v>3.9E-2</v>
      </c>
      <c r="EF93" s="19">
        <v>2.7E-2</v>
      </c>
      <c r="EG93" s="19">
        <v>1989256</v>
      </c>
      <c r="EH93" s="19">
        <v>173</v>
      </c>
      <c r="EI93" s="19">
        <v>0</v>
      </c>
      <c r="EJ93" s="19">
        <v>0</v>
      </c>
      <c r="EK93" s="19">
        <v>22.607759219776327</v>
      </c>
      <c r="EL93" s="23">
        <f>DataTable[[#This Row],[Sens_12]]/AVERAGEIF(DataTable[Strålkälla],DataTable[[#This Row],[Strålkälla]],DataTable[Sens_12])</f>
        <v>0.99582642649464126</v>
      </c>
      <c r="EM93" s="19">
        <v>1502</v>
      </c>
      <c r="EN93" s="19">
        <v>1845</v>
      </c>
      <c r="EO93" s="19">
        <v>0.10199999999999999</v>
      </c>
      <c r="EP93" s="19">
        <v>3.4000000000000002E-2</v>
      </c>
      <c r="EQ93" s="19">
        <v>2.7E-2</v>
      </c>
      <c r="ER93" s="19">
        <v>1700528</v>
      </c>
      <c r="ES93" s="19">
        <v>186</v>
      </c>
      <c r="ET93" s="19">
        <v>0</v>
      </c>
      <c r="EU93" s="19">
        <v>1</v>
      </c>
      <c r="EV93" s="19">
        <v>17.975616273239165</v>
      </c>
      <c r="EW93" s="19">
        <f>DataTable[[#This Row],[Sens_13]]/AVERAGEIF(DataTable[Strålkälla],DataTable[[#This Row],[Strålkälla]],DataTable[Sens_13])</f>
        <v>0.99775848920152854</v>
      </c>
      <c r="EX93" s="19">
        <v>1234</v>
      </c>
      <c r="EY93" s="19">
        <v>1549</v>
      </c>
      <c r="EZ93" s="19">
        <v>0.113</v>
      </c>
      <c r="FA93" s="19">
        <v>4.1000000000000002E-2</v>
      </c>
      <c r="FB93" s="19">
        <v>0.03</v>
      </c>
      <c r="FC93" s="19">
        <v>1443290</v>
      </c>
      <c r="FD93" s="19">
        <v>186</v>
      </c>
      <c r="FE93" s="19">
        <v>1</v>
      </c>
      <c r="FF93" s="19">
        <v>0</v>
      </c>
      <c r="FG93" s="19">
        <v>15.25645400193549</v>
      </c>
      <c r="FH93" s="19">
        <f>DataTable[[#This Row],[Sens_14]]/AVERAGEIF(DataTable[Strålkälla],DataTable[[#This Row],[Strålkälla]],DataTable[Sens_14])</f>
        <v>0.99927160326807851</v>
      </c>
      <c r="FI93" s="19">
        <v>1446</v>
      </c>
      <c r="FJ93" s="19">
        <v>1755</v>
      </c>
      <c r="FK93" s="19">
        <v>9.7000000000000003E-2</v>
      </c>
      <c r="FL93" s="19">
        <v>4.5999999999999999E-2</v>
      </c>
      <c r="FM93" s="19">
        <v>2.8000000000000001E-2</v>
      </c>
      <c r="FN93" s="19">
        <v>1629868</v>
      </c>
      <c r="FO93" s="19">
        <v>186</v>
      </c>
      <c r="FP93" s="19">
        <v>0</v>
      </c>
      <c r="FQ93" s="19">
        <v>0</v>
      </c>
      <c r="FR93" s="19">
        <v>17.228697054110118</v>
      </c>
      <c r="FS93" s="19">
        <f>DataTable[[#This Row],[Sens_15]]/AVERAGEIF(DataTable[Strålkälla],DataTable[[#This Row],[Strålkälla]],DataTable[Sens_15])</f>
        <v>0.9973290438872936</v>
      </c>
      <c r="FT93" s="19">
        <v>1292</v>
      </c>
      <c r="FU93" s="19">
        <v>1568</v>
      </c>
      <c r="FV93" s="19">
        <v>9.7000000000000003E-2</v>
      </c>
      <c r="FW93" s="19">
        <v>4.2000000000000003E-2</v>
      </c>
      <c r="FX93" s="19">
        <v>2.9000000000000001E-2</v>
      </c>
      <c r="FY93" s="19">
        <v>1466399</v>
      </c>
      <c r="FZ93" s="19">
        <v>186</v>
      </c>
      <c r="GA93" s="19">
        <v>0</v>
      </c>
      <c r="GB93" s="19">
        <v>0</v>
      </c>
      <c r="GC93" s="19">
        <v>15.500730201126732</v>
      </c>
      <c r="GD93" s="19">
        <f>DataTable[[#This Row],[Sens_16]]/AVERAGEIF(DataTable[Strålkälla],DataTable[[#This Row],[Strålkälla]],DataTable[Sens_16])</f>
        <v>0.99733133007426689</v>
      </c>
      <c r="GE93" s="19">
        <v>1225</v>
      </c>
      <c r="GF93" s="19">
        <v>1514</v>
      </c>
      <c r="GG93" s="19">
        <v>0.106</v>
      </c>
      <c r="GH93" s="19">
        <v>4.3999999999999997E-2</v>
      </c>
      <c r="GI93" s="19">
        <v>3.1E-2</v>
      </c>
      <c r="GJ93" s="19">
        <v>1407320</v>
      </c>
      <c r="GK93" s="19">
        <v>186</v>
      </c>
      <c r="GL93" s="19">
        <v>0</v>
      </c>
      <c r="GM93" s="19">
        <v>0</v>
      </c>
      <c r="GN93" s="19">
        <v>14.876229202727002</v>
      </c>
      <c r="GO93" s="19">
        <f>DataTable[[#This Row],[Sens_17]]/AVERAGEIF(DataTable[Strålkälla],DataTable[[#This Row],[Strålkälla]],DataTable[Sens_17])</f>
        <v>0.99692229393889353</v>
      </c>
      <c r="GP93" s="19">
        <v>1436</v>
      </c>
      <c r="GQ93" s="19">
        <v>1749</v>
      </c>
      <c r="GR93" s="19">
        <v>9.8000000000000004E-2</v>
      </c>
      <c r="GS93" s="19">
        <v>4.1000000000000002E-2</v>
      </c>
      <c r="GT93" s="19">
        <v>2.8000000000000001E-2</v>
      </c>
      <c r="GU93" s="19">
        <v>1627939</v>
      </c>
      <c r="GV93" s="19">
        <v>186</v>
      </c>
      <c r="GW93" s="19">
        <v>0</v>
      </c>
      <c r="GX93" s="19">
        <v>0</v>
      </c>
      <c r="GY93" s="19">
        <v>17.208306349698855</v>
      </c>
      <c r="GZ93" s="19">
        <f>DataTable[[#This Row],[Sens_18]]/AVERAGEIF(DataTable[Strålkälla],DataTable[[#This Row],[Strålkälla]],DataTable[Sens_18])</f>
        <v>0.99661511101873501</v>
      </c>
      <c r="HA93" s="19">
        <v>1281</v>
      </c>
      <c r="HB93" s="19">
        <v>1607</v>
      </c>
      <c r="HC93" s="19">
        <v>0.113</v>
      </c>
      <c r="HD93" s="19">
        <v>5.3999999999999999E-2</v>
      </c>
      <c r="HE93" s="19">
        <v>0.03</v>
      </c>
      <c r="HF93" s="19">
        <v>1478487</v>
      </c>
      <c r="HG93" s="19">
        <v>186</v>
      </c>
      <c r="HH93" s="19">
        <v>0</v>
      </c>
      <c r="HI93" s="19">
        <v>0</v>
      </c>
      <c r="HJ93" s="19">
        <v>15.628507720527127</v>
      </c>
      <c r="HK93" s="19">
        <f>DataTable[[#This Row],[Sens_19]]/AVERAGEIF(DataTable[Strålkälla],DataTable[[#This Row],[Strålkälla]],DataTable[Sens_19])</f>
        <v>0.99882094662254461</v>
      </c>
      <c r="HL93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0.13300000000000001</v>
      </c>
      <c r="HM93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0.10094736842105263</v>
      </c>
      <c r="HN93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5.3999999999999999E-2</v>
      </c>
      <c r="HO93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4.0052631578947374E-2</v>
      </c>
      <c r="HP93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0.99582642649464126</v>
      </c>
      <c r="HQ93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0.99861390041626141</v>
      </c>
      <c r="HR93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1.0038453476726115</v>
      </c>
      <c r="HS93" s="49"/>
    </row>
    <row r="94" spans="2:227" x14ac:dyDescent="0.25">
      <c r="B94" s="19" t="s">
        <v>43</v>
      </c>
      <c r="C94" s="20">
        <v>42670</v>
      </c>
      <c r="D94" s="21">
        <v>0.32049768518518518</v>
      </c>
      <c r="E94" s="13" t="s">
        <v>217</v>
      </c>
      <c r="F94" s="13">
        <v>109.8</v>
      </c>
      <c r="G94" s="13">
        <v>134.19999999999999</v>
      </c>
      <c r="H94" s="24">
        <v>8.9655000000000005</v>
      </c>
      <c r="I94" s="22">
        <f>MATCH(DataTable[[#This Row],[Datum]],Övrigt!$D$10:$M$10,1)</f>
        <v>2</v>
      </c>
      <c r="J94" s="13"/>
      <c r="K94" s="22">
        <v>1770</v>
      </c>
      <c r="L94" s="22">
        <v>2214</v>
      </c>
      <c r="M94" s="23">
        <v>0.111</v>
      </c>
      <c r="N94" s="23">
        <v>3.9E-2</v>
      </c>
      <c r="O94" s="23">
        <v>2.5999999999999999E-2</v>
      </c>
      <c r="P94" s="22">
        <v>2032182</v>
      </c>
      <c r="Q94" s="24">
        <v>179</v>
      </c>
      <c r="R94" s="22">
        <v>1</v>
      </c>
      <c r="S94" s="22">
        <v>1</v>
      </c>
      <c r="T94" s="19">
        <v>22.37846541237159</v>
      </c>
      <c r="U94" s="23">
        <f>DataTable[[#This Row],[Sens_1]]/AVERAGEIF(DataTable[Strålkälla],DataTable[[#This Row],[Strålkälla]],DataTable[Sens_1])</f>
        <v>0.99861137892203389</v>
      </c>
      <c r="V94" s="22">
        <v>2184</v>
      </c>
      <c r="W94" s="22">
        <v>2593</v>
      </c>
      <c r="X94" s="23">
        <v>8.5999999999999993E-2</v>
      </c>
      <c r="Y94" s="23">
        <v>3.7999999999999999E-2</v>
      </c>
      <c r="Z94" s="23">
        <v>2.4E-2</v>
      </c>
      <c r="AA94" s="22">
        <v>2451623</v>
      </c>
      <c r="AB94" s="24">
        <v>179</v>
      </c>
      <c r="AC94" s="22">
        <v>0</v>
      </c>
      <c r="AD94" s="22">
        <v>0</v>
      </c>
      <c r="AE94" s="19">
        <v>26.99736564425562</v>
      </c>
      <c r="AF94" s="23">
        <f>DataTable[[#This Row],[Sens_2]]/AVERAGEIF(DataTable[Strålkälla],DataTable[[#This Row],[Strålkälla]],DataTable[Sens_2])</f>
        <v>0.99835294219824666</v>
      </c>
      <c r="AG94" s="22">
        <v>1924</v>
      </c>
      <c r="AH94" s="22">
        <v>2274</v>
      </c>
      <c r="AI94" s="23">
        <v>8.3000000000000004E-2</v>
      </c>
      <c r="AJ94" s="23">
        <v>3.6999999999999998E-2</v>
      </c>
      <c r="AK94" s="23">
        <v>2.5000000000000001E-2</v>
      </c>
      <c r="AL94" s="22">
        <v>2140745</v>
      </c>
      <c r="AM94" s="24">
        <v>179</v>
      </c>
      <c r="AN94" s="22">
        <v>0</v>
      </c>
      <c r="AO94" s="22">
        <v>0</v>
      </c>
      <c r="AP94" s="19">
        <v>23.573965294057039</v>
      </c>
      <c r="AQ94" s="23">
        <f>DataTable[[#This Row],[Sens_3]]/AVERAGEIF(DataTable[Strålkälla],DataTable[[#This Row],[Strålkälla]],DataTable[Sens_3])</f>
        <v>0.99833160587356806</v>
      </c>
      <c r="AR94" s="22">
        <v>1787</v>
      </c>
      <c r="AS94" s="22">
        <v>2175</v>
      </c>
      <c r="AT94" s="23">
        <v>9.8000000000000004E-2</v>
      </c>
      <c r="AU94" s="23">
        <v>4.1000000000000002E-2</v>
      </c>
      <c r="AV94" s="23">
        <v>2.5999999999999999E-2</v>
      </c>
      <c r="AW94" s="22">
        <v>2068402</v>
      </c>
      <c r="AX94" s="24">
        <v>179</v>
      </c>
      <c r="AY94" s="22">
        <v>1</v>
      </c>
      <c r="AZ94" s="22">
        <v>0</v>
      </c>
      <c r="BA94" s="19">
        <v>22.777321428828827</v>
      </c>
      <c r="BB94" s="23">
        <f>DataTable[[#This Row],[Sens_4]]/AVERAGEIF(DataTable[Strålkälla],DataTable[[#This Row],[Strålkälla]],DataTable[Sens_4])</f>
        <v>0.99684722436860862</v>
      </c>
      <c r="BC94" s="22">
        <v>2061</v>
      </c>
      <c r="BD94" s="22">
        <v>2480</v>
      </c>
      <c r="BE94" s="19">
        <v>9.1999999999999998E-2</v>
      </c>
      <c r="BF94" s="19">
        <v>4.9000000000000002E-2</v>
      </c>
      <c r="BG94" s="19">
        <v>2.4E-2</v>
      </c>
      <c r="BH94" s="19">
        <v>2328025</v>
      </c>
      <c r="BI94" s="19">
        <v>179</v>
      </c>
      <c r="BJ94" s="19">
        <v>0</v>
      </c>
      <c r="BK94" s="19">
        <v>0</v>
      </c>
      <c r="BL94" s="19">
        <v>25.636299771199809</v>
      </c>
      <c r="BM94" s="23">
        <f>DataTable[[#This Row],[Sens_5]]/AVERAGEIF(DataTable[Strålkälla],DataTable[[#This Row],[Strålkälla]],DataTable[Sens_5])</f>
        <v>0.99621854033022594</v>
      </c>
      <c r="BN94" s="19">
        <v>2118</v>
      </c>
      <c r="BO94" s="19">
        <v>2508</v>
      </c>
      <c r="BP94" s="19">
        <v>8.4000000000000005E-2</v>
      </c>
      <c r="BQ94" s="19">
        <v>4.1000000000000002E-2</v>
      </c>
      <c r="BR94" s="19">
        <v>2.4E-2</v>
      </c>
      <c r="BS94" s="19">
        <v>2333385</v>
      </c>
      <c r="BT94" s="19">
        <v>179</v>
      </c>
      <c r="BU94" s="19">
        <v>0</v>
      </c>
      <c r="BV94" s="19">
        <v>1</v>
      </c>
      <c r="BW94" s="19">
        <v>25.695324294894199</v>
      </c>
      <c r="BX94" s="23">
        <f>DataTable[[#This Row],[Sens_6]]/AVERAGEIF(DataTable[Strålkälla],DataTable[[#This Row],[Strålkälla]],DataTable[Sens_6])</f>
        <v>0.99886685273648657</v>
      </c>
      <c r="BY94" s="19">
        <v>1822</v>
      </c>
      <c r="BZ94" s="19">
        <v>2266</v>
      </c>
      <c r="CA94" s="19">
        <v>0.109</v>
      </c>
      <c r="CB94" s="19">
        <v>4.2000000000000003E-2</v>
      </c>
      <c r="CC94" s="19">
        <v>2.7E-2</v>
      </c>
      <c r="CD94" s="19">
        <v>2071548</v>
      </c>
      <c r="CE94" s="19">
        <v>179</v>
      </c>
      <c r="CF94" s="19">
        <v>0</v>
      </c>
      <c r="CG94" s="19">
        <v>2</v>
      </c>
      <c r="CH94" s="19">
        <v>22.811965300385271</v>
      </c>
      <c r="CI94" s="23">
        <f>DataTable[[#This Row],[Sens_7]]/AVERAGEIF(DataTable[Strålkälla],DataTable[[#This Row],[Strålkälla]],DataTable[Sens_7])</f>
        <v>0.9976605465785775</v>
      </c>
      <c r="CJ94" s="19">
        <v>2168</v>
      </c>
      <c r="CK94" s="19">
        <v>2589</v>
      </c>
      <c r="CL94" s="19">
        <v>8.8999999999999996E-2</v>
      </c>
      <c r="CM94" s="19">
        <v>3.7999999999999999E-2</v>
      </c>
      <c r="CN94" s="19">
        <v>2.4E-2</v>
      </c>
      <c r="CO94" s="19">
        <v>2441322</v>
      </c>
      <c r="CP94" s="19">
        <v>179</v>
      </c>
      <c r="CQ94" s="19">
        <v>0</v>
      </c>
      <c r="CR94" s="19">
        <v>0</v>
      </c>
      <c r="CS94" s="19">
        <v>26.883930640789966</v>
      </c>
      <c r="CT94" s="23">
        <f>DataTable[[#This Row],[Sens_8]]/AVERAGEIF(DataTable[Strålkälla],DataTable[[#This Row],[Strålkälla]],DataTable[Sens_8])</f>
        <v>0.99502501468128812</v>
      </c>
      <c r="CU94" s="19">
        <v>1680</v>
      </c>
      <c r="CV94" s="19">
        <v>2093</v>
      </c>
      <c r="CW94" s="19">
        <v>0.109</v>
      </c>
      <c r="CX94" s="19">
        <v>3.5000000000000003E-2</v>
      </c>
      <c r="CY94" s="19">
        <v>2.5999999999999999E-2</v>
      </c>
      <c r="CZ94" s="19">
        <v>1960865</v>
      </c>
      <c r="DA94" s="19">
        <v>173</v>
      </c>
      <c r="DB94" s="19">
        <v>1</v>
      </c>
      <c r="DC94" s="19">
        <v>0</v>
      </c>
      <c r="DD94" s="19">
        <v>22.342014229861327</v>
      </c>
      <c r="DE94" s="23">
        <f>DataTable[[#This Row],[Sens_9]]/AVERAGEIF(DataTable[Strålkälla],DataTable[[#This Row],[Strålkälla]],DataTable[Sens_9])</f>
        <v>0.99880239510267299</v>
      </c>
      <c r="DF94" s="19">
        <v>1686</v>
      </c>
      <c r="DG94" s="19">
        <v>2016</v>
      </c>
      <c r="DH94" s="19">
        <v>8.8999999999999996E-2</v>
      </c>
      <c r="DI94" s="19">
        <v>3.5999999999999997E-2</v>
      </c>
      <c r="DJ94" s="19">
        <v>2.5999999999999999E-2</v>
      </c>
      <c r="DK94" s="19">
        <v>1904540</v>
      </c>
      <c r="DL94" s="19">
        <v>173</v>
      </c>
      <c r="DM94" s="19">
        <v>0</v>
      </c>
      <c r="DN94" s="19">
        <v>0</v>
      </c>
      <c r="DO94" s="19">
        <v>21.700249523215565</v>
      </c>
      <c r="DP94" s="23">
        <f>DataTable[[#This Row],[Sens_10]]/AVERAGEIF(DataTable[Strålkälla],DataTable[[#This Row],[Strålkälla]],DataTable[Sens_10])</f>
        <v>1.00019021912779</v>
      </c>
      <c r="DQ94" s="19">
        <v>1489</v>
      </c>
      <c r="DR94" s="19">
        <v>1814</v>
      </c>
      <c r="DS94" s="19">
        <v>9.8000000000000004E-2</v>
      </c>
      <c r="DT94" s="19">
        <v>5.3999999999999999E-2</v>
      </c>
      <c r="DU94" s="19">
        <v>2.7E-2</v>
      </c>
      <c r="DV94" s="19">
        <v>1673435</v>
      </c>
      <c r="DW94" s="19">
        <v>173</v>
      </c>
      <c r="DX94" s="19">
        <v>0</v>
      </c>
      <c r="DY94" s="19">
        <v>1</v>
      </c>
      <c r="DZ94" s="19">
        <v>19.067048768144666</v>
      </c>
      <c r="EA94" s="19">
        <f>DataTable[[#This Row],[Sens_11]]/AVERAGEIF(DataTable[Strålkälla],DataTable[[#This Row],[Strålkälla]],DataTable[Sens_11])</f>
        <v>0.99922657217565158</v>
      </c>
      <c r="EB94" s="19">
        <v>1775</v>
      </c>
      <c r="EC94" s="19">
        <v>2159</v>
      </c>
      <c r="ED94" s="19">
        <v>9.8000000000000004E-2</v>
      </c>
      <c r="EE94" s="19">
        <v>4.2000000000000003E-2</v>
      </c>
      <c r="EF94" s="19">
        <v>2.7E-2</v>
      </c>
      <c r="EG94" s="19">
        <v>1990942</v>
      </c>
      <c r="EH94" s="19">
        <v>173</v>
      </c>
      <c r="EI94" s="19">
        <v>0</v>
      </c>
      <c r="EJ94" s="19">
        <v>1</v>
      </c>
      <c r="EK94" s="19">
        <v>22.684710316533042</v>
      </c>
      <c r="EL94" s="23">
        <f>DataTable[[#This Row],[Sens_12]]/AVERAGEIF(DataTable[Strålkälla],DataTable[[#This Row],[Strålkälla]],DataTable[Sens_12])</f>
        <v>0.99921596788851152</v>
      </c>
      <c r="EM94" s="19">
        <v>1492</v>
      </c>
      <c r="EN94" s="19">
        <v>1837</v>
      </c>
      <c r="EO94" s="19">
        <v>0.104</v>
      </c>
      <c r="EP94" s="19">
        <v>4.2000000000000003E-2</v>
      </c>
      <c r="EQ94" s="19">
        <v>2.7E-2</v>
      </c>
      <c r="ER94" s="19">
        <v>1698459</v>
      </c>
      <c r="ES94" s="19">
        <v>186</v>
      </c>
      <c r="ET94" s="19">
        <v>0</v>
      </c>
      <c r="EU94" s="19">
        <v>0</v>
      </c>
      <c r="EV94" s="19">
        <v>17.999600078851074</v>
      </c>
      <c r="EW94" s="19">
        <f>DataTable[[#This Row],[Sens_13]]/AVERAGEIF(DataTable[Strålkälla],DataTable[[#This Row],[Strålkälla]],DataTable[Sens_13])</f>
        <v>0.99908973956251146</v>
      </c>
      <c r="EX94" s="19">
        <v>1282</v>
      </c>
      <c r="EY94" s="19">
        <v>1582</v>
      </c>
      <c r="EZ94" s="19">
        <v>0.105</v>
      </c>
      <c r="FA94" s="19">
        <v>4.4999999999999998E-2</v>
      </c>
      <c r="FB94" s="19">
        <v>2.9000000000000001E-2</v>
      </c>
      <c r="FC94" s="19">
        <v>1442303</v>
      </c>
      <c r="FD94" s="19">
        <v>186</v>
      </c>
      <c r="FE94" s="19">
        <v>0</v>
      </c>
      <c r="FF94" s="19">
        <v>1</v>
      </c>
      <c r="FG94" s="19">
        <v>15.284959597215559</v>
      </c>
      <c r="FH94" s="19">
        <f>DataTable[[#This Row],[Sens_14]]/AVERAGEIF(DataTable[Strålkälla],DataTable[[#This Row],[Strålkälla]],DataTable[Sens_14])</f>
        <v>1.0011386709296737</v>
      </c>
      <c r="FI94" s="19">
        <v>1462</v>
      </c>
      <c r="FJ94" s="19">
        <v>1743</v>
      </c>
      <c r="FK94" s="19">
        <v>8.7999999999999995E-2</v>
      </c>
      <c r="FL94" s="19">
        <v>4.5999999999999999E-2</v>
      </c>
      <c r="FM94" s="19">
        <v>2.7E-2</v>
      </c>
      <c r="FN94" s="19">
        <v>1630675</v>
      </c>
      <c r="FO94" s="19">
        <v>186</v>
      </c>
      <c r="FP94" s="19">
        <v>0</v>
      </c>
      <c r="FQ94" s="19">
        <v>0</v>
      </c>
      <c r="FR94" s="19">
        <v>17.281251922230961</v>
      </c>
      <c r="FS94" s="19">
        <f>DataTable[[#This Row],[Sens_15]]/AVERAGEIF(DataTable[Strålkälla],DataTable[[#This Row],[Strålkälla]],DataTable[Sens_15])</f>
        <v>1.0003713224885113</v>
      </c>
      <c r="FT94" s="19">
        <v>1259</v>
      </c>
      <c r="FU94" s="19">
        <v>1582</v>
      </c>
      <c r="FV94" s="19">
        <v>0.114</v>
      </c>
      <c r="FW94" s="19">
        <v>4.2000000000000003E-2</v>
      </c>
      <c r="FX94" s="19">
        <v>0.03</v>
      </c>
      <c r="FY94" s="19">
        <v>1464433</v>
      </c>
      <c r="FZ94" s="19">
        <v>186</v>
      </c>
      <c r="GA94" s="19">
        <v>0</v>
      </c>
      <c r="GB94" s="19">
        <v>0</v>
      </c>
      <c r="GC94" s="19">
        <v>15.519484628284884</v>
      </c>
      <c r="GD94" s="19">
        <f>DataTable[[#This Row],[Sens_16]]/AVERAGEIF(DataTable[Strålkälla],DataTable[[#This Row],[Strålkälla]],DataTable[Sens_16])</f>
        <v>0.99853800727848407</v>
      </c>
      <c r="GE94" s="19">
        <v>1229</v>
      </c>
      <c r="GF94" s="19">
        <v>1495</v>
      </c>
      <c r="GG94" s="19">
        <v>9.8000000000000004E-2</v>
      </c>
      <c r="GH94" s="19">
        <v>3.5000000000000003E-2</v>
      </c>
      <c r="GI94" s="19">
        <v>2.9000000000000001E-2</v>
      </c>
      <c r="GJ94" s="19">
        <v>1408318</v>
      </c>
      <c r="GK94" s="19">
        <v>186</v>
      </c>
      <c r="GL94" s="19">
        <v>0</v>
      </c>
      <c r="GM94" s="19">
        <v>0</v>
      </c>
      <c r="GN94" s="19">
        <v>14.924799941504263</v>
      </c>
      <c r="GO94" s="19">
        <f>DataTable[[#This Row],[Sens_17]]/AVERAGEIF(DataTable[Strålkälla],DataTable[[#This Row],[Strålkälla]],DataTable[Sens_17])</f>
        <v>1.0001772352052769</v>
      </c>
      <c r="GP94" s="19">
        <v>1422</v>
      </c>
      <c r="GQ94" s="19">
        <v>1734</v>
      </c>
      <c r="GR94" s="19">
        <v>9.9000000000000005E-2</v>
      </c>
      <c r="GS94" s="19">
        <v>3.9E-2</v>
      </c>
      <c r="GT94" s="19">
        <v>2.8000000000000001E-2</v>
      </c>
      <c r="GU94" s="19">
        <v>1629019</v>
      </c>
      <c r="GV94" s="19">
        <v>186</v>
      </c>
      <c r="GW94" s="19">
        <v>0</v>
      </c>
      <c r="GX94" s="19">
        <v>0</v>
      </c>
      <c r="GY94" s="19">
        <v>17.263702285925007</v>
      </c>
      <c r="GZ94" s="19">
        <f>DataTable[[#This Row],[Sens_18]]/AVERAGEIF(DataTable[Strålkälla],DataTable[[#This Row],[Strålkälla]],DataTable[Sens_18])</f>
        <v>0.99982335394573174</v>
      </c>
      <c r="HA94" s="19">
        <v>1292</v>
      </c>
      <c r="HB94" s="19">
        <v>1659</v>
      </c>
      <c r="HC94" s="19">
        <v>0.124</v>
      </c>
      <c r="HD94" s="19">
        <v>6.2E-2</v>
      </c>
      <c r="HE94" s="19">
        <v>0.03</v>
      </c>
      <c r="HF94" s="19">
        <v>1481870</v>
      </c>
      <c r="HG94" s="19">
        <v>186</v>
      </c>
      <c r="HH94" s="19">
        <v>0</v>
      </c>
      <c r="HI94" s="19">
        <v>2</v>
      </c>
      <c r="HJ94" s="19">
        <v>15.704275092214203</v>
      </c>
      <c r="HK94" s="19">
        <f>DataTable[[#This Row],[Sens_19]]/AVERAGEIF(DataTable[Strålkälla],DataTable[[#This Row],[Strålkälla]],DataTable[Sens_19])</f>
        <v>1.0036632539793877</v>
      </c>
      <c r="HL94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0.124</v>
      </c>
      <c r="HM94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9.8842105263157898E-2</v>
      </c>
      <c r="HN94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6.2E-2</v>
      </c>
      <c r="HO94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4.226315789473685E-2</v>
      </c>
      <c r="HP94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0.99502501468128812</v>
      </c>
      <c r="HQ94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0.99895530754595985</v>
      </c>
      <c r="HR94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1.0036632539793877</v>
      </c>
      <c r="HS94" s="49"/>
    </row>
    <row r="95" spans="2:227" x14ac:dyDescent="0.25">
      <c r="B95" s="19" t="s">
        <v>43</v>
      </c>
      <c r="C95" s="20">
        <v>42674</v>
      </c>
      <c r="D95" s="21">
        <v>0.36021990740740745</v>
      </c>
      <c r="E95" s="13" t="s">
        <v>217</v>
      </c>
      <c r="F95" s="13">
        <v>109.8</v>
      </c>
      <c r="G95" s="13">
        <v>134.19999999999999</v>
      </c>
      <c r="H95" s="24">
        <v>9.0725999999999996</v>
      </c>
      <c r="I95" s="22">
        <f>MATCH(DataTable[[#This Row],[Datum]],Övrigt!$D$10:$M$10,1)</f>
        <v>2</v>
      </c>
      <c r="J95" s="13"/>
      <c r="K95" s="22">
        <v>1830</v>
      </c>
      <c r="L95" s="22">
        <v>2178</v>
      </c>
      <c r="M95" s="23">
        <v>8.6999999999999994E-2</v>
      </c>
      <c r="N95" s="23">
        <v>4.5999999999999999E-2</v>
      </c>
      <c r="O95" s="23">
        <v>2.5000000000000001E-2</v>
      </c>
      <c r="P95" s="22">
        <v>2033788</v>
      </c>
      <c r="Q95" s="24">
        <v>181</v>
      </c>
      <c r="R95" s="22">
        <v>0</v>
      </c>
      <c r="S95" s="22">
        <v>0</v>
      </c>
      <c r="T95" s="19">
        <v>22.375821325996863</v>
      </c>
      <c r="U95" s="23">
        <f>DataTable[[#This Row],[Sens_1]]/AVERAGEIF(DataTable[Strålkälla],DataTable[[#This Row],[Strålkälla]],DataTable[Sens_1])</f>
        <v>0.99849338983332736</v>
      </c>
      <c r="V95" s="22">
        <v>2178</v>
      </c>
      <c r="W95" s="22">
        <v>2587</v>
      </c>
      <c r="X95" s="23">
        <v>8.5999999999999993E-2</v>
      </c>
      <c r="Y95" s="23">
        <v>3.5999999999999997E-2</v>
      </c>
      <c r="Z95" s="23">
        <v>2.4E-2</v>
      </c>
      <c r="AA95" s="22">
        <v>2448222</v>
      </c>
      <c r="AB95" s="24">
        <v>181</v>
      </c>
      <c r="AC95" s="22">
        <v>0</v>
      </c>
      <c r="AD95" s="22">
        <v>0</v>
      </c>
      <c r="AE95" s="19">
        <v>26.935441667654</v>
      </c>
      <c r="AF95" s="23">
        <f>DataTable[[#This Row],[Sens_2]]/AVERAGEIF(DataTable[Strålkälla],DataTable[[#This Row],[Strålkälla]],DataTable[Sens_2])</f>
        <v>0.99606301565328403</v>
      </c>
      <c r="AG95" s="22">
        <v>1898</v>
      </c>
      <c r="AH95" s="22">
        <v>2232</v>
      </c>
      <c r="AI95" s="23">
        <v>8.1000000000000003E-2</v>
      </c>
      <c r="AJ95" s="23">
        <v>0.03</v>
      </c>
      <c r="AK95" s="23">
        <v>2.5000000000000001E-2</v>
      </c>
      <c r="AL95" s="22">
        <v>2141160</v>
      </c>
      <c r="AM95" s="24">
        <v>181</v>
      </c>
      <c r="AN95" s="22">
        <v>0</v>
      </c>
      <c r="AO95" s="22">
        <v>0</v>
      </c>
      <c r="AP95" s="19">
        <v>23.557132597090476</v>
      </c>
      <c r="AQ95" s="23">
        <f>DataTable[[#This Row],[Sens_3]]/AVERAGEIF(DataTable[Strålkälla],DataTable[[#This Row],[Strålkälla]],DataTable[Sens_3])</f>
        <v>0.99761875959657587</v>
      </c>
      <c r="AR95" s="22">
        <v>1817</v>
      </c>
      <c r="AS95" s="22">
        <v>2204</v>
      </c>
      <c r="AT95" s="23">
        <v>9.6000000000000002E-2</v>
      </c>
      <c r="AU95" s="23">
        <v>0.04</v>
      </c>
      <c r="AV95" s="23">
        <v>2.5000000000000001E-2</v>
      </c>
      <c r="AW95" s="22">
        <v>2067529</v>
      </c>
      <c r="AX95" s="24">
        <v>181</v>
      </c>
      <c r="AY95" s="22">
        <v>0</v>
      </c>
      <c r="AZ95" s="22">
        <v>0</v>
      </c>
      <c r="BA95" s="19">
        <v>22.747041230608584</v>
      </c>
      <c r="BB95" s="23">
        <f>DataTable[[#This Row],[Sens_4]]/AVERAGEIF(DataTable[Strålkälla],DataTable[[#This Row],[Strålkälla]],DataTable[Sens_4])</f>
        <v>0.99552201448194577</v>
      </c>
      <c r="BC95" s="22">
        <v>2075</v>
      </c>
      <c r="BD95" s="22">
        <v>2464</v>
      </c>
      <c r="BE95" s="19">
        <v>8.5999999999999993E-2</v>
      </c>
      <c r="BF95" s="19">
        <v>3.5000000000000003E-2</v>
      </c>
      <c r="BG95" s="19">
        <v>2.3E-2</v>
      </c>
      <c r="BH95" s="19">
        <v>2324870</v>
      </c>
      <c r="BI95" s="19">
        <v>181</v>
      </c>
      <c r="BJ95" s="19">
        <v>0</v>
      </c>
      <c r="BK95" s="19">
        <v>0</v>
      </c>
      <c r="BL95" s="19">
        <v>25.578317762800413</v>
      </c>
      <c r="BM95" s="23">
        <f>DataTable[[#This Row],[Sens_5]]/AVERAGEIF(DataTable[Strålkälla],DataTable[[#This Row],[Strålkälla]],DataTable[Sens_5])</f>
        <v>0.99396537773310456</v>
      </c>
      <c r="BN95" s="19">
        <v>2043</v>
      </c>
      <c r="BO95" s="19">
        <v>2488</v>
      </c>
      <c r="BP95" s="19">
        <v>9.8000000000000004E-2</v>
      </c>
      <c r="BQ95" s="19">
        <v>3.3000000000000002E-2</v>
      </c>
      <c r="BR95" s="19">
        <v>2.4E-2</v>
      </c>
      <c r="BS95" s="19">
        <v>2327126</v>
      </c>
      <c r="BT95" s="19">
        <v>181</v>
      </c>
      <c r="BU95" s="19">
        <v>1</v>
      </c>
      <c r="BV95" s="19">
        <v>0</v>
      </c>
      <c r="BW95" s="19">
        <v>25.603138369919471</v>
      </c>
      <c r="BX95" s="23">
        <f>DataTable[[#This Row],[Sens_6]]/AVERAGEIF(DataTable[Strålkälla],DataTable[[#This Row],[Strålkälla]],DataTable[Sens_6])</f>
        <v>0.99528326438829795</v>
      </c>
      <c r="BY95" s="19">
        <v>1816</v>
      </c>
      <c r="BZ95" s="19">
        <v>2232</v>
      </c>
      <c r="CA95" s="19">
        <v>0.10299999999999999</v>
      </c>
      <c r="CB95" s="19">
        <v>4.2000000000000003E-2</v>
      </c>
      <c r="CC95" s="19">
        <v>2.5999999999999999E-2</v>
      </c>
      <c r="CD95" s="19">
        <v>2073054</v>
      </c>
      <c r="CE95" s="19">
        <v>181</v>
      </c>
      <c r="CF95" s="19">
        <v>0</v>
      </c>
      <c r="CG95" s="19">
        <v>0</v>
      </c>
      <c r="CH95" s="19">
        <v>22.807827513557513</v>
      </c>
      <c r="CI95" s="23">
        <f>DataTable[[#This Row],[Sens_7]]/AVERAGEIF(DataTable[Strålkälla],DataTable[[#This Row],[Strålkälla]],DataTable[Sens_7])</f>
        <v>0.99747958423649741</v>
      </c>
      <c r="CJ95" s="19">
        <v>2135</v>
      </c>
      <c r="CK95" s="19">
        <v>2596</v>
      </c>
      <c r="CL95" s="19">
        <v>9.7000000000000003E-2</v>
      </c>
      <c r="CM95" s="19">
        <v>4.1000000000000002E-2</v>
      </c>
      <c r="CN95" s="19">
        <v>2.4E-2</v>
      </c>
      <c r="CO95" s="19">
        <v>2451413</v>
      </c>
      <c r="CP95" s="19">
        <v>181</v>
      </c>
      <c r="CQ95" s="19">
        <v>3</v>
      </c>
      <c r="CR95" s="19">
        <v>0</v>
      </c>
      <c r="CS95" s="19">
        <v>26.970549184195182</v>
      </c>
      <c r="CT95" s="23">
        <f>DataTable[[#This Row],[Sens_8]]/AVERAGEIF(DataTable[Strålkälla],DataTable[[#This Row],[Strålkälla]],DataTable[Sens_8])</f>
        <v>0.99823093045956635</v>
      </c>
      <c r="CU95" s="19">
        <v>1758</v>
      </c>
      <c r="CV95" s="19">
        <v>2153</v>
      </c>
      <c r="CW95" s="19">
        <v>0.10100000000000001</v>
      </c>
      <c r="CX95" s="19">
        <v>0.04</v>
      </c>
      <c r="CY95" s="19">
        <v>2.5999999999999999E-2</v>
      </c>
      <c r="CZ95" s="19">
        <v>1963129</v>
      </c>
      <c r="DA95" s="19">
        <v>175</v>
      </c>
      <c r="DB95" s="19">
        <v>0</v>
      </c>
      <c r="DC95" s="19">
        <v>1</v>
      </c>
      <c r="DD95" s="19">
        <v>22.338945561239292</v>
      </c>
      <c r="DE95" s="23">
        <f>DataTable[[#This Row],[Sens_9]]/AVERAGEIF(DataTable[Strålkälla],DataTable[[#This Row],[Strålkälla]],DataTable[Sens_9])</f>
        <v>0.99866520990809149</v>
      </c>
      <c r="DF95" s="19">
        <v>1721</v>
      </c>
      <c r="DG95" s="19">
        <v>2018</v>
      </c>
      <c r="DH95" s="19">
        <v>7.9000000000000001E-2</v>
      </c>
      <c r="DI95" s="19">
        <v>4.2999999999999997E-2</v>
      </c>
      <c r="DJ95" s="19">
        <v>2.5000000000000001E-2</v>
      </c>
      <c r="DK95" s="19">
        <v>1901625</v>
      </c>
      <c r="DL95" s="19">
        <v>175</v>
      </c>
      <c r="DM95" s="19">
        <v>0</v>
      </c>
      <c r="DN95" s="19">
        <v>0</v>
      </c>
      <c r="DO95" s="19">
        <v>21.639075859452777</v>
      </c>
      <c r="DP95" s="23">
        <f>DataTable[[#This Row],[Sens_10]]/AVERAGEIF(DataTable[Strålkälla],DataTable[[#This Row],[Strålkälla]],DataTable[Sens_10])</f>
        <v>0.99737065246343937</v>
      </c>
      <c r="DQ95" s="19">
        <v>1476</v>
      </c>
      <c r="DR95" s="19">
        <v>1872</v>
      </c>
      <c r="DS95" s="19">
        <v>0.11799999999999999</v>
      </c>
      <c r="DT95" s="19">
        <v>5.2999999999999999E-2</v>
      </c>
      <c r="DU95" s="19">
        <v>2.7E-2</v>
      </c>
      <c r="DV95" s="19">
        <v>1673953</v>
      </c>
      <c r="DW95" s="19">
        <v>175</v>
      </c>
      <c r="DX95" s="19">
        <v>0</v>
      </c>
      <c r="DY95" s="19">
        <v>1</v>
      </c>
      <c r="DZ95" s="19">
        <v>19.048338106702715</v>
      </c>
      <c r="EA95" s="19">
        <f>DataTable[[#This Row],[Sens_11]]/AVERAGEIF(DataTable[Strålkälla],DataTable[[#This Row],[Strålkälla]],DataTable[Sens_11])</f>
        <v>0.99824602241553273</v>
      </c>
      <c r="EB95" s="19">
        <v>1763</v>
      </c>
      <c r="EC95" s="19">
        <v>2127</v>
      </c>
      <c r="ED95" s="19">
        <v>9.4E-2</v>
      </c>
      <c r="EE95" s="19">
        <v>0.04</v>
      </c>
      <c r="EF95" s="19">
        <v>2.5999999999999999E-2</v>
      </c>
      <c r="EG95" s="19">
        <v>1990838</v>
      </c>
      <c r="EH95" s="19">
        <v>175</v>
      </c>
      <c r="EI95" s="19">
        <v>0</v>
      </c>
      <c r="EJ95" s="19">
        <v>0</v>
      </c>
      <c r="EK95" s="19">
        <v>22.654253339055412</v>
      </c>
      <c r="EL95" s="23">
        <f>DataTable[[#This Row],[Sens_12]]/AVERAGEIF(DataTable[Strålkälla],DataTable[[#This Row],[Strålkälla]],DataTable[Sens_12])</f>
        <v>0.99787439914883547</v>
      </c>
      <c r="EM95" s="19">
        <v>1475</v>
      </c>
      <c r="EN95" s="19">
        <v>1816</v>
      </c>
      <c r="EO95" s="19">
        <v>0.104</v>
      </c>
      <c r="EP95" s="19">
        <v>3.7999999999999999E-2</v>
      </c>
      <c r="EQ95" s="19">
        <v>2.7E-2</v>
      </c>
      <c r="ER95" s="19">
        <v>1701812</v>
      </c>
      <c r="ES95" s="19">
        <v>189</v>
      </c>
      <c r="ET95" s="19">
        <v>1</v>
      </c>
      <c r="EU95" s="19">
        <v>0</v>
      </c>
      <c r="EV95" s="19">
        <v>17.9308821970133</v>
      </c>
      <c r="EW95" s="19">
        <f>DataTable[[#This Row],[Sens_13]]/AVERAGEIF(DataTable[Strålkälla],DataTable[[#This Row],[Strålkälla]],DataTable[Sens_13])</f>
        <v>0.99527546978052583</v>
      </c>
      <c r="EX95" s="19">
        <v>1254</v>
      </c>
      <c r="EY95" s="19">
        <v>1568</v>
      </c>
      <c r="EZ95" s="19">
        <v>0.111</v>
      </c>
      <c r="FA95" s="19">
        <v>4.8000000000000001E-2</v>
      </c>
      <c r="FB95" s="19">
        <v>3.1E-2</v>
      </c>
      <c r="FC95" s="19">
        <v>1438948</v>
      </c>
      <c r="FD95" s="19">
        <v>189</v>
      </c>
      <c r="FE95" s="19">
        <v>0</v>
      </c>
      <c r="FF95" s="19">
        <v>0</v>
      </c>
      <c r="FG95" s="19">
        <v>15.16125581182169</v>
      </c>
      <c r="FH95" s="19">
        <f>DataTable[[#This Row],[Sens_14]]/AVERAGEIF(DataTable[Strålkälla],DataTable[[#This Row],[Strålkälla]],DataTable[Sens_14])</f>
        <v>0.99303628488733497</v>
      </c>
      <c r="FI95" s="19">
        <v>1455</v>
      </c>
      <c r="FJ95" s="19">
        <v>1754</v>
      </c>
      <c r="FK95" s="19">
        <v>9.2999999999999999E-2</v>
      </c>
      <c r="FL95" s="19">
        <v>3.7999999999999999E-2</v>
      </c>
      <c r="FM95" s="19">
        <v>2.7E-2</v>
      </c>
      <c r="FN95" s="19">
        <v>1630617</v>
      </c>
      <c r="FO95" s="19">
        <v>189</v>
      </c>
      <c r="FP95" s="19">
        <v>0</v>
      </c>
      <c r="FQ95" s="19">
        <v>0</v>
      </c>
      <c r="FR95" s="19">
        <v>17.180746954097888</v>
      </c>
      <c r="FS95" s="19">
        <f>DataTable[[#This Row],[Sens_15]]/AVERAGEIF(DataTable[Strålkälla],DataTable[[#This Row],[Strålkälla]],DataTable[Sens_15])</f>
        <v>0.99455332455986556</v>
      </c>
      <c r="FT95" s="19">
        <v>1310</v>
      </c>
      <c r="FU95" s="19">
        <v>1567</v>
      </c>
      <c r="FV95" s="19">
        <v>8.8999999999999996E-2</v>
      </c>
      <c r="FW95" s="19">
        <v>3.4000000000000002E-2</v>
      </c>
      <c r="FX95" s="19">
        <v>2.8000000000000001E-2</v>
      </c>
      <c r="FY95" s="19">
        <v>1465953</v>
      </c>
      <c r="FZ95" s="19">
        <v>189</v>
      </c>
      <c r="GA95" s="19">
        <v>0</v>
      </c>
      <c r="GB95" s="19">
        <v>0</v>
      </c>
      <c r="GC95" s="19">
        <v>15.44578986947926</v>
      </c>
      <c r="GD95" s="19">
        <f>DataTable[[#This Row],[Sens_16]]/AVERAGEIF(DataTable[Strålkälla],DataTable[[#This Row],[Strålkälla]],DataTable[Sens_16])</f>
        <v>0.99379641827813026</v>
      </c>
      <c r="GE95" s="19">
        <v>1221</v>
      </c>
      <c r="GF95" s="19">
        <v>1498</v>
      </c>
      <c r="GG95" s="19">
        <v>0.10199999999999999</v>
      </c>
      <c r="GH95" s="19">
        <v>5.5E-2</v>
      </c>
      <c r="GI95" s="19">
        <v>2.9000000000000001E-2</v>
      </c>
      <c r="GJ95" s="19">
        <v>1407190</v>
      </c>
      <c r="GK95" s="19">
        <v>189</v>
      </c>
      <c r="GL95" s="19">
        <v>0</v>
      </c>
      <c r="GM95" s="19">
        <v>0</v>
      </c>
      <c r="GN95" s="19">
        <v>14.826642495654717</v>
      </c>
      <c r="GO95" s="19">
        <f>DataTable[[#This Row],[Sens_17]]/AVERAGEIF(DataTable[Strålkälla],DataTable[[#This Row],[Strålkälla]],DataTable[Sens_17])</f>
        <v>0.99359926811765142</v>
      </c>
      <c r="GP95" s="19">
        <v>1438</v>
      </c>
      <c r="GQ95" s="19">
        <v>1751</v>
      </c>
      <c r="GR95" s="19">
        <v>9.8000000000000004E-2</v>
      </c>
      <c r="GS95" s="19">
        <v>3.6999999999999998E-2</v>
      </c>
      <c r="GT95" s="19">
        <v>2.9000000000000001E-2</v>
      </c>
      <c r="GU95" s="19">
        <v>1630315</v>
      </c>
      <c r="GV95" s="19">
        <v>189</v>
      </c>
      <c r="GW95" s="19">
        <v>0</v>
      </c>
      <c r="GX95" s="19">
        <v>0</v>
      </c>
      <c r="GY95" s="19">
        <v>17.177564977226471</v>
      </c>
      <c r="GZ95" s="19">
        <f>DataTable[[#This Row],[Sens_18]]/AVERAGEIF(DataTable[Strålkälla],DataTable[[#This Row],[Strålkälla]],DataTable[Sens_18])</f>
        <v>0.99483473149056789</v>
      </c>
      <c r="HA95" s="19">
        <v>1308</v>
      </c>
      <c r="HB95" s="19">
        <v>1619</v>
      </c>
      <c r="HC95" s="19">
        <v>0.106</v>
      </c>
      <c r="HD95" s="19">
        <v>0.06</v>
      </c>
      <c r="HE95" s="19">
        <v>3.1E-2</v>
      </c>
      <c r="HF95" s="19">
        <v>1479184</v>
      </c>
      <c r="HG95" s="19">
        <v>189</v>
      </c>
      <c r="HH95" s="19">
        <v>0</v>
      </c>
      <c r="HI95" s="19">
        <v>0</v>
      </c>
      <c r="HJ95" s="19">
        <v>15.585196280027947</v>
      </c>
      <c r="HK95" s="19">
        <f>DataTable[[#This Row],[Sens_19]]/AVERAGEIF(DataTable[Strålkälla],DataTable[[#This Row],[Strålkälla]],DataTable[Sens_19])</f>
        <v>0.996052904095864</v>
      </c>
      <c r="HL95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0.11799999999999999</v>
      </c>
      <c r="HM95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9.6263157894736856E-2</v>
      </c>
      <c r="HN95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0.06</v>
      </c>
      <c r="HO95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4.1526315789473689E-2</v>
      </c>
      <c r="HP95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0.99303628488733497</v>
      </c>
      <c r="HQ95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0.99610321165939142</v>
      </c>
      <c r="HR95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0.99866520990809149</v>
      </c>
      <c r="HS95" s="49"/>
    </row>
    <row r="96" spans="2:227" x14ac:dyDescent="0.25">
      <c r="B96" s="19" t="s">
        <v>43</v>
      </c>
      <c r="C96" s="20">
        <v>42683</v>
      </c>
      <c r="D96" s="21">
        <v>0.33339120370370368</v>
      </c>
      <c r="E96" s="13" t="s">
        <v>217</v>
      </c>
      <c r="F96" s="13">
        <v>109.8</v>
      </c>
      <c r="G96" s="13">
        <v>134.19999999999999</v>
      </c>
      <c r="H96" s="24">
        <v>9.2758000000000003</v>
      </c>
      <c r="I96" s="22">
        <f>MATCH(DataTable[[#This Row],[Datum]],Övrigt!$D$10:$M$10,1)</f>
        <v>2</v>
      </c>
      <c r="J96" s="13"/>
      <c r="K96" s="22">
        <v>1793</v>
      </c>
      <c r="L96" s="22">
        <v>2180</v>
      </c>
      <c r="M96" s="23">
        <v>9.7000000000000003E-2</v>
      </c>
      <c r="N96" s="23">
        <v>3.4000000000000002E-2</v>
      </c>
      <c r="O96" s="23">
        <v>2.5999999999999999E-2</v>
      </c>
      <c r="P96" s="22">
        <v>2032076</v>
      </c>
      <c r="Q96" s="24">
        <v>185</v>
      </c>
      <c r="R96" s="22">
        <v>0</v>
      </c>
      <c r="S96" s="22">
        <v>0</v>
      </c>
      <c r="T96" s="19">
        <v>22.381551027473744</v>
      </c>
      <c r="U96" s="23">
        <f>DataTable[[#This Row],[Sens_1]]/AVERAGEIF(DataTable[Strålkälla],DataTable[[#This Row],[Strålkälla]],DataTable[Sens_1])</f>
        <v>0.99874907068486052</v>
      </c>
      <c r="V96" s="22">
        <v>2147</v>
      </c>
      <c r="W96" s="22">
        <v>2626</v>
      </c>
      <c r="X96" s="23">
        <v>0.1</v>
      </c>
      <c r="Y96" s="23">
        <v>4.1000000000000002E-2</v>
      </c>
      <c r="Z96" s="23">
        <v>2.4E-2</v>
      </c>
      <c r="AA96" s="22">
        <v>2452645</v>
      </c>
      <c r="AB96" s="24">
        <v>185</v>
      </c>
      <c r="AC96" s="22">
        <v>1</v>
      </c>
      <c r="AD96" s="22">
        <v>0</v>
      </c>
      <c r="AE96" s="19">
        <v>27.013753038655221</v>
      </c>
      <c r="AF96" s="23">
        <f>DataTable[[#This Row],[Sens_2]]/AVERAGEIF(DataTable[Strålkälla],DataTable[[#This Row],[Strålkälla]],DataTable[Sens_2])</f>
        <v>0.99895894219207515</v>
      </c>
      <c r="AG96" s="22">
        <v>1930</v>
      </c>
      <c r="AH96" s="22">
        <v>2258</v>
      </c>
      <c r="AI96" s="23">
        <v>7.8E-2</v>
      </c>
      <c r="AJ96" s="23">
        <v>3.5000000000000003E-2</v>
      </c>
      <c r="AK96" s="23">
        <v>2.5000000000000001E-2</v>
      </c>
      <c r="AL96" s="22">
        <v>2140541</v>
      </c>
      <c r="AM96" s="24">
        <v>185</v>
      </c>
      <c r="AN96" s="22">
        <v>0</v>
      </c>
      <c r="AO96" s="22">
        <v>0</v>
      </c>
      <c r="AP96" s="19">
        <v>23.57619873365941</v>
      </c>
      <c r="AQ96" s="23">
        <f>DataTable[[#This Row],[Sens_3]]/AVERAGEIF(DataTable[Strålkälla],DataTable[[#This Row],[Strålkälla]],DataTable[Sens_3])</f>
        <v>0.99842618959408536</v>
      </c>
      <c r="AR96" s="22">
        <v>1801</v>
      </c>
      <c r="AS96" s="22">
        <v>2196</v>
      </c>
      <c r="AT96" s="23">
        <v>9.9000000000000005E-2</v>
      </c>
      <c r="AU96" s="23">
        <v>3.7999999999999999E-2</v>
      </c>
      <c r="AV96" s="23">
        <v>2.5000000000000001E-2</v>
      </c>
      <c r="AW96" s="22">
        <v>2066452</v>
      </c>
      <c r="AX96" s="24">
        <v>185</v>
      </c>
      <c r="AY96" s="22">
        <v>1</v>
      </c>
      <c r="AZ96" s="22">
        <v>0</v>
      </c>
      <c r="BA96" s="19">
        <v>22.760172790695414</v>
      </c>
      <c r="BB96" s="23">
        <f>DataTable[[#This Row],[Sens_4]]/AVERAGEIF(DataTable[Strålkälla],DataTable[[#This Row],[Strålkälla]],DataTable[Sens_4])</f>
        <v>0.99609671591315174</v>
      </c>
      <c r="BC96" s="22">
        <v>2056</v>
      </c>
      <c r="BD96" s="22">
        <v>2471</v>
      </c>
      <c r="BE96" s="19">
        <v>9.1999999999999998E-2</v>
      </c>
      <c r="BF96" s="19">
        <v>3.9E-2</v>
      </c>
      <c r="BG96" s="19">
        <v>2.4E-2</v>
      </c>
      <c r="BH96" s="19">
        <v>2324582</v>
      </c>
      <c r="BI96" s="19">
        <v>185</v>
      </c>
      <c r="BJ96" s="19">
        <v>0</v>
      </c>
      <c r="BK96" s="19">
        <v>0</v>
      </c>
      <c r="BL96" s="19">
        <v>25.603250395431555</v>
      </c>
      <c r="BM96" s="23">
        <f>DataTable[[#This Row],[Sens_5]]/AVERAGEIF(DataTable[Strålkälla],DataTable[[#This Row],[Strålkälla]],DataTable[Sens_5])</f>
        <v>0.99493425198984453</v>
      </c>
      <c r="BN96" s="19">
        <v>2069</v>
      </c>
      <c r="BO96" s="19">
        <v>2493</v>
      </c>
      <c r="BP96" s="19">
        <v>9.2999999999999999E-2</v>
      </c>
      <c r="BQ96" s="19">
        <v>3.5999999999999997E-2</v>
      </c>
      <c r="BR96" s="19">
        <v>2.5000000000000001E-2</v>
      </c>
      <c r="BS96" s="19">
        <v>2326919</v>
      </c>
      <c r="BT96" s="19">
        <v>185</v>
      </c>
      <c r="BU96" s="19">
        <v>0</v>
      </c>
      <c r="BV96" s="19">
        <v>0</v>
      </c>
      <c r="BW96" s="19">
        <v>25.628990419304287</v>
      </c>
      <c r="BX96" s="23">
        <f>DataTable[[#This Row],[Sens_6]]/AVERAGEIF(DataTable[Strålkälla],DataTable[[#This Row],[Strålkälla]],DataTable[Sens_6])</f>
        <v>0.99628822369176673</v>
      </c>
      <c r="BY96" s="19">
        <v>1824</v>
      </c>
      <c r="BZ96" s="19">
        <v>2224</v>
      </c>
      <c r="CA96" s="19">
        <v>9.9000000000000005E-2</v>
      </c>
      <c r="CB96" s="19">
        <v>5.3999999999999999E-2</v>
      </c>
      <c r="CC96" s="19">
        <v>2.8000000000000001E-2</v>
      </c>
      <c r="CD96" s="19">
        <v>2072601</v>
      </c>
      <c r="CE96" s="19">
        <v>185</v>
      </c>
      <c r="CF96" s="19">
        <v>0</v>
      </c>
      <c r="CG96" s="19">
        <v>0</v>
      </c>
      <c r="CH96" s="19">
        <v>22.827898681492776</v>
      </c>
      <c r="CI96" s="23">
        <f>DataTable[[#This Row],[Sens_7]]/AVERAGEIF(DataTable[Strålkälla],DataTable[[#This Row],[Strålkälla]],DataTable[Sens_7])</f>
        <v>0.99835737850407102</v>
      </c>
      <c r="CJ96" s="19">
        <v>2162</v>
      </c>
      <c r="CK96" s="19">
        <v>2678</v>
      </c>
      <c r="CL96" s="19">
        <v>0.107</v>
      </c>
      <c r="CM96" s="19">
        <v>4.2000000000000003E-2</v>
      </c>
      <c r="CN96" s="19">
        <v>2.4E-2</v>
      </c>
      <c r="CO96" s="19">
        <v>2448899</v>
      </c>
      <c r="CP96" s="19">
        <v>185</v>
      </c>
      <c r="CQ96" s="19">
        <v>0</v>
      </c>
      <c r="CR96" s="19">
        <v>1</v>
      </c>
      <c r="CS96" s="19">
        <v>26.972494104368845</v>
      </c>
      <c r="CT96" s="23">
        <f>DataTable[[#This Row],[Sens_8]]/AVERAGEIF(DataTable[Strålkälla],DataTable[[#This Row],[Strålkälla]],DataTable[Sens_8])</f>
        <v>0.99830291562610363</v>
      </c>
      <c r="CU96" s="19">
        <v>1745</v>
      </c>
      <c r="CV96" s="19">
        <v>2145</v>
      </c>
      <c r="CW96" s="19">
        <v>0.10299999999999999</v>
      </c>
      <c r="CX96" s="19">
        <v>0.04</v>
      </c>
      <c r="CY96" s="19">
        <v>2.7E-2</v>
      </c>
      <c r="CZ96" s="19">
        <v>1963245</v>
      </c>
      <c r="DA96" s="19">
        <v>179</v>
      </c>
      <c r="DB96" s="19">
        <v>0</v>
      </c>
      <c r="DC96" s="19">
        <v>3</v>
      </c>
      <c r="DD96" s="19">
        <v>22.348245341719412</v>
      </c>
      <c r="DE96" s="23">
        <f>DataTable[[#This Row],[Sens_9]]/AVERAGEIF(DataTable[Strålkälla],DataTable[[#This Row],[Strålkälla]],DataTable[Sens_9])</f>
        <v>0.99908095769707372</v>
      </c>
      <c r="DF96" s="19">
        <v>1678</v>
      </c>
      <c r="DG96" s="19">
        <v>2023</v>
      </c>
      <c r="DH96" s="19">
        <v>9.2999999999999999E-2</v>
      </c>
      <c r="DI96" s="19">
        <v>3.7999999999999999E-2</v>
      </c>
      <c r="DJ96" s="19">
        <v>2.5999999999999999E-2</v>
      </c>
      <c r="DK96" s="19">
        <v>1900054</v>
      </c>
      <c r="DL96" s="19">
        <v>179</v>
      </c>
      <c r="DM96" s="19">
        <v>0</v>
      </c>
      <c r="DN96" s="19">
        <v>0</v>
      </c>
      <c r="DO96" s="19">
        <v>21.62892199115003</v>
      </c>
      <c r="DP96" s="23">
        <f>DataTable[[#This Row],[Sens_10]]/AVERAGEIF(DataTable[Strålkälla],DataTable[[#This Row],[Strålkälla]],DataTable[Sens_10])</f>
        <v>0.99690264863925038</v>
      </c>
      <c r="DQ96" s="19">
        <v>1446</v>
      </c>
      <c r="DR96" s="19">
        <v>1821</v>
      </c>
      <c r="DS96" s="19">
        <v>0.115</v>
      </c>
      <c r="DT96" s="19">
        <v>4.2000000000000003E-2</v>
      </c>
      <c r="DU96" s="19">
        <v>2.9000000000000001E-2</v>
      </c>
      <c r="DV96" s="19">
        <v>1675044</v>
      </c>
      <c r="DW96" s="19">
        <v>179</v>
      </c>
      <c r="DX96" s="19">
        <v>1</v>
      </c>
      <c r="DY96" s="19">
        <v>0</v>
      </c>
      <c r="DZ96" s="19">
        <v>19.067561241808868</v>
      </c>
      <c r="EA96" s="19">
        <f>DataTable[[#This Row],[Sens_11]]/AVERAGEIF(DataTable[Strålkälla],DataTable[[#This Row],[Strålkälla]],DataTable[Sens_11])</f>
        <v>0.99925342883863277</v>
      </c>
      <c r="EB96" s="19">
        <v>1688</v>
      </c>
      <c r="EC96" s="19">
        <v>2137</v>
      </c>
      <c r="ED96" s="19">
        <v>0.11700000000000001</v>
      </c>
      <c r="EE96" s="19">
        <v>5.3999999999999999E-2</v>
      </c>
      <c r="EF96" s="19">
        <v>2.7E-2</v>
      </c>
      <c r="EG96" s="19">
        <v>1992574</v>
      </c>
      <c r="EH96" s="19">
        <v>179</v>
      </c>
      <c r="EI96" s="19">
        <v>1</v>
      </c>
      <c r="EJ96" s="19">
        <v>0</v>
      </c>
      <c r="EK96" s="19">
        <v>22.682106723068806</v>
      </c>
      <c r="EL96" s="23">
        <f>DataTable[[#This Row],[Sens_12]]/AVERAGEIF(DataTable[Strålkälla],DataTable[[#This Row],[Strålkälla]],DataTable[Sens_12])</f>
        <v>0.99910128482105975</v>
      </c>
      <c r="EM96" s="19">
        <v>1504</v>
      </c>
      <c r="EN96" s="19">
        <v>1848</v>
      </c>
      <c r="EO96" s="19">
        <v>0.10299999999999999</v>
      </c>
      <c r="EP96" s="19">
        <v>4.2999999999999997E-2</v>
      </c>
      <c r="EQ96" s="19">
        <v>2.8000000000000001E-2</v>
      </c>
      <c r="ER96" s="19">
        <v>1699748</v>
      </c>
      <c r="ES96" s="19">
        <v>193</v>
      </c>
      <c r="ET96" s="19">
        <v>0</v>
      </c>
      <c r="EU96" s="19">
        <v>1</v>
      </c>
      <c r="EV96" s="19">
        <v>17.945236703672897</v>
      </c>
      <c r="EW96" s="19">
        <f>DataTable[[#This Row],[Sens_13]]/AVERAGEIF(DataTable[Strålkälla],DataTable[[#This Row],[Strålkälla]],DataTable[Sens_13])</f>
        <v>0.9960722341673599</v>
      </c>
      <c r="EX96" s="19">
        <v>1183</v>
      </c>
      <c r="EY96" s="19">
        <v>1574</v>
      </c>
      <c r="EZ96" s="19">
        <v>0.14199999999999999</v>
      </c>
      <c r="FA96" s="19">
        <v>4.5999999999999999E-2</v>
      </c>
      <c r="FB96" s="19">
        <v>0.03</v>
      </c>
      <c r="FC96" s="19">
        <v>1439944</v>
      </c>
      <c r="FD96" s="19">
        <v>193</v>
      </c>
      <c r="FE96" s="19">
        <v>1</v>
      </c>
      <c r="FF96" s="19">
        <v>0</v>
      </c>
      <c r="FG96" s="19">
        <v>15.202333475334912</v>
      </c>
      <c r="FH96" s="19">
        <f>DataTable[[#This Row],[Sens_14]]/AVERAGEIF(DataTable[Strålkälla],DataTable[[#This Row],[Strålkälla]],DataTable[Sens_14])</f>
        <v>0.99572680148261705</v>
      </c>
      <c r="FI96" s="19">
        <v>1430</v>
      </c>
      <c r="FJ96" s="19">
        <v>1724</v>
      </c>
      <c r="FK96" s="19">
        <v>9.2999999999999999E-2</v>
      </c>
      <c r="FL96" s="19">
        <v>4.2999999999999997E-2</v>
      </c>
      <c r="FM96" s="19">
        <v>2.8000000000000001E-2</v>
      </c>
      <c r="FN96" s="19">
        <v>1628772</v>
      </c>
      <c r="FO96" s="19">
        <v>193</v>
      </c>
      <c r="FP96" s="19">
        <v>0</v>
      </c>
      <c r="FQ96" s="19">
        <v>0</v>
      </c>
      <c r="FR96" s="19">
        <v>17.195901437339366</v>
      </c>
      <c r="FS96" s="19">
        <f>DataTable[[#This Row],[Sens_15]]/AVERAGEIF(DataTable[Strålkälla],DataTable[[#This Row],[Strålkälla]],DataTable[Sens_15])</f>
        <v>0.99543058220937675</v>
      </c>
      <c r="FT96" s="19">
        <v>1285</v>
      </c>
      <c r="FU96" s="19">
        <v>1547</v>
      </c>
      <c r="FV96" s="19">
        <v>9.2999999999999999E-2</v>
      </c>
      <c r="FW96" s="19">
        <v>4.5999999999999999E-2</v>
      </c>
      <c r="FX96" s="19">
        <v>2.9000000000000001E-2</v>
      </c>
      <c r="FY96" s="19">
        <v>1464221</v>
      </c>
      <c r="FZ96" s="19">
        <v>193</v>
      </c>
      <c r="GA96" s="19">
        <v>0</v>
      </c>
      <c r="GB96" s="19">
        <v>0</v>
      </c>
      <c r="GC96" s="19">
        <v>15.458640005158784</v>
      </c>
      <c r="GD96" s="19">
        <f>DataTable[[#This Row],[Sens_16]]/AVERAGEIF(DataTable[Strålkälla],DataTable[[#This Row],[Strålkälla]],DataTable[Sens_16])</f>
        <v>0.99462320790304504</v>
      </c>
      <c r="GE96" s="19">
        <v>1247</v>
      </c>
      <c r="GF96" s="19">
        <v>1499</v>
      </c>
      <c r="GG96" s="19">
        <v>9.1999999999999998E-2</v>
      </c>
      <c r="GH96" s="19">
        <v>4.5999999999999999E-2</v>
      </c>
      <c r="GI96" s="19">
        <v>2.9000000000000001E-2</v>
      </c>
      <c r="GJ96" s="19">
        <v>1408422</v>
      </c>
      <c r="GK96" s="19">
        <v>193</v>
      </c>
      <c r="GL96" s="19">
        <v>0</v>
      </c>
      <c r="GM96" s="19">
        <v>0</v>
      </c>
      <c r="GN96" s="19">
        <v>14.869537230613238</v>
      </c>
      <c r="GO96" s="19">
        <f>DataTable[[#This Row],[Sens_17]]/AVERAGEIF(DataTable[Strålkälla],DataTable[[#This Row],[Strålkälla]],DataTable[Sens_17])</f>
        <v>0.99647383511914067</v>
      </c>
      <c r="GP96" s="19">
        <v>1464</v>
      </c>
      <c r="GQ96" s="19">
        <v>1737</v>
      </c>
      <c r="GR96" s="19">
        <v>8.5000000000000006E-2</v>
      </c>
      <c r="GS96" s="19">
        <v>3.7999999999999999E-2</v>
      </c>
      <c r="GT96" s="19">
        <v>2.8000000000000001E-2</v>
      </c>
      <c r="GU96" s="19">
        <v>1633784</v>
      </c>
      <c r="GV96" s="19">
        <v>193</v>
      </c>
      <c r="GW96" s="19">
        <v>0</v>
      </c>
      <c r="GX96" s="19">
        <v>0</v>
      </c>
      <c r="GY96" s="19">
        <v>17.248816061365286</v>
      </c>
      <c r="GZ96" s="19">
        <f>DataTable[[#This Row],[Sens_18]]/AVERAGEIF(DataTable[Strålkälla],DataTable[[#This Row],[Strålkälla]],DataTable[Sens_18])</f>
        <v>0.99896122166840295</v>
      </c>
      <c r="HA96" s="19">
        <v>1301</v>
      </c>
      <c r="HB96" s="19">
        <v>1618</v>
      </c>
      <c r="HC96" s="19">
        <v>0.109</v>
      </c>
      <c r="HD96" s="19">
        <v>4.7E-2</v>
      </c>
      <c r="HE96" s="19">
        <v>0.03</v>
      </c>
      <c r="HF96" s="19">
        <v>1478385</v>
      </c>
      <c r="HG96" s="19">
        <v>193</v>
      </c>
      <c r="HH96" s="19">
        <v>0</v>
      </c>
      <c r="HI96" s="19">
        <v>1</v>
      </c>
      <c r="HJ96" s="19">
        <v>15.608177661723653</v>
      </c>
      <c r="HK96" s="19">
        <f>DataTable[[#This Row],[Sens_19]]/AVERAGEIF(DataTable[Strålkälla],DataTable[[#This Row],[Strålkälla]],DataTable[Sens_19])</f>
        <v>0.99752164863823956</v>
      </c>
      <c r="HL96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0.14199999999999999</v>
      </c>
      <c r="HM96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0.10052631578947367</v>
      </c>
      <c r="HN96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5.3999999999999999E-2</v>
      </c>
      <c r="HO96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4.2210526315789483E-2</v>
      </c>
      <c r="HP96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0.99462320790304504</v>
      </c>
      <c r="HQ96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0.9973295547042188</v>
      </c>
      <c r="HR96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0.99925342883863277</v>
      </c>
      <c r="HS96" s="49"/>
    </row>
    <row r="97" spans="2:227" x14ac:dyDescent="0.25">
      <c r="B97" s="19" t="s">
        <v>43</v>
      </c>
      <c r="C97" s="20">
        <v>42688</v>
      </c>
      <c r="D97" s="21">
        <v>0.31693287037037038</v>
      </c>
      <c r="E97" s="13" t="s">
        <v>217</v>
      </c>
      <c r="F97" s="13">
        <v>109.8</v>
      </c>
      <c r="G97" s="13">
        <v>134.19999999999999</v>
      </c>
      <c r="H97" s="24">
        <v>9.3973999999999993</v>
      </c>
      <c r="I97" s="22">
        <f>MATCH(DataTable[[#This Row],[Datum]],Övrigt!$D$10:$M$10,1)</f>
        <v>2</v>
      </c>
      <c r="J97" s="13"/>
      <c r="K97" s="22">
        <v>1780</v>
      </c>
      <c r="L97" s="22">
        <v>2201</v>
      </c>
      <c r="M97" s="23">
        <v>0.106</v>
      </c>
      <c r="N97" s="23">
        <v>3.7999999999999999E-2</v>
      </c>
      <c r="O97" s="23">
        <v>2.7E-2</v>
      </c>
      <c r="P97" s="22">
        <v>2030999</v>
      </c>
      <c r="Q97" s="24">
        <v>187</v>
      </c>
      <c r="R97" s="22">
        <v>0</v>
      </c>
      <c r="S97" s="22">
        <v>1</v>
      </c>
      <c r="T97" s="19">
        <v>22.414497062882184</v>
      </c>
      <c r="U97" s="23">
        <f>DataTable[[#This Row],[Sens_1]]/AVERAGEIF(DataTable[Strålkälla],DataTable[[#This Row],[Strålkälla]],DataTable[Sens_1])</f>
        <v>1.000219246822633</v>
      </c>
      <c r="V97" s="22">
        <v>2154</v>
      </c>
      <c r="W97" s="22">
        <v>2671</v>
      </c>
      <c r="X97" s="23">
        <v>0.107</v>
      </c>
      <c r="Y97" s="23">
        <v>5.3999999999999999E-2</v>
      </c>
      <c r="Z97" s="23">
        <v>2.5999999999999999E-2</v>
      </c>
      <c r="AA97" s="22">
        <v>2449219</v>
      </c>
      <c r="AB97" s="24">
        <v>187</v>
      </c>
      <c r="AC97" s="22">
        <v>0</v>
      </c>
      <c r="AD97" s="22">
        <v>4</v>
      </c>
      <c r="AE97" s="19">
        <v>27.030053723244194</v>
      </c>
      <c r="AF97" s="23">
        <f>DataTable[[#This Row],[Sens_2]]/AVERAGEIF(DataTable[Strålkälla],DataTable[[#This Row],[Strålkälla]],DataTable[Sens_2])</f>
        <v>0.99956173568806606</v>
      </c>
      <c r="AG97" s="22">
        <v>1830</v>
      </c>
      <c r="AH97" s="22">
        <v>2269</v>
      </c>
      <c r="AI97" s="23">
        <v>0.107</v>
      </c>
      <c r="AJ97" s="23">
        <v>3.4000000000000002E-2</v>
      </c>
      <c r="AK97" s="23">
        <v>2.5000000000000001E-2</v>
      </c>
      <c r="AL97" s="22">
        <v>2140410</v>
      </c>
      <c r="AM97" s="24">
        <v>187</v>
      </c>
      <c r="AN97" s="22">
        <v>1</v>
      </c>
      <c r="AO97" s="22">
        <v>0</v>
      </c>
      <c r="AP97" s="19">
        <v>23.621977981458215</v>
      </c>
      <c r="AQ97" s="23">
        <f>DataTable[[#This Row],[Sens_3]]/AVERAGEIF(DataTable[Strålkälla],DataTable[[#This Row],[Strålkälla]],DataTable[Sens_3])</f>
        <v>1.0003648905890421</v>
      </c>
      <c r="AR97" s="22">
        <v>1821</v>
      </c>
      <c r="AS97" s="22">
        <v>2193</v>
      </c>
      <c r="AT97" s="23">
        <v>9.2999999999999999E-2</v>
      </c>
      <c r="AU97" s="23">
        <v>3.9E-2</v>
      </c>
      <c r="AV97" s="23">
        <v>2.4E-2</v>
      </c>
      <c r="AW97" s="22">
        <v>2065758</v>
      </c>
      <c r="AX97" s="24">
        <v>187</v>
      </c>
      <c r="AY97" s="22">
        <v>0</v>
      </c>
      <c r="AZ97" s="22">
        <v>0</v>
      </c>
      <c r="BA97" s="19">
        <v>22.798104097355722</v>
      </c>
      <c r="BB97" s="23">
        <f>DataTable[[#This Row],[Sens_4]]/AVERAGEIF(DataTable[Strålkälla],DataTable[[#This Row],[Strålkälla]],DataTable[Sens_4])</f>
        <v>0.99775677580558253</v>
      </c>
      <c r="BC97" s="22">
        <v>2079</v>
      </c>
      <c r="BD97" s="22">
        <v>2484</v>
      </c>
      <c r="BE97" s="19">
        <v>8.8999999999999996E-2</v>
      </c>
      <c r="BF97" s="19">
        <v>4.4999999999999998E-2</v>
      </c>
      <c r="BG97" s="19">
        <v>2.4E-2</v>
      </c>
      <c r="BH97" s="19">
        <v>2324388</v>
      </c>
      <c r="BI97" s="19">
        <v>187</v>
      </c>
      <c r="BJ97" s="19">
        <v>0</v>
      </c>
      <c r="BK97" s="19">
        <v>0</v>
      </c>
      <c r="BL97" s="19">
        <v>25.652394707726884</v>
      </c>
      <c r="BM97" s="23">
        <f>DataTable[[#This Row],[Sens_5]]/AVERAGEIF(DataTable[Strålkälla],DataTable[[#This Row],[Strålkälla]],DataTable[Sens_5])</f>
        <v>0.99684398449794176</v>
      </c>
      <c r="BN97" s="19">
        <v>1995</v>
      </c>
      <c r="BO97" s="19">
        <v>2471</v>
      </c>
      <c r="BP97" s="19">
        <v>0.107</v>
      </c>
      <c r="BQ97" s="19">
        <v>3.3000000000000002E-2</v>
      </c>
      <c r="BR97" s="19">
        <v>2.3E-2</v>
      </c>
      <c r="BS97" s="19">
        <v>2331099</v>
      </c>
      <c r="BT97" s="19">
        <v>187</v>
      </c>
      <c r="BU97" s="19">
        <v>1</v>
      </c>
      <c r="BV97" s="19">
        <v>0</v>
      </c>
      <c r="BW97" s="19">
        <v>25.726458599333426</v>
      </c>
      <c r="BX97" s="23">
        <f>DataTable[[#This Row],[Sens_6]]/AVERAGEIF(DataTable[Strålkälla],DataTable[[#This Row],[Strålkälla]],DataTable[Sens_6])</f>
        <v>1.000077151712691</v>
      </c>
      <c r="BY97" s="19">
        <v>1841</v>
      </c>
      <c r="BZ97" s="19">
        <v>2232</v>
      </c>
      <c r="CA97" s="19">
        <v>9.6000000000000002E-2</v>
      </c>
      <c r="CB97" s="19">
        <v>4.1000000000000002E-2</v>
      </c>
      <c r="CC97" s="19">
        <v>2.5999999999999999E-2</v>
      </c>
      <c r="CD97" s="19">
        <v>2075109</v>
      </c>
      <c r="CE97" s="19">
        <v>187</v>
      </c>
      <c r="CF97" s="19">
        <v>0</v>
      </c>
      <c r="CG97" s="19">
        <v>0</v>
      </c>
      <c r="CH97" s="19">
        <v>22.901303538633147</v>
      </c>
      <c r="CI97" s="23">
        <f>DataTable[[#This Row],[Sens_7]]/AVERAGEIF(DataTable[Strålkälla],DataTable[[#This Row],[Strålkälla]],DataTable[Sens_7])</f>
        <v>1.0015676731425145</v>
      </c>
      <c r="CJ97" s="19">
        <v>2192</v>
      </c>
      <c r="CK97" s="19">
        <v>2637</v>
      </c>
      <c r="CL97" s="19">
        <v>9.1999999999999998E-2</v>
      </c>
      <c r="CM97" s="19">
        <v>3.9E-2</v>
      </c>
      <c r="CN97" s="19">
        <v>2.5999999999999999E-2</v>
      </c>
      <c r="CO97" s="19">
        <v>2446964</v>
      </c>
      <c r="CP97" s="19">
        <v>187</v>
      </c>
      <c r="CQ97" s="19">
        <v>0</v>
      </c>
      <c r="CR97" s="19">
        <v>1</v>
      </c>
      <c r="CS97" s="19">
        <v>27.005167107900316</v>
      </c>
      <c r="CT97" s="23">
        <f>DataTable[[#This Row],[Sens_8]]/AVERAGEIF(DataTable[Strålkälla],DataTable[[#This Row],[Strålkälla]],DataTable[Sens_8])</f>
        <v>0.99951220515496653</v>
      </c>
      <c r="CU97" s="19">
        <v>1742</v>
      </c>
      <c r="CV97" s="19">
        <v>2098</v>
      </c>
      <c r="CW97" s="19">
        <v>9.2999999999999999E-2</v>
      </c>
      <c r="CX97" s="19">
        <v>4.5999999999999999E-2</v>
      </c>
      <c r="CY97" s="19">
        <v>2.5999999999999999E-2</v>
      </c>
      <c r="CZ97" s="19">
        <v>1962150</v>
      </c>
      <c r="DA97" s="19">
        <v>181</v>
      </c>
      <c r="DB97" s="19">
        <v>0</v>
      </c>
      <c r="DC97" s="19">
        <v>0</v>
      </c>
      <c r="DD97" s="19">
        <v>22.37250044599941</v>
      </c>
      <c r="DE97" s="23">
        <f>DataTable[[#This Row],[Sens_9]]/AVERAGEIF(DataTable[Strålkälla],DataTable[[#This Row],[Strålkälla]],DataTable[Sens_9])</f>
        <v>1.0001652850096912</v>
      </c>
      <c r="DF97" s="19">
        <v>1661</v>
      </c>
      <c r="DG97" s="19">
        <v>2027</v>
      </c>
      <c r="DH97" s="19">
        <v>9.9000000000000005E-2</v>
      </c>
      <c r="DI97" s="19">
        <v>4.2999999999999997E-2</v>
      </c>
      <c r="DJ97" s="19">
        <v>2.8000000000000001E-2</v>
      </c>
      <c r="DK97" s="19">
        <v>1902890</v>
      </c>
      <c r="DL97" s="19">
        <v>181</v>
      </c>
      <c r="DM97" s="19">
        <v>0</v>
      </c>
      <c r="DN97" s="19">
        <v>0</v>
      </c>
      <c r="DO97" s="19">
        <v>21.696815928286735</v>
      </c>
      <c r="DP97" s="23">
        <f>DataTable[[#This Row],[Sens_10]]/AVERAGEIF(DataTable[Strålkälla],DataTable[[#This Row],[Strålkälla]],DataTable[Sens_10])</f>
        <v>1.0000319606681078</v>
      </c>
      <c r="DQ97" s="19">
        <v>1482</v>
      </c>
      <c r="DR97" s="19">
        <v>1778</v>
      </c>
      <c r="DS97" s="19">
        <v>9.0999999999999998E-2</v>
      </c>
      <c r="DT97" s="19">
        <v>0.04</v>
      </c>
      <c r="DU97" s="19">
        <v>2.5999999999999999E-2</v>
      </c>
      <c r="DV97" s="19">
        <v>1672889</v>
      </c>
      <c r="DW97" s="19">
        <v>181</v>
      </c>
      <c r="DX97" s="19">
        <v>0</v>
      </c>
      <c r="DY97" s="19">
        <v>0</v>
      </c>
      <c r="DZ97" s="19">
        <v>19.074336772727627</v>
      </c>
      <c r="EA97" s="19">
        <f>DataTable[[#This Row],[Sens_11]]/AVERAGEIF(DataTable[Strålkälla],DataTable[[#This Row],[Strålkälla]],DataTable[Sens_11])</f>
        <v>0.99960850689066627</v>
      </c>
      <c r="EB97" s="19">
        <v>1755</v>
      </c>
      <c r="EC97" s="19">
        <v>2155</v>
      </c>
      <c r="ED97" s="19">
        <v>0.10199999999999999</v>
      </c>
      <c r="EE97" s="19">
        <v>3.9E-2</v>
      </c>
      <c r="EF97" s="19">
        <v>2.7E-2</v>
      </c>
      <c r="EG97" s="19">
        <v>1992865</v>
      </c>
      <c r="EH97" s="19">
        <v>181</v>
      </c>
      <c r="EI97" s="19">
        <v>0</v>
      </c>
      <c r="EJ97" s="19">
        <v>1</v>
      </c>
      <c r="EK97" s="19">
        <v>22.722713911432162</v>
      </c>
      <c r="EL97" s="23">
        <f>DataTable[[#This Row],[Sens_12]]/AVERAGEIF(DataTable[Strålkälla],DataTable[[#This Row],[Strålkälla]],DataTable[Sens_12])</f>
        <v>1.0008899499817583</v>
      </c>
      <c r="EM97" s="19">
        <v>1525</v>
      </c>
      <c r="EN97" s="19">
        <v>1866</v>
      </c>
      <c r="EO97" s="19">
        <v>0.10100000000000001</v>
      </c>
      <c r="EP97" s="19">
        <v>3.7999999999999999E-2</v>
      </c>
      <c r="EQ97" s="19">
        <v>2.8000000000000001E-2</v>
      </c>
      <c r="ER97" s="19">
        <v>1705124</v>
      </c>
      <c r="ES97" s="19">
        <v>195</v>
      </c>
      <c r="ET97" s="19">
        <v>0</v>
      </c>
      <c r="EU97" s="19">
        <v>1</v>
      </c>
      <c r="EV97" s="19">
        <v>18.046053951905606</v>
      </c>
      <c r="EW97" s="19">
        <f>DataTable[[#This Row],[Sens_13]]/AVERAGEIF(DataTable[Strålkälla],DataTable[[#This Row],[Strålkälla]],DataTable[Sens_13])</f>
        <v>1.0016682184025083</v>
      </c>
      <c r="EX97" s="19">
        <v>1251</v>
      </c>
      <c r="EY97" s="19">
        <v>1535</v>
      </c>
      <c r="EZ97" s="19">
        <v>0.10199999999999999</v>
      </c>
      <c r="FA97" s="19">
        <v>5.6000000000000001E-2</v>
      </c>
      <c r="FB97" s="19">
        <v>0.03</v>
      </c>
      <c r="FC97" s="19">
        <v>1441211</v>
      </c>
      <c r="FD97" s="19">
        <v>195</v>
      </c>
      <c r="FE97" s="19">
        <v>0</v>
      </c>
      <c r="FF97" s="19">
        <v>0</v>
      </c>
      <c r="FG97" s="19">
        <v>15.252950203081905</v>
      </c>
      <c r="FH97" s="19">
        <f>DataTable[[#This Row],[Sens_14]]/AVERAGEIF(DataTable[Strålkälla],DataTable[[#This Row],[Strålkälla]],DataTable[Sens_14])</f>
        <v>0.99904211044507352</v>
      </c>
      <c r="FI97" s="19">
        <v>1437</v>
      </c>
      <c r="FJ97" s="19">
        <v>1744</v>
      </c>
      <c r="FK97" s="19">
        <v>9.7000000000000003E-2</v>
      </c>
      <c r="FL97" s="19">
        <v>4.3999999999999997E-2</v>
      </c>
      <c r="FM97" s="19">
        <v>2.8000000000000001E-2</v>
      </c>
      <c r="FN97" s="19">
        <v>1629405</v>
      </c>
      <c r="FO97" s="19">
        <v>195</v>
      </c>
      <c r="FP97" s="19">
        <v>0</v>
      </c>
      <c r="FQ97" s="19">
        <v>0</v>
      </c>
      <c r="FR97" s="19">
        <v>17.244687506307315</v>
      </c>
      <c r="FS97" s="19">
        <f>DataTable[[#This Row],[Sens_15]]/AVERAGEIF(DataTable[Strålkälla],DataTable[[#This Row],[Strålkälla]],DataTable[Sens_15])</f>
        <v>0.99825469382768495</v>
      </c>
      <c r="FT97" s="19">
        <v>1295</v>
      </c>
      <c r="FU97" s="19">
        <v>1560</v>
      </c>
      <c r="FV97" s="19">
        <v>9.2999999999999999E-2</v>
      </c>
      <c r="FW97" s="19">
        <v>4.4999999999999998E-2</v>
      </c>
      <c r="FX97" s="19">
        <v>2.9000000000000001E-2</v>
      </c>
      <c r="FY97" s="19">
        <v>1463752</v>
      </c>
      <c r="FZ97" s="19">
        <v>195</v>
      </c>
      <c r="GA97" s="19">
        <v>0</v>
      </c>
      <c r="GB97" s="19">
        <v>0</v>
      </c>
      <c r="GC97" s="19">
        <v>15.491511212210803</v>
      </c>
      <c r="GD97" s="19">
        <f>DataTable[[#This Row],[Sens_16]]/AVERAGEIF(DataTable[Strålkälla],DataTable[[#This Row],[Strålkälla]],DataTable[Sens_16])</f>
        <v>0.99673817179345281</v>
      </c>
      <c r="GE97" s="19">
        <v>1249</v>
      </c>
      <c r="GF97" s="19">
        <v>1497</v>
      </c>
      <c r="GG97" s="19">
        <v>0.09</v>
      </c>
      <c r="GH97" s="19">
        <v>4.2000000000000003E-2</v>
      </c>
      <c r="GI97" s="19">
        <v>3.1E-2</v>
      </c>
      <c r="GJ97" s="19">
        <v>1408600</v>
      </c>
      <c r="GK97" s="19">
        <v>195</v>
      </c>
      <c r="GL97" s="19">
        <v>0</v>
      </c>
      <c r="GM97" s="19">
        <v>0</v>
      </c>
      <c r="GN97" s="19">
        <v>14.907814092496636</v>
      </c>
      <c r="GO97" s="19">
        <f>DataTable[[#This Row],[Sens_17]]/AVERAGEIF(DataTable[Strålkälla],DataTable[[#This Row],[Strålkälla]],DataTable[Sens_17])</f>
        <v>0.99903893790382914</v>
      </c>
      <c r="GP97" s="19">
        <v>1461</v>
      </c>
      <c r="GQ97" s="19">
        <v>1729</v>
      </c>
      <c r="GR97" s="19">
        <v>8.4000000000000005E-2</v>
      </c>
      <c r="GS97" s="19">
        <v>4.2000000000000003E-2</v>
      </c>
      <c r="GT97" s="19">
        <v>2.8000000000000001E-2</v>
      </c>
      <c r="GU97" s="19">
        <v>1628216</v>
      </c>
      <c r="GV97" s="19">
        <v>195</v>
      </c>
      <c r="GW97" s="19">
        <v>0</v>
      </c>
      <c r="GX97" s="19">
        <v>0</v>
      </c>
      <c r="GY97" s="19">
        <v>17.232103812600101</v>
      </c>
      <c r="GZ97" s="19">
        <f>DataTable[[#This Row],[Sens_18]]/AVERAGEIF(DataTable[Strålkälla],DataTable[[#This Row],[Strålkälla]],DataTable[Sens_18])</f>
        <v>0.99799333561849091</v>
      </c>
      <c r="HA97" s="19">
        <v>1278</v>
      </c>
      <c r="HB97" s="19">
        <v>1584</v>
      </c>
      <c r="HC97" s="19">
        <v>0.107</v>
      </c>
      <c r="HD97" s="19">
        <v>5.3999999999999999E-2</v>
      </c>
      <c r="HE97" s="19">
        <v>0.03</v>
      </c>
      <c r="HF97" s="19">
        <v>1475432</v>
      </c>
      <c r="HG97" s="19">
        <v>195</v>
      </c>
      <c r="HH97" s="19">
        <v>0</v>
      </c>
      <c r="HI97" s="19">
        <v>0</v>
      </c>
      <c r="HJ97" s="19">
        <v>15.615125629788796</v>
      </c>
      <c r="HK97" s="19">
        <f>DataTable[[#This Row],[Sens_19]]/AVERAGEIF(DataTable[Strålkälla],DataTable[[#This Row],[Strålkälla]],DataTable[Sens_19])</f>
        <v>0.99796569461908613</v>
      </c>
      <c r="HL97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0.107</v>
      </c>
      <c r="HM97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9.768421052631579E-2</v>
      </c>
      <c r="HN97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5.6000000000000001E-2</v>
      </c>
      <c r="HO97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4.2736842105263163E-2</v>
      </c>
      <c r="HP97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0.99673817179345281</v>
      </c>
      <c r="HQ97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0.99933160676704158</v>
      </c>
      <c r="HR97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1.0016682184025083</v>
      </c>
      <c r="HS97" s="49"/>
    </row>
    <row r="98" spans="2:227" x14ac:dyDescent="0.25">
      <c r="B98" s="19" t="s">
        <v>43</v>
      </c>
      <c r="C98" s="20">
        <v>42688</v>
      </c>
      <c r="D98" s="21">
        <v>0.31693287037037038</v>
      </c>
      <c r="E98" s="13" t="s">
        <v>217</v>
      </c>
      <c r="F98" s="13">
        <v>109.8</v>
      </c>
      <c r="G98" s="13">
        <v>134.19999999999999</v>
      </c>
      <c r="H98" s="24">
        <v>9.3973999999999993</v>
      </c>
      <c r="I98" s="22">
        <f>MATCH(DataTable[[#This Row],[Datum]],Övrigt!$D$10:$M$10,1)</f>
        <v>2</v>
      </c>
      <c r="J98" s="13"/>
      <c r="K98" s="22">
        <v>1780</v>
      </c>
      <c r="L98" s="22">
        <v>2201</v>
      </c>
      <c r="M98" s="23">
        <v>0.106</v>
      </c>
      <c r="N98" s="23">
        <v>3.7999999999999999E-2</v>
      </c>
      <c r="O98" s="23">
        <v>2.7E-2</v>
      </c>
      <c r="P98" s="22">
        <v>2030999</v>
      </c>
      <c r="Q98" s="24">
        <v>187</v>
      </c>
      <c r="R98" s="22">
        <v>0</v>
      </c>
      <c r="S98" s="22">
        <v>1</v>
      </c>
      <c r="T98" s="19">
        <v>22.414497062882184</v>
      </c>
      <c r="U98" s="23">
        <f>DataTable[[#This Row],[Sens_1]]/AVERAGEIF(DataTable[Strålkälla],DataTable[[#This Row],[Strålkälla]],DataTable[Sens_1])</f>
        <v>1.000219246822633</v>
      </c>
      <c r="V98" s="22">
        <v>2154</v>
      </c>
      <c r="W98" s="22">
        <v>2671</v>
      </c>
      <c r="X98" s="23">
        <v>0.107</v>
      </c>
      <c r="Y98" s="23">
        <v>5.3999999999999999E-2</v>
      </c>
      <c r="Z98" s="23">
        <v>2.5999999999999999E-2</v>
      </c>
      <c r="AA98" s="22">
        <v>2449219</v>
      </c>
      <c r="AB98" s="24">
        <v>187</v>
      </c>
      <c r="AC98" s="22">
        <v>0</v>
      </c>
      <c r="AD98" s="22">
        <v>4</v>
      </c>
      <c r="AE98" s="19">
        <v>27.030053723244194</v>
      </c>
      <c r="AF98" s="23">
        <f>DataTable[[#This Row],[Sens_2]]/AVERAGEIF(DataTable[Strålkälla],DataTable[[#This Row],[Strålkälla]],DataTable[Sens_2])</f>
        <v>0.99956173568806606</v>
      </c>
      <c r="AG98" s="22">
        <v>1830</v>
      </c>
      <c r="AH98" s="22">
        <v>2269</v>
      </c>
      <c r="AI98" s="23">
        <v>0.107</v>
      </c>
      <c r="AJ98" s="23">
        <v>3.4000000000000002E-2</v>
      </c>
      <c r="AK98" s="23">
        <v>2.5000000000000001E-2</v>
      </c>
      <c r="AL98" s="22">
        <v>2140410</v>
      </c>
      <c r="AM98" s="24">
        <v>187</v>
      </c>
      <c r="AN98" s="22">
        <v>1</v>
      </c>
      <c r="AO98" s="22">
        <v>0</v>
      </c>
      <c r="AP98" s="19">
        <v>23.621977981458215</v>
      </c>
      <c r="AQ98" s="23">
        <f>DataTable[[#This Row],[Sens_3]]/AVERAGEIF(DataTable[Strålkälla],DataTable[[#This Row],[Strålkälla]],DataTable[Sens_3])</f>
        <v>1.0003648905890421</v>
      </c>
      <c r="AR98" s="22">
        <v>1821</v>
      </c>
      <c r="AS98" s="22">
        <v>2193</v>
      </c>
      <c r="AT98" s="23">
        <v>9.2999999999999999E-2</v>
      </c>
      <c r="AU98" s="23">
        <v>3.9E-2</v>
      </c>
      <c r="AV98" s="23">
        <v>2.4E-2</v>
      </c>
      <c r="AW98" s="22">
        <v>2065758</v>
      </c>
      <c r="AX98" s="24">
        <v>187</v>
      </c>
      <c r="AY98" s="22">
        <v>0</v>
      </c>
      <c r="AZ98" s="22">
        <v>0</v>
      </c>
      <c r="BA98" s="19">
        <v>22.798104097355722</v>
      </c>
      <c r="BB98" s="23">
        <f>DataTable[[#This Row],[Sens_4]]/AVERAGEIF(DataTable[Strålkälla],DataTable[[#This Row],[Strålkälla]],DataTable[Sens_4])</f>
        <v>0.99775677580558253</v>
      </c>
      <c r="BC98" s="22">
        <v>2079</v>
      </c>
      <c r="BD98" s="22">
        <v>2484</v>
      </c>
      <c r="BE98" s="19">
        <v>8.8999999999999996E-2</v>
      </c>
      <c r="BF98" s="19">
        <v>4.4999999999999998E-2</v>
      </c>
      <c r="BG98" s="19">
        <v>2.4E-2</v>
      </c>
      <c r="BH98" s="19">
        <v>2324388</v>
      </c>
      <c r="BI98" s="19">
        <v>187</v>
      </c>
      <c r="BJ98" s="19">
        <v>0</v>
      </c>
      <c r="BK98" s="19">
        <v>0</v>
      </c>
      <c r="BL98" s="19">
        <v>25.652394707726884</v>
      </c>
      <c r="BM98" s="23">
        <f>DataTable[[#This Row],[Sens_5]]/AVERAGEIF(DataTable[Strålkälla],DataTable[[#This Row],[Strålkälla]],DataTable[Sens_5])</f>
        <v>0.99684398449794176</v>
      </c>
      <c r="BN98" s="19">
        <v>1995</v>
      </c>
      <c r="BO98" s="19">
        <v>2471</v>
      </c>
      <c r="BP98" s="19">
        <v>0.107</v>
      </c>
      <c r="BQ98" s="19">
        <v>3.3000000000000002E-2</v>
      </c>
      <c r="BR98" s="19">
        <v>2.3E-2</v>
      </c>
      <c r="BS98" s="19">
        <v>2331099</v>
      </c>
      <c r="BT98" s="19">
        <v>187</v>
      </c>
      <c r="BU98" s="19">
        <v>1</v>
      </c>
      <c r="BV98" s="19">
        <v>0</v>
      </c>
      <c r="BW98" s="19">
        <v>25.726458599333426</v>
      </c>
      <c r="BX98" s="23">
        <f>DataTable[[#This Row],[Sens_6]]/AVERAGEIF(DataTable[Strålkälla],DataTable[[#This Row],[Strålkälla]],DataTable[Sens_6])</f>
        <v>1.000077151712691</v>
      </c>
      <c r="BY98" s="19">
        <v>1841</v>
      </c>
      <c r="BZ98" s="19">
        <v>2232</v>
      </c>
      <c r="CA98" s="19">
        <v>9.6000000000000002E-2</v>
      </c>
      <c r="CB98" s="19">
        <v>4.1000000000000002E-2</v>
      </c>
      <c r="CC98" s="19">
        <v>2.5999999999999999E-2</v>
      </c>
      <c r="CD98" s="19">
        <v>2075109</v>
      </c>
      <c r="CE98" s="19">
        <v>187</v>
      </c>
      <c r="CF98" s="19">
        <v>0</v>
      </c>
      <c r="CG98" s="19">
        <v>0</v>
      </c>
      <c r="CH98" s="19">
        <v>22.901303538633147</v>
      </c>
      <c r="CI98" s="23">
        <f>DataTable[[#This Row],[Sens_7]]/AVERAGEIF(DataTable[Strålkälla],DataTable[[#This Row],[Strålkälla]],DataTable[Sens_7])</f>
        <v>1.0015676731425145</v>
      </c>
      <c r="CJ98" s="19">
        <v>2192</v>
      </c>
      <c r="CK98" s="19">
        <v>2637</v>
      </c>
      <c r="CL98" s="19">
        <v>9.1999999999999998E-2</v>
      </c>
      <c r="CM98" s="19">
        <v>3.9E-2</v>
      </c>
      <c r="CN98" s="19">
        <v>2.5999999999999999E-2</v>
      </c>
      <c r="CO98" s="19">
        <v>2446964</v>
      </c>
      <c r="CP98" s="19">
        <v>187</v>
      </c>
      <c r="CQ98" s="19">
        <v>0</v>
      </c>
      <c r="CR98" s="19">
        <v>1</v>
      </c>
      <c r="CS98" s="19">
        <v>27.005167107900316</v>
      </c>
      <c r="CT98" s="23">
        <f>DataTable[[#This Row],[Sens_8]]/AVERAGEIF(DataTable[Strålkälla],DataTable[[#This Row],[Strålkälla]],DataTable[Sens_8])</f>
        <v>0.99951220515496653</v>
      </c>
      <c r="CU98" s="19">
        <v>1742</v>
      </c>
      <c r="CV98" s="19">
        <v>2098</v>
      </c>
      <c r="CW98" s="19">
        <v>9.2999999999999999E-2</v>
      </c>
      <c r="CX98" s="19">
        <v>4.5999999999999999E-2</v>
      </c>
      <c r="CY98" s="19">
        <v>2.5999999999999999E-2</v>
      </c>
      <c r="CZ98" s="19">
        <v>1962150</v>
      </c>
      <c r="DA98" s="19">
        <v>181</v>
      </c>
      <c r="DB98" s="19">
        <v>0</v>
      </c>
      <c r="DC98" s="19">
        <v>0</v>
      </c>
      <c r="DD98" s="19">
        <v>22.37250044599941</v>
      </c>
      <c r="DE98" s="23">
        <f>DataTable[[#This Row],[Sens_9]]/AVERAGEIF(DataTable[Strålkälla],DataTable[[#This Row],[Strålkälla]],DataTable[Sens_9])</f>
        <v>1.0001652850096912</v>
      </c>
      <c r="DF98" s="19">
        <v>1661</v>
      </c>
      <c r="DG98" s="19">
        <v>2027</v>
      </c>
      <c r="DH98" s="19">
        <v>9.9000000000000005E-2</v>
      </c>
      <c r="DI98" s="19">
        <v>4.2999999999999997E-2</v>
      </c>
      <c r="DJ98" s="19">
        <v>2.8000000000000001E-2</v>
      </c>
      <c r="DK98" s="19">
        <v>1902890</v>
      </c>
      <c r="DL98" s="19">
        <v>181</v>
      </c>
      <c r="DM98" s="19">
        <v>0</v>
      </c>
      <c r="DN98" s="19">
        <v>0</v>
      </c>
      <c r="DO98" s="19">
        <v>21.696815928286735</v>
      </c>
      <c r="DP98" s="23">
        <f>DataTable[[#This Row],[Sens_10]]/AVERAGEIF(DataTable[Strålkälla],DataTable[[#This Row],[Strålkälla]],DataTable[Sens_10])</f>
        <v>1.0000319606681078</v>
      </c>
      <c r="DQ98" s="19">
        <v>1482</v>
      </c>
      <c r="DR98" s="19">
        <v>1778</v>
      </c>
      <c r="DS98" s="19">
        <v>9.0999999999999998E-2</v>
      </c>
      <c r="DT98" s="19">
        <v>0.04</v>
      </c>
      <c r="DU98" s="19">
        <v>2.5999999999999999E-2</v>
      </c>
      <c r="DV98" s="19">
        <v>1672889</v>
      </c>
      <c r="DW98" s="19">
        <v>181</v>
      </c>
      <c r="DX98" s="19">
        <v>0</v>
      </c>
      <c r="DY98" s="19">
        <v>0</v>
      </c>
      <c r="DZ98" s="19">
        <v>19.074336772727627</v>
      </c>
      <c r="EA98" s="19">
        <f>DataTable[[#This Row],[Sens_11]]/AVERAGEIF(DataTable[Strålkälla],DataTable[[#This Row],[Strålkälla]],DataTable[Sens_11])</f>
        <v>0.99960850689066627</v>
      </c>
      <c r="EB98" s="19">
        <v>1755</v>
      </c>
      <c r="EC98" s="19">
        <v>2155</v>
      </c>
      <c r="ED98" s="19">
        <v>0.10199999999999999</v>
      </c>
      <c r="EE98" s="19">
        <v>3.9E-2</v>
      </c>
      <c r="EF98" s="19">
        <v>2.7E-2</v>
      </c>
      <c r="EG98" s="19">
        <v>1992865</v>
      </c>
      <c r="EH98" s="19">
        <v>181</v>
      </c>
      <c r="EI98" s="19">
        <v>0</v>
      </c>
      <c r="EJ98" s="19">
        <v>1</v>
      </c>
      <c r="EK98" s="19">
        <v>22.722713911432162</v>
      </c>
      <c r="EL98" s="23">
        <f>DataTable[[#This Row],[Sens_12]]/AVERAGEIF(DataTable[Strålkälla],DataTable[[#This Row],[Strålkälla]],DataTable[Sens_12])</f>
        <v>1.0008899499817583</v>
      </c>
      <c r="EM98" s="19">
        <v>1525</v>
      </c>
      <c r="EN98" s="19">
        <v>1866</v>
      </c>
      <c r="EO98" s="19">
        <v>0.10100000000000001</v>
      </c>
      <c r="EP98" s="19">
        <v>3.7999999999999999E-2</v>
      </c>
      <c r="EQ98" s="19">
        <v>2.8000000000000001E-2</v>
      </c>
      <c r="ER98" s="19">
        <v>1705124</v>
      </c>
      <c r="ES98" s="19">
        <v>195</v>
      </c>
      <c r="ET98" s="19">
        <v>0</v>
      </c>
      <c r="EU98" s="19">
        <v>1</v>
      </c>
      <c r="EV98" s="19">
        <v>18.046053951905606</v>
      </c>
      <c r="EW98" s="19">
        <f>DataTable[[#This Row],[Sens_13]]/AVERAGEIF(DataTable[Strålkälla],DataTable[[#This Row],[Strålkälla]],DataTable[Sens_13])</f>
        <v>1.0016682184025083</v>
      </c>
      <c r="EX98" s="19">
        <v>1251</v>
      </c>
      <c r="EY98" s="19">
        <v>1535</v>
      </c>
      <c r="EZ98" s="19">
        <v>0.10199999999999999</v>
      </c>
      <c r="FA98" s="19">
        <v>5.6000000000000001E-2</v>
      </c>
      <c r="FB98" s="19">
        <v>0.03</v>
      </c>
      <c r="FC98" s="19">
        <v>1441211</v>
      </c>
      <c r="FD98" s="19">
        <v>195</v>
      </c>
      <c r="FE98" s="19">
        <v>0</v>
      </c>
      <c r="FF98" s="19">
        <v>0</v>
      </c>
      <c r="FG98" s="19">
        <v>15.252950203081905</v>
      </c>
      <c r="FH98" s="19">
        <f>DataTable[[#This Row],[Sens_14]]/AVERAGEIF(DataTable[Strålkälla],DataTable[[#This Row],[Strålkälla]],DataTable[Sens_14])</f>
        <v>0.99904211044507352</v>
      </c>
      <c r="FI98" s="19">
        <v>1437</v>
      </c>
      <c r="FJ98" s="19">
        <v>1744</v>
      </c>
      <c r="FK98" s="19">
        <v>9.7000000000000003E-2</v>
      </c>
      <c r="FL98" s="19">
        <v>4.3999999999999997E-2</v>
      </c>
      <c r="FM98" s="19">
        <v>2.8000000000000001E-2</v>
      </c>
      <c r="FN98" s="19">
        <v>1629405</v>
      </c>
      <c r="FO98" s="19">
        <v>195</v>
      </c>
      <c r="FP98" s="19">
        <v>0</v>
      </c>
      <c r="FQ98" s="19">
        <v>0</v>
      </c>
      <c r="FR98" s="19">
        <v>17.244687506307315</v>
      </c>
      <c r="FS98" s="19">
        <f>DataTable[[#This Row],[Sens_15]]/AVERAGEIF(DataTable[Strålkälla],DataTable[[#This Row],[Strålkälla]],DataTable[Sens_15])</f>
        <v>0.99825469382768495</v>
      </c>
      <c r="FT98" s="19">
        <v>1295</v>
      </c>
      <c r="FU98" s="19">
        <v>1560</v>
      </c>
      <c r="FV98" s="19">
        <v>9.2999999999999999E-2</v>
      </c>
      <c r="FW98" s="19">
        <v>4.4999999999999998E-2</v>
      </c>
      <c r="FX98" s="19">
        <v>2.9000000000000001E-2</v>
      </c>
      <c r="FY98" s="19">
        <v>1463752</v>
      </c>
      <c r="FZ98" s="19">
        <v>195</v>
      </c>
      <c r="GA98" s="19">
        <v>0</v>
      </c>
      <c r="GB98" s="19">
        <v>0</v>
      </c>
      <c r="GC98" s="19">
        <v>15.491511212210803</v>
      </c>
      <c r="GD98" s="19">
        <f>DataTable[[#This Row],[Sens_16]]/AVERAGEIF(DataTable[Strålkälla],DataTable[[#This Row],[Strålkälla]],DataTable[Sens_16])</f>
        <v>0.99673817179345281</v>
      </c>
      <c r="GE98" s="19">
        <v>1249</v>
      </c>
      <c r="GF98" s="19">
        <v>1497</v>
      </c>
      <c r="GG98" s="19">
        <v>0.09</v>
      </c>
      <c r="GH98" s="19">
        <v>4.2000000000000003E-2</v>
      </c>
      <c r="GI98" s="19">
        <v>3.1E-2</v>
      </c>
      <c r="GJ98" s="19">
        <v>1408600</v>
      </c>
      <c r="GK98" s="19">
        <v>195</v>
      </c>
      <c r="GL98" s="19">
        <v>0</v>
      </c>
      <c r="GM98" s="19">
        <v>0</v>
      </c>
      <c r="GN98" s="19">
        <v>14.907814092496636</v>
      </c>
      <c r="GO98" s="19">
        <f>DataTable[[#This Row],[Sens_17]]/AVERAGEIF(DataTable[Strålkälla],DataTable[[#This Row],[Strålkälla]],DataTable[Sens_17])</f>
        <v>0.99903893790382914</v>
      </c>
      <c r="GP98" s="19">
        <v>1461</v>
      </c>
      <c r="GQ98" s="19">
        <v>1729</v>
      </c>
      <c r="GR98" s="19">
        <v>8.4000000000000005E-2</v>
      </c>
      <c r="GS98" s="19">
        <v>4.2000000000000003E-2</v>
      </c>
      <c r="GT98" s="19">
        <v>2.8000000000000001E-2</v>
      </c>
      <c r="GU98" s="19">
        <v>1628216</v>
      </c>
      <c r="GV98" s="19">
        <v>195</v>
      </c>
      <c r="GW98" s="19">
        <v>0</v>
      </c>
      <c r="GX98" s="19">
        <v>0</v>
      </c>
      <c r="GY98" s="19">
        <v>17.232103812600101</v>
      </c>
      <c r="GZ98" s="19">
        <f>DataTable[[#This Row],[Sens_18]]/AVERAGEIF(DataTable[Strålkälla],DataTable[[#This Row],[Strålkälla]],DataTable[Sens_18])</f>
        <v>0.99799333561849091</v>
      </c>
      <c r="HA98" s="19">
        <v>1278</v>
      </c>
      <c r="HB98" s="19">
        <v>1584</v>
      </c>
      <c r="HC98" s="19">
        <v>0.107</v>
      </c>
      <c r="HD98" s="19">
        <v>5.3999999999999999E-2</v>
      </c>
      <c r="HE98" s="19">
        <v>0.03</v>
      </c>
      <c r="HF98" s="19">
        <v>1475432</v>
      </c>
      <c r="HG98" s="19">
        <v>195</v>
      </c>
      <c r="HH98" s="19">
        <v>0</v>
      </c>
      <c r="HI98" s="19">
        <v>0</v>
      </c>
      <c r="HJ98" s="19">
        <v>15.615125629788796</v>
      </c>
      <c r="HK98" s="19">
        <f>DataTable[[#This Row],[Sens_19]]/AVERAGEIF(DataTable[Strålkälla],DataTable[[#This Row],[Strålkälla]],DataTable[Sens_19])</f>
        <v>0.99796569461908613</v>
      </c>
      <c r="HL98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0.107</v>
      </c>
      <c r="HM98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9.768421052631579E-2</v>
      </c>
      <c r="HN98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5.6000000000000001E-2</v>
      </c>
      <c r="HO98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4.2736842105263163E-2</v>
      </c>
      <c r="HP98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0.99673817179345281</v>
      </c>
      <c r="HQ98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0.99933160676704158</v>
      </c>
      <c r="HR98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1.0016682184025083</v>
      </c>
      <c r="HS98" s="49"/>
    </row>
    <row r="99" spans="2:227" x14ac:dyDescent="0.25">
      <c r="B99" s="19" t="s">
        <v>43</v>
      </c>
      <c r="C99" s="20">
        <v>42690</v>
      </c>
      <c r="D99" s="21">
        <v>0.32858796296296294</v>
      </c>
      <c r="E99" s="13" t="s">
        <v>217</v>
      </c>
      <c r="F99" s="13">
        <v>109.8</v>
      </c>
      <c r="G99" s="13">
        <v>134.19999999999999</v>
      </c>
      <c r="H99" s="24">
        <v>9.4335000000000004</v>
      </c>
      <c r="I99" s="22">
        <f>MATCH(DataTable[[#This Row],[Datum]],Övrigt!$D$10:$M$10,1)</f>
        <v>2</v>
      </c>
      <c r="J99" s="13"/>
      <c r="K99" s="22">
        <v>1788</v>
      </c>
      <c r="L99" s="22">
        <v>2149</v>
      </c>
      <c r="M99" s="23">
        <v>9.1999999999999998E-2</v>
      </c>
      <c r="N99" s="23">
        <v>0.04</v>
      </c>
      <c r="O99" s="23">
        <v>2.5999999999999999E-2</v>
      </c>
      <c r="P99" s="22">
        <v>2034147</v>
      </c>
      <c r="Q99" s="24">
        <v>188</v>
      </c>
      <c r="R99" s="22">
        <v>0</v>
      </c>
      <c r="S99" s="22">
        <v>0</v>
      </c>
      <c r="T99" s="19">
        <v>22.444035889382942</v>
      </c>
      <c r="U99" s="23">
        <f>DataTable[[#This Row],[Sens_1]]/AVERAGEIF(DataTable[Strålkälla],DataTable[[#This Row],[Strålkälla]],DataTable[Sens_1])</f>
        <v>1.0015373804712144</v>
      </c>
      <c r="V99" s="22">
        <v>2168</v>
      </c>
      <c r="W99" s="22">
        <v>2625</v>
      </c>
      <c r="X99" s="23">
        <v>9.5000000000000001E-2</v>
      </c>
      <c r="Y99" s="23">
        <v>4.2000000000000003E-2</v>
      </c>
      <c r="Z99" s="23">
        <v>2.5000000000000001E-2</v>
      </c>
      <c r="AA99" s="22">
        <v>2451989</v>
      </c>
      <c r="AB99" s="24">
        <v>188</v>
      </c>
      <c r="AC99" s="22">
        <v>0</v>
      </c>
      <c r="AD99" s="22">
        <v>0</v>
      </c>
      <c r="AE99" s="19">
        <v>27.05435207798266</v>
      </c>
      <c r="AF99" s="23">
        <f>DataTable[[#This Row],[Sens_2]]/AVERAGEIF(DataTable[Strålkälla],DataTable[[#This Row],[Strålkälla]],DataTable[Sens_2])</f>
        <v>1.0004602801706417</v>
      </c>
      <c r="AG99" s="22">
        <v>1905</v>
      </c>
      <c r="AH99" s="22">
        <v>2307</v>
      </c>
      <c r="AI99" s="23">
        <v>9.5000000000000001E-2</v>
      </c>
      <c r="AJ99" s="23">
        <v>4.4999999999999998E-2</v>
      </c>
      <c r="AK99" s="23">
        <v>2.5999999999999999E-2</v>
      </c>
      <c r="AL99" s="22">
        <v>2142034</v>
      </c>
      <c r="AM99" s="24">
        <v>188</v>
      </c>
      <c r="AN99" s="22">
        <v>0</v>
      </c>
      <c r="AO99" s="22">
        <v>1</v>
      </c>
      <c r="AP99" s="19">
        <v>23.634421687458431</v>
      </c>
      <c r="AQ99" s="23">
        <f>DataTable[[#This Row],[Sens_3]]/AVERAGEIF(DataTable[Strålkälla],DataTable[[#This Row],[Strålkälla]],DataTable[Sens_3])</f>
        <v>1.0008918679065724</v>
      </c>
      <c r="AR99" s="22">
        <v>1850</v>
      </c>
      <c r="AS99" s="22">
        <v>2191</v>
      </c>
      <c r="AT99" s="23">
        <v>8.4000000000000005E-2</v>
      </c>
      <c r="AU99" s="23">
        <v>3.3000000000000002E-2</v>
      </c>
      <c r="AV99" s="23">
        <v>2.5999999999999999E-2</v>
      </c>
      <c r="AW99" s="22">
        <v>2063099</v>
      </c>
      <c r="AX99" s="24">
        <v>188</v>
      </c>
      <c r="AY99" s="22">
        <v>0</v>
      </c>
      <c r="AZ99" s="22">
        <v>0</v>
      </c>
      <c r="BA99" s="19">
        <v>22.763481694956194</v>
      </c>
      <c r="BB99" s="23">
        <f>DataTable[[#This Row],[Sens_4]]/AVERAGEIF(DataTable[Strålkälla],DataTable[[#This Row],[Strålkälla]],DataTable[Sens_4])</f>
        <v>0.99624152978155889</v>
      </c>
      <c r="BC99" s="22">
        <v>2098</v>
      </c>
      <c r="BD99" s="22">
        <v>2482</v>
      </c>
      <c r="BE99" s="19">
        <v>8.4000000000000005E-2</v>
      </c>
      <c r="BF99" s="19">
        <v>3.9E-2</v>
      </c>
      <c r="BG99" s="19">
        <v>2.3E-2</v>
      </c>
      <c r="BH99" s="19">
        <v>2329789</v>
      </c>
      <c r="BI99" s="19">
        <v>188</v>
      </c>
      <c r="BJ99" s="19">
        <v>0</v>
      </c>
      <c r="BK99" s="19">
        <v>0</v>
      </c>
      <c r="BL99" s="19">
        <v>25.706041859653997</v>
      </c>
      <c r="BM99" s="23">
        <f>DataTable[[#This Row],[Sens_5]]/AVERAGEIF(DataTable[Strålkälla],DataTable[[#This Row],[Strålkälla]],DataTable[Sens_5])</f>
        <v>0.9989286959369047</v>
      </c>
      <c r="BN99" s="19">
        <v>2063</v>
      </c>
      <c r="BO99" s="19">
        <v>2478</v>
      </c>
      <c r="BP99" s="19">
        <v>9.0999999999999998E-2</v>
      </c>
      <c r="BQ99" s="19">
        <v>3.7999999999999999E-2</v>
      </c>
      <c r="BR99" s="19">
        <v>2.4E-2</v>
      </c>
      <c r="BS99" s="19">
        <v>2328556</v>
      </c>
      <c r="BT99" s="19">
        <v>188</v>
      </c>
      <c r="BU99" s="19">
        <v>0</v>
      </c>
      <c r="BV99" s="19">
        <v>0</v>
      </c>
      <c r="BW99" s="19">
        <v>25.692437387483789</v>
      </c>
      <c r="BX99" s="23">
        <f>DataTable[[#This Row],[Sens_6]]/AVERAGEIF(DataTable[Strålkälla],DataTable[[#This Row],[Strålkälla]],DataTable[Sens_6])</f>
        <v>0.99875462857904518</v>
      </c>
      <c r="BY99" s="19">
        <v>1847</v>
      </c>
      <c r="BZ99" s="19">
        <v>2206</v>
      </c>
      <c r="CA99" s="19">
        <v>8.8999999999999996E-2</v>
      </c>
      <c r="CB99" s="19">
        <v>4.2999999999999997E-2</v>
      </c>
      <c r="CC99" s="19">
        <v>2.7E-2</v>
      </c>
      <c r="CD99" s="19">
        <v>2070689</v>
      </c>
      <c r="CE99" s="19">
        <v>188</v>
      </c>
      <c r="CF99" s="19">
        <v>0</v>
      </c>
      <c r="CG99" s="19">
        <v>0</v>
      </c>
      <c r="CH99" s="19">
        <v>22.847226985930945</v>
      </c>
      <c r="CI99" s="23">
        <f>DataTable[[#This Row],[Sens_7]]/AVERAGEIF(DataTable[Strålkälla],DataTable[[#This Row],[Strålkälla]],DataTable[Sens_7])</f>
        <v>0.99920268431250547</v>
      </c>
      <c r="CJ99" s="19">
        <v>2171</v>
      </c>
      <c r="CK99" s="19">
        <v>2601</v>
      </c>
      <c r="CL99" s="19">
        <v>0.09</v>
      </c>
      <c r="CM99" s="19">
        <v>3.2000000000000001E-2</v>
      </c>
      <c r="CN99" s="19">
        <v>2.4E-2</v>
      </c>
      <c r="CO99" s="19">
        <v>2444056</v>
      </c>
      <c r="CP99" s="19">
        <v>188</v>
      </c>
      <c r="CQ99" s="19">
        <v>0</v>
      </c>
      <c r="CR99" s="19">
        <v>0</v>
      </c>
      <c r="CS99" s="19">
        <v>26.966822250143043</v>
      </c>
      <c r="CT99" s="23">
        <f>DataTable[[#This Row],[Sens_8]]/AVERAGEIF(DataTable[Strålkälla],DataTable[[#This Row],[Strålkälla]],DataTable[Sens_8])</f>
        <v>0.99809298959595183</v>
      </c>
      <c r="CU99" s="19">
        <v>1733</v>
      </c>
      <c r="CV99" s="19">
        <v>2095</v>
      </c>
      <c r="CW99" s="19">
        <v>9.5000000000000001E-2</v>
      </c>
      <c r="CX99" s="19">
        <v>3.3000000000000002E-2</v>
      </c>
      <c r="CY99" s="19">
        <v>2.8000000000000001E-2</v>
      </c>
      <c r="CZ99" s="19">
        <v>1963380</v>
      </c>
      <c r="DA99" s="19">
        <v>182</v>
      </c>
      <c r="DB99" s="19">
        <v>0</v>
      </c>
      <c r="DC99" s="19">
        <v>0</v>
      </c>
      <c r="DD99" s="19">
        <v>22.377390671700176</v>
      </c>
      <c r="DE99" s="23">
        <f>DataTable[[#This Row],[Sens_9]]/AVERAGEIF(DataTable[Strålkälla],DataTable[[#This Row],[Strålkälla]],DataTable[Sens_9])</f>
        <v>1.0003839031294481</v>
      </c>
      <c r="DF99" s="19">
        <v>1717</v>
      </c>
      <c r="DG99" s="19">
        <v>2033</v>
      </c>
      <c r="DH99" s="19">
        <v>8.4000000000000005E-2</v>
      </c>
      <c r="DI99" s="19">
        <v>3.5999999999999997E-2</v>
      </c>
      <c r="DJ99" s="19">
        <v>2.5000000000000001E-2</v>
      </c>
      <c r="DK99" s="19">
        <v>1902025</v>
      </c>
      <c r="DL99" s="19">
        <v>182</v>
      </c>
      <c r="DM99" s="19">
        <v>0</v>
      </c>
      <c r="DN99" s="19">
        <v>0</v>
      </c>
      <c r="DO99" s="19">
        <v>21.678104336572915</v>
      </c>
      <c r="DP99" s="23">
        <f>DataTable[[#This Row],[Sens_10]]/AVERAGEIF(DataTable[Strålkälla],DataTable[[#This Row],[Strålkälla]],DataTable[Sens_10])</f>
        <v>0.99916952122949898</v>
      </c>
      <c r="DQ99" s="19">
        <v>1473</v>
      </c>
      <c r="DR99" s="19">
        <v>1805</v>
      </c>
      <c r="DS99" s="19">
        <v>0.10100000000000001</v>
      </c>
      <c r="DT99" s="19">
        <v>4.4999999999999998E-2</v>
      </c>
      <c r="DU99" s="19">
        <v>2.7E-2</v>
      </c>
      <c r="DV99" s="19">
        <v>1673451</v>
      </c>
      <c r="DW99" s="19">
        <v>182</v>
      </c>
      <c r="DX99" s="19">
        <v>0</v>
      </c>
      <c r="DY99" s="19">
        <v>0</v>
      </c>
      <c r="DZ99" s="19">
        <v>19.072959282944378</v>
      </c>
      <c r="EA99" s="19">
        <f>DataTable[[#This Row],[Sens_11]]/AVERAGEIF(DataTable[Strålkälla],DataTable[[#This Row],[Strålkälla]],DataTable[Sens_11])</f>
        <v>0.99953631824673617</v>
      </c>
      <c r="EB99" s="19">
        <v>1729</v>
      </c>
      <c r="EC99" s="19">
        <v>2134</v>
      </c>
      <c r="ED99" s="19">
        <v>0.105</v>
      </c>
      <c r="EE99" s="19">
        <v>4.3999999999999997E-2</v>
      </c>
      <c r="EF99" s="19">
        <v>2.7E-2</v>
      </c>
      <c r="EG99" s="19">
        <v>1992267</v>
      </c>
      <c r="EH99" s="19">
        <v>182</v>
      </c>
      <c r="EI99" s="19">
        <v>1</v>
      </c>
      <c r="EJ99" s="19">
        <v>0</v>
      </c>
      <c r="EK99" s="19">
        <v>22.706626827886655</v>
      </c>
      <c r="EL99" s="23">
        <f>DataTable[[#This Row],[Sens_12]]/AVERAGEIF(DataTable[Strålkälla],DataTable[[#This Row],[Strålkälla]],DataTable[Sens_12])</f>
        <v>1.0001813462336333</v>
      </c>
      <c r="EM99" s="19">
        <v>1508</v>
      </c>
      <c r="EN99" s="19">
        <v>1824</v>
      </c>
      <c r="EO99" s="19">
        <v>9.5000000000000001E-2</v>
      </c>
      <c r="EP99" s="19">
        <v>3.5999999999999997E-2</v>
      </c>
      <c r="EQ99" s="19">
        <v>2.8000000000000001E-2</v>
      </c>
      <c r="ER99" s="19">
        <v>1702177</v>
      </c>
      <c r="ES99" s="19">
        <v>196</v>
      </c>
      <c r="ET99" s="19">
        <v>0</v>
      </c>
      <c r="EU99" s="19">
        <v>0</v>
      </c>
      <c r="EV99" s="19">
        <v>18.014620427818127</v>
      </c>
      <c r="EW99" s="19">
        <f>DataTable[[#This Row],[Sens_13]]/AVERAGEIF(DataTable[Strålkälla],DataTable[[#This Row],[Strålkälla]],DataTable[Sens_13])</f>
        <v>0.99992346233812268</v>
      </c>
      <c r="EX99" s="19">
        <v>1265</v>
      </c>
      <c r="EY99" s="19">
        <v>1558</v>
      </c>
      <c r="EZ99" s="19">
        <v>0.104</v>
      </c>
      <c r="FA99" s="19">
        <v>4.8000000000000001E-2</v>
      </c>
      <c r="FB99" s="19">
        <v>3.1E-2</v>
      </c>
      <c r="FC99" s="19">
        <v>1443015</v>
      </c>
      <c r="FD99" s="19">
        <v>196</v>
      </c>
      <c r="FE99" s="19">
        <v>0</v>
      </c>
      <c r="FF99" s="19">
        <v>0</v>
      </c>
      <c r="FG99" s="19">
        <v>15.271835711942986</v>
      </c>
      <c r="FH99" s="19">
        <f>DataTable[[#This Row],[Sens_14]]/AVERAGEIF(DataTable[Strålkälla],DataTable[[#This Row],[Strålkälla]],DataTable[Sens_14])</f>
        <v>1.000279078925151</v>
      </c>
      <c r="FI99" s="19">
        <v>1405</v>
      </c>
      <c r="FJ99" s="19">
        <v>1754</v>
      </c>
      <c r="FK99" s="19">
        <v>0.11</v>
      </c>
      <c r="FL99" s="19">
        <v>0.04</v>
      </c>
      <c r="FM99" s="19">
        <v>2.8000000000000001E-2</v>
      </c>
      <c r="FN99" s="19">
        <v>1632334</v>
      </c>
      <c r="FO99" s="19">
        <v>196</v>
      </c>
      <c r="FP99" s="19">
        <v>1</v>
      </c>
      <c r="FQ99" s="19">
        <v>0</v>
      </c>
      <c r="FR99" s="19">
        <v>17.275452212914448</v>
      </c>
      <c r="FS99" s="19">
        <f>DataTable[[#This Row],[Sens_15]]/AVERAGEIF(DataTable[Strålkälla],DataTable[[#This Row],[Strålkälla]],DataTable[Sens_15])</f>
        <v>1.0000355908583543</v>
      </c>
      <c r="FT99" s="19">
        <v>1306</v>
      </c>
      <c r="FU99" s="19">
        <v>1570</v>
      </c>
      <c r="FV99" s="19">
        <v>9.1999999999999998E-2</v>
      </c>
      <c r="FW99" s="19">
        <v>3.9E-2</v>
      </c>
      <c r="FX99" s="19">
        <v>2.9000000000000001E-2</v>
      </c>
      <c r="FY99" s="19">
        <v>1463273</v>
      </c>
      <c r="FZ99" s="19">
        <v>196</v>
      </c>
      <c r="GA99" s="19">
        <v>0</v>
      </c>
      <c r="GB99" s="19">
        <v>0</v>
      </c>
      <c r="GC99" s="19">
        <v>15.486231853253049</v>
      </c>
      <c r="GD99" s="19">
        <f>DataTable[[#This Row],[Sens_16]]/AVERAGEIF(DataTable[Strålkälla],DataTable[[#This Row],[Strålkälla]],DataTable[Sens_16])</f>
        <v>0.99639849295103977</v>
      </c>
      <c r="GE99" s="19">
        <v>1218</v>
      </c>
      <c r="GF99" s="19">
        <v>1539</v>
      </c>
      <c r="GG99" s="19">
        <v>0.11600000000000001</v>
      </c>
      <c r="GH99" s="19">
        <v>4.2999999999999997E-2</v>
      </c>
      <c r="GI99" s="19">
        <v>3.1E-2</v>
      </c>
      <c r="GJ99" s="19">
        <v>1406529</v>
      </c>
      <c r="GK99" s="19">
        <v>196</v>
      </c>
      <c r="GL99" s="19">
        <v>0</v>
      </c>
      <c r="GM99" s="19">
        <v>0</v>
      </c>
      <c r="GN99" s="19">
        <v>14.885694058678153</v>
      </c>
      <c r="GO99" s="19">
        <f>DataTable[[#This Row],[Sens_17]]/AVERAGEIF(DataTable[Strålkälla],DataTable[[#This Row],[Strålkälla]],DataTable[Sens_17])</f>
        <v>0.99755657603942027</v>
      </c>
      <c r="GP99" s="19">
        <v>1408</v>
      </c>
      <c r="GQ99" s="19">
        <v>1731</v>
      </c>
      <c r="GR99" s="19">
        <v>0.10299999999999999</v>
      </c>
      <c r="GS99" s="19">
        <v>4.2999999999999997E-2</v>
      </c>
      <c r="GT99" s="19">
        <v>2.8000000000000001E-2</v>
      </c>
      <c r="GU99" s="19">
        <v>1627599</v>
      </c>
      <c r="GV99" s="19">
        <v>196</v>
      </c>
      <c r="GW99" s="19">
        <v>1</v>
      </c>
      <c r="GX99" s="19">
        <v>0</v>
      </c>
      <c r="GY99" s="19">
        <v>17.225340369242655</v>
      </c>
      <c r="GZ99" s="19">
        <f>DataTable[[#This Row],[Sens_18]]/AVERAGEIF(DataTable[Strålkälla],DataTable[[#This Row],[Strålkälla]],DataTable[Sens_18])</f>
        <v>0.99760163234940835</v>
      </c>
      <c r="HA99" s="19">
        <v>1315</v>
      </c>
      <c r="HB99" s="19">
        <v>1708</v>
      </c>
      <c r="HC99" s="19">
        <v>0.13</v>
      </c>
      <c r="HD99" s="19">
        <v>9.1999999999999998E-2</v>
      </c>
      <c r="HE99" s="19">
        <v>3.1E-2</v>
      </c>
      <c r="HF99" s="19">
        <v>1477409</v>
      </c>
      <c r="HG99" s="19">
        <v>196</v>
      </c>
      <c r="HH99" s="19">
        <v>0</v>
      </c>
      <c r="HI99" s="19">
        <v>1</v>
      </c>
      <c r="HJ99" s="19">
        <v>15.63583713776085</v>
      </c>
      <c r="HK99" s="19">
        <f>DataTable[[#This Row],[Sens_19]]/AVERAGEIF(DataTable[Strålkälla],DataTable[[#This Row],[Strålkälla]],DataTable[Sens_19])</f>
        <v>0.99928937109342131</v>
      </c>
      <c r="HL99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</v>
      </c>
      <c r="HM99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9.7631578947368444E-2</v>
      </c>
      <c r="HN99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9.1999999999999998E-2</v>
      </c>
      <c r="HO99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4.2684210526315797E-2</v>
      </c>
      <c r="HP99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0.99624152978155889</v>
      </c>
      <c r="HQ99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0.99918238684992777</v>
      </c>
      <c r="HR99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1.0015373804712144</v>
      </c>
      <c r="HS99" s="49"/>
    </row>
    <row r="100" spans="2:227" x14ac:dyDescent="0.25">
      <c r="B100" s="19" t="s">
        <v>43</v>
      </c>
      <c r="C100" s="20">
        <v>42690</v>
      </c>
      <c r="D100" s="21">
        <v>0.32858796296296294</v>
      </c>
      <c r="E100" s="13" t="s">
        <v>217</v>
      </c>
      <c r="F100" s="13">
        <v>109.8</v>
      </c>
      <c r="G100" s="13">
        <v>134.19999999999999</v>
      </c>
      <c r="H100" s="24">
        <v>9.4335000000000004</v>
      </c>
      <c r="I100" s="22">
        <f>MATCH(DataTable[[#This Row],[Datum]],Övrigt!$D$10:$M$10,1)</f>
        <v>2</v>
      </c>
      <c r="J100" s="13"/>
      <c r="K100" s="22">
        <v>1788</v>
      </c>
      <c r="L100" s="22">
        <v>2149</v>
      </c>
      <c r="M100" s="23">
        <v>9.1999999999999998E-2</v>
      </c>
      <c r="N100" s="23">
        <v>0.04</v>
      </c>
      <c r="O100" s="23">
        <v>2.5999999999999999E-2</v>
      </c>
      <c r="P100" s="22">
        <v>2034147</v>
      </c>
      <c r="Q100" s="24">
        <v>188</v>
      </c>
      <c r="R100" s="22">
        <v>0</v>
      </c>
      <c r="S100" s="22">
        <v>0</v>
      </c>
      <c r="T100" s="19">
        <v>22.444035889382942</v>
      </c>
      <c r="U100" s="23">
        <f>DataTable[[#This Row],[Sens_1]]/AVERAGEIF(DataTable[Strålkälla],DataTable[[#This Row],[Strålkälla]],DataTable[Sens_1])</f>
        <v>1.0015373804712144</v>
      </c>
      <c r="V100" s="22">
        <v>2168</v>
      </c>
      <c r="W100" s="22">
        <v>2625</v>
      </c>
      <c r="X100" s="23">
        <v>9.5000000000000001E-2</v>
      </c>
      <c r="Y100" s="23">
        <v>4.2000000000000003E-2</v>
      </c>
      <c r="Z100" s="23">
        <v>2.5000000000000001E-2</v>
      </c>
      <c r="AA100" s="22">
        <v>2451989</v>
      </c>
      <c r="AB100" s="24">
        <v>188</v>
      </c>
      <c r="AC100" s="22">
        <v>0</v>
      </c>
      <c r="AD100" s="22">
        <v>0</v>
      </c>
      <c r="AE100" s="19">
        <v>27.05435207798266</v>
      </c>
      <c r="AF100" s="23">
        <f>DataTable[[#This Row],[Sens_2]]/AVERAGEIF(DataTable[Strålkälla],DataTable[[#This Row],[Strålkälla]],DataTable[Sens_2])</f>
        <v>1.0004602801706417</v>
      </c>
      <c r="AG100" s="22">
        <v>1905</v>
      </c>
      <c r="AH100" s="22">
        <v>2307</v>
      </c>
      <c r="AI100" s="23">
        <v>9.5000000000000001E-2</v>
      </c>
      <c r="AJ100" s="23">
        <v>4.4999999999999998E-2</v>
      </c>
      <c r="AK100" s="23">
        <v>2.5999999999999999E-2</v>
      </c>
      <c r="AL100" s="22">
        <v>2142034</v>
      </c>
      <c r="AM100" s="24">
        <v>188</v>
      </c>
      <c r="AN100" s="22">
        <v>0</v>
      </c>
      <c r="AO100" s="22">
        <v>1</v>
      </c>
      <c r="AP100" s="19">
        <v>23.634421687458431</v>
      </c>
      <c r="AQ100" s="23">
        <f>DataTable[[#This Row],[Sens_3]]/AVERAGEIF(DataTable[Strålkälla],DataTable[[#This Row],[Strålkälla]],DataTable[Sens_3])</f>
        <v>1.0008918679065724</v>
      </c>
      <c r="AR100" s="22">
        <v>1850</v>
      </c>
      <c r="AS100" s="22">
        <v>2191</v>
      </c>
      <c r="AT100" s="23">
        <v>8.4000000000000005E-2</v>
      </c>
      <c r="AU100" s="23">
        <v>3.3000000000000002E-2</v>
      </c>
      <c r="AV100" s="23">
        <v>2.5999999999999999E-2</v>
      </c>
      <c r="AW100" s="22">
        <v>2063099</v>
      </c>
      <c r="AX100" s="24">
        <v>188</v>
      </c>
      <c r="AY100" s="22">
        <v>0</v>
      </c>
      <c r="AZ100" s="22">
        <v>0</v>
      </c>
      <c r="BA100" s="19">
        <v>22.763481694956194</v>
      </c>
      <c r="BB100" s="23">
        <f>DataTable[[#This Row],[Sens_4]]/AVERAGEIF(DataTable[Strålkälla],DataTable[[#This Row],[Strålkälla]],DataTable[Sens_4])</f>
        <v>0.99624152978155889</v>
      </c>
      <c r="BC100" s="22">
        <v>2098</v>
      </c>
      <c r="BD100" s="22">
        <v>2482</v>
      </c>
      <c r="BE100" s="19">
        <v>8.4000000000000005E-2</v>
      </c>
      <c r="BF100" s="19">
        <v>3.9E-2</v>
      </c>
      <c r="BG100" s="19">
        <v>2.3E-2</v>
      </c>
      <c r="BH100" s="19">
        <v>2329789</v>
      </c>
      <c r="BI100" s="19">
        <v>188</v>
      </c>
      <c r="BJ100" s="19">
        <v>0</v>
      </c>
      <c r="BK100" s="19">
        <v>0</v>
      </c>
      <c r="BL100" s="19">
        <v>25.706041859653997</v>
      </c>
      <c r="BM100" s="23">
        <f>DataTable[[#This Row],[Sens_5]]/AVERAGEIF(DataTable[Strålkälla],DataTable[[#This Row],[Strålkälla]],DataTable[Sens_5])</f>
        <v>0.9989286959369047</v>
      </c>
      <c r="BN100" s="19">
        <v>2063</v>
      </c>
      <c r="BO100" s="19">
        <v>2478</v>
      </c>
      <c r="BP100" s="19">
        <v>9.0999999999999998E-2</v>
      </c>
      <c r="BQ100" s="19">
        <v>3.7999999999999999E-2</v>
      </c>
      <c r="BR100" s="19">
        <v>2.4E-2</v>
      </c>
      <c r="BS100" s="19">
        <v>2328556</v>
      </c>
      <c r="BT100" s="19">
        <v>188</v>
      </c>
      <c r="BU100" s="19">
        <v>0</v>
      </c>
      <c r="BV100" s="19">
        <v>0</v>
      </c>
      <c r="BW100" s="19">
        <v>25.692437387483789</v>
      </c>
      <c r="BX100" s="23">
        <f>DataTable[[#This Row],[Sens_6]]/AVERAGEIF(DataTable[Strålkälla],DataTable[[#This Row],[Strålkälla]],DataTable[Sens_6])</f>
        <v>0.99875462857904518</v>
      </c>
      <c r="BY100" s="19">
        <v>1847</v>
      </c>
      <c r="BZ100" s="19">
        <v>2206</v>
      </c>
      <c r="CA100" s="19">
        <v>8.8999999999999996E-2</v>
      </c>
      <c r="CB100" s="19">
        <v>4.2999999999999997E-2</v>
      </c>
      <c r="CC100" s="19">
        <v>2.7E-2</v>
      </c>
      <c r="CD100" s="19">
        <v>2070689</v>
      </c>
      <c r="CE100" s="19">
        <v>188</v>
      </c>
      <c r="CF100" s="19">
        <v>0</v>
      </c>
      <c r="CG100" s="19">
        <v>0</v>
      </c>
      <c r="CH100" s="19">
        <v>22.847226985930945</v>
      </c>
      <c r="CI100" s="23">
        <f>DataTable[[#This Row],[Sens_7]]/AVERAGEIF(DataTable[Strålkälla],DataTable[[#This Row],[Strålkälla]],DataTable[Sens_7])</f>
        <v>0.99920268431250547</v>
      </c>
      <c r="CJ100" s="19">
        <v>2171</v>
      </c>
      <c r="CK100" s="19">
        <v>2601</v>
      </c>
      <c r="CL100" s="19">
        <v>0.09</v>
      </c>
      <c r="CM100" s="19">
        <v>3.2000000000000001E-2</v>
      </c>
      <c r="CN100" s="19">
        <v>2.4E-2</v>
      </c>
      <c r="CO100" s="19">
        <v>2444056</v>
      </c>
      <c r="CP100" s="19">
        <v>188</v>
      </c>
      <c r="CQ100" s="19">
        <v>0</v>
      </c>
      <c r="CR100" s="19">
        <v>0</v>
      </c>
      <c r="CS100" s="19">
        <v>26.966822250143043</v>
      </c>
      <c r="CT100" s="23">
        <f>DataTable[[#This Row],[Sens_8]]/AVERAGEIF(DataTable[Strålkälla],DataTable[[#This Row],[Strålkälla]],DataTable[Sens_8])</f>
        <v>0.99809298959595183</v>
      </c>
      <c r="CU100" s="19">
        <v>1733</v>
      </c>
      <c r="CV100" s="19">
        <v>2095</v>
      </c>
      <c r="CW100" s="19">
        <v>9.5000000000000001E-2</v>
      </c>
      <c r="CX100" s="19">
        <v>3.3000000000000002E-2</v>
      </c>
      <c r="CY100" s="19">
        <v>2.8000000000000001E-2</v>
      </c>
      <c r="CZ100" s="19">
        <v>1963380</v>
      </c>
      <c r="DA100" s="19">
        <v>182</v>
      </c>
      <c r="DB100" s="19">
        <v>0</v>
      </c>
      <c r="DC100" s="19">
        <v>0</v>
      </c>
      <c r="DD100" s="19">
        <v>22.377390671700176</v>
      </c>
      <c r="DE100" s="23">
        <f>DataTable[[#This Row],[Sens_9]]/AVERAGEIF(DataTable[Strålkälla],DataTable[[#This Row],[Strålkälla]],DataTable[Sens_9])</f>
        <v>1.0003839031294481</v>
      </c>
      <c r="DF100" s="19">
        <v>1717</v>
      </c>
      <c r="DG100" s="19">
        <v>2033</v>
      </c>
      <c r="DH100" s="19">
        <v>8.4000000000000005E-2</v>
      </c>
      <c r="DI100" s="19">
        <v>3.5999999999999997E-2</v>
      </c>
      <c r="DJ100" s="19">
        <v>2.5000000000000001E-2</v>
      </c>
      <c r="DK100" s="19">
        <v>1902025</v>
      </c>
      <c r="DL100" s="19">
        <v>182</v>
      </c>
      <c r="DM100" s="19">
        <v>0</v>
      </c>
      <c r="DN100" s="19">
        <v>0</v>
      </c>
      <c r="DO100" s="19">
        <v>21.678104336572915</v>
      </c>
      <c r="DP100" s="23">
        <f>DataTable[[#This Row],[Sens_10]]/AVERAGEIF(DataTable[Strålkälla],DataTable[[#This Row],[Strålkälla]],DataTable[Sens_10])</f>
        <v>0.99916952122949898</v>
      </c>
      <c r="DQ100" s="19">
        <v>1473</v>
      </c>
      <c r="DR100" s="19">
        <v>1805</v>
      </c>
      <c r="DS100" s="19">
        <v>0.10100000000000001</v>
      </c>
      <c r="DT100" s="19">
        <v>4.4999999999999998E-2</v>
      </c>
      <c r="DU100" s="19">
        <v>2.7E-2</v>
      </c>
      <c r="DV100" s="19">
        <v>1673451</v>
      </c>
      <c r="DW100" s="19">
        <v>182</v>
      </c>
      <c r="DX100" s="19">
        <v>0</v>
      </c>
      <c r="DY100" s="19">
        <v>0</v>
      </c>
      <c r="DZ100" s="19">
        <v>19.072959282944378</v>
      </c>
      <c r="EA100" s="19">
        <f>DataTable[[#This Row],[Sens_11]]/AVERAGEIF(DataTable[Strålkälla],DataTable[[#This Row],[Strålkälla]],DataTable[Sens_11])</f>
        <v>0.99953631824673617</v>
      </c>
      <c r="EB100" s="19">
        <v>1729</v>
      </c>
      <c r="EC100" s="19">
        <v>2134</v>
      </c>
      <c r="ED100" s="19">
        <v>0.105</v>
      </c>
      <c r="EE100" s="19">
        <v>4.3999999999999997E-2</v>
      </c>
      <c r="EF100" s="19">
        <v>2.7E-2</v>
      </c>
      <c r="EG100" s="19">
        <v>1992267</v>
      </c>
      <c r="EH100" s="19">
        <v>182</v>
      </c>
      <c r="EI100" s="19">
        <v>1</v>
      </c>
      <c r="EJ100" s="19">
        <v>0</v>
      </c>
      <c r="EK100" s="19">
        <v>22.706626827886655</v>
      </c>
      <c r="EL100" s="23">
        <f>DataTable[[#This Row],[Sens_12]]/AVERAGEIF(DataTable[Strålkälla],DataTable[[#This Row],[Strålkälla]],DataTable[Sens_12])</f>
        <v>1.0001813462336333</v>
      </c>
      <c r="EM100" s="19">
        <v>1508</v>
      </c>
      <c r="EN100" s="19">
        <v>1824</v>
      </c>
      <c r="EO100" s="19">
        <v>9.5000000000000001E-2</v>
      </c>
      <c r="EP100" s="19">
        <v>3.5999999999999997E-2</v>
      </c>
      <c r="EQ100" s="19">
        <v>2.8000000000000001E-2</v>
      </c>
      <c r="ER100" s="19">
        <v>1702177</v>
      </c>
      <c r="ES100" s="19">
        <v>196</v>
      </c>
      <c r="ET100" s="19">
        <v>0</v>
      </c>
      <c r="EU100" s="19">
        <v>0</v>
      </c>
      <c r="EV100" s="19">
        <v>18.014620427818127</v>
      </c>
      <c r="EW100" s="19">
        <f>DataTable[[#This Row],[Sens_13]]/AVERAGEIF(DataTable[Strålkälla],DataTable[[#This Row],[Strålkälla]],DataTable[Sens_13])</f>
        <v>0.99992346233812268</v>
      </c>
      <c r="EX100" s="19">
        <v>1265</v>
      </c>
      <c r="EY100" s="19">
        <v>1558</v>
      </c>
      <c r="EZ100" s="19">
        <v>0.104</v>
      </c>
      <c r="FA100" s="19">
        <v>4.8000000000000001E-2</v>
      </c>
      <c r="FB100" s="19">
        <v>3.1E-2</v>
      </c>
      <c r="FC100" s="19">
        <v>1443015</v>
      </c>
      <c r="FD100" s="19">
        <v>196</v>
      </c>
      <c r="FE100" s="19">
        <v>0</v>
      </c>
      <c r="FF100" s="19">
        <v>0</v>
      </c>
      <c r="FG100" s="19">
        <v>15.271835711942986</v>
      </c>
      <c r="FH100" s="19">
        <f>DataTable[[#This Row],[Sens_14]]/AVERAGEIF(DataTable[Strålkälla],DataTable[[#This Row],[Strålkälla]],DataTable[Sens_14])</f>
        <v>1.000279078925151</v>
      </c>
      <c r="FI100" s="19">
        <v>1405</v>
      </c>
      <c r="FJ100" s="19">
        <v>1754</v>
      </c>
      <c r="FK100" s="19">
        <v>0.11</v>
      </c>
      <c r="FL100" s="19">
        <v>0.04</v>
      </c>
      <c r="FM100" s="19">
        <v>2.8000000000000001E-2</v>
      </c>
      <c r="FN100" s="19">
        <v>1632334</v>
      </c>
      <c r="FO100" s="19">
        <v>196</v>
      </c>
      <c r="FP100" s="19">
        <v>1</v>
      </c>
      <c r="FQ100" s="19">
        <v>0</v>
      </c>
      <c r="FR100" s="19">
        <v>17.275452212914448</v>
      </c>
      <c r="FS100" s="19">
        <f>DataTable[[#This Row],[Sens_15]]/AVERAGEIF(DataTable[Strålkälla],DataTable[[#This Row],[Strålkälla]],DataTable[Sens_15])</f>
        <v>1.0000355908583543</v>
      </c>
      <c r="FT100" s="19">
        <v>1306</v>
      </c>
      <c r="FU100" s="19">
        <v>1570</v>
      </c>
      <c r="FV100" s="19">
        <v>9.1999999999999998E-2</v>
      </c>
      <c r="FW100" s="19">
        <v>3.9E-2</v>
      </c>
      <c r="FX100" s="19">
        <v>2.9000000000000001E-2</v>
      </c>
      <c r="FY100" s="19">
        <v>1463273</v>
      </c>
      <c r="FZ100" s="19">
        <v>196</v>
      </c>
      <c r="GA100" s="19">
        <v>0</v>
      </c>
      <c r="GB100" s="19">
        <v>0</v>
      </c>
      <c r="GC100" s="19">
        <v>15.486231853253049</v>
      </c>
      <c r="GD100" s="19">
        <f>DataTable[[#This Row],[Sens_16]]/AVERAGEIF(DataTable[Strålkälla],DataTable[[#This Row],[Strålkälla]],DataTable[Sens_16])</f>
        <v>0.99639849295103977</v>
      </c>
      <c r="GE100" s="19">
        <v>1218</v>
      </c>
      <c r="GF100" s="19">
        <v>1539</v>
      </c>
      <c r="GG100" s="19">
        <v>0.11600000000000001</v>
      </c>
      <c r="GH100" s="19">
        <v>4.2999999999999997E-2</v>
      </c>
      <c r="GI100" s="19">
        <v>3.1E-2</v>
      </c>
      <c r="GJ100" s="19">
        <v>1406529</v>
      </c>
      <c r="GK100" s="19">
        <v>196</v>
      </c>
      <c r="GL100" s="19">
        <v>0</v>
      </c>
      <c r="GM100" s="19">
        <v>0</v>
      </c>
      <c r="GN100" s="19">
        <v>14.885694058678153</v>
      </c>
      <c r="GO100" s="19">
        <f>DataTable[[#This Row],[Sens_17]]/AVERAGEIF(DataTable[Strålkälla],DataTable[[#This Row],[Strålkälla]],DataTable[Sens_17])</f>
        <v>0.99755657603942027</v>
      </c>
      <c r="GP100" s="19">
        <v>1408</v>
      </c>
      <c r="GQ100" s="19">
        <v>1731</v>
      </c>
      <c r="GR100" s="19">
        <v>0.10299999999999999</v>
      </c>
      <c r="GS100" s="19">
        <v>4.2999999999999997E-2</v>
      </c>
      <c r="GT100" s="19">
        <v>2.8000000000000001E-2</v>
      </c>
      <c r="GU100" s="19">
        <v>1627599</v>
      </c>
      <c r="GV100" s="19">
        <v>196</v>
      </c>
      <c r="GW100" s="19">
        <v>1</v>
      </c>
      <c r="GX100" s="19">
        <v>0</v>
      </c>
      <c r="GY100" s="19">
        <v>17.225340369242655</v>
      </c>
      <c r="GZ100" s="19">
        <f>DataTable[[#This Row],[Sens_18]]/AVERAGEIF(DataTable[Strålkälla],DataTable[[#This Row],[Strålkälla]],DataTable[Sens_18])</f>
        <v>0.99760163234940835</v>
      </c>
      <c r="HA100" s="19">
        <v>1315</v>
      </c>
      <c r="HB100" s="19">
        <v>1708</v>
      </c>
      <c r="HC100" s="19">
        <v>0.13</v>
      </c>
      <c r="HD100" s="19">
        <v>9.1999999999999998E-2</v>
      </c>
      <c r="HE100" s="19">
        <v>3.1E-2</v>
      </c>
      <c r="HF100" s="19">
        <v>1477409</v>
      </c>
      <c r="HG100" s="19">
        <v>196</v>
      </c>
      <c r="HH100" s="19">
        <v>0</v>
      </c>
      <c r="HI100" s="19">
        <v>1</v>
      </c>
      <c r="HJ100" s="19">
        <v>15.63583713776085</v>
      </c>
      <c r="HK100" s="19">
        <f>DataTable[[#This Row],[Sens_19]]/AVERAGEIF(DataTable[Strålkälla],DataTable[[#This Row],[Strålkälla]],DataTable[Sens_19])</f>
        <v>0.99928937109342131</v>
      </c>
      <c r="HL100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0.13</v>
      </c>
      <c r="HM100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9.7631578947368444E-2</v>
      </c>
      <c r="HN100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9.1999999999999998E-2</v>
      </c>
      <c r="HO100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4.2684210526315797E-2</v>
      </c>
      <c r="HP100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0.99624152978155889</v>
      </c>
      <c r="HQ100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0.99918238684992777</v>
      </c>
      <c r="HR100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1.0015373804712144</v>
      </c>
      <c r="HS100" s="49"/>
    </row>
    <row r="101" spans="2:227" x14ac:dyDescent="0.25">
      <c r="B101" s="19" t="s">
        <v>43</v>
      </c>
      <c r="C101" s="20">
        <v>42695</v>
      </c>
      <c r="D101" s="21">
        <v>0.31880787037037034</v>
      </c>
      <c r="E101" s="13" t="s">
        <v>217</v>
      </c>
      <c r="F101" s="13">
        <v>109.8</v>
      </c>
      <c r="G101" s="13">
        <v>134.19999999999999</v>
      </c>
      <c r="H101" s="24">
        <v>9.5684000000000005</v>
      </c>
      <c r="I101" s="22">
        <f>MATCH(DataTable[[#This Row],[Datum]],Övrigt!$D$10:$M$10,1)</f>
        <v>2</v>
      </c>
      <c r="J101" s="13"/>
      <c r="K101" s="22">
        <v>1759</v>
      </c>
      <c r="L101" s="22">
        <v>2170</v>
      </c>
      <c r="M101" s="23">
        <v>0.105</v>
      </c>
      <c r="N101" s="23">
        <v>5.6000000000000001E-2</v>
      </c>
      <c r="O101" s="23">
        <v>2.5999999999999999E-2</v>
      </c>
      <c r="P101" s="22">
        <v>2032848</v>
      </c>
      <c r="Q101" s="24">
        <v>191</v>
      </c>
      <c r="R101" s="22">
        <v>1</v>
      </c>
      <c r="S101" s="22">
        <v>0</v>
      </c>
      <c r="T101" s="19">
        <v>22.360779703483626</v>
      </c>
      <c r="U101" s="23">
        <f>DataTable[[#This Row],[Sens_1]]/AVERAGEIF(DataTable[Strålkälla],DataTable[[#This Row],[Strålkälla]],DataTable[Sens_1])</f>
        <v>0.99782217600689294</v>
      </c>
      <c r="V101" s="22">
        <v>2166</v>
      </c>
      <c r="W101" s="22">
        <v>2697</v>
      </c>
      <c r="X101" s="23">
        <v>0.109</v>
      </c>
      <c r="Y101" s="23">
        <v>3.6999999999999998E-2</v>
      </c>
      <c r="Z101" s="23">
        <v>2.5000000000000001E-2</v>
      </c>
      <c r="AA101" s="22">
        <v>2450847</v>
      </c>
      <c r="AB101" s="24">
        <v>191</v>
      </c>
      <c r="AC101" s="22">
        <v>0</v>
      </c>
      <c r="AD101" s="22">
        <v>1</v>
      </c>
      <c r="AE101" s="19">
        <v>26.958655961460835</v>
      </c>
      <c r="AF101" s="23">
        <f>DataTable[[#This Row],[Sens_2]]/AVERAGEIF(DataTable[Strålkälla],DataTable[[#This Row],[Strålkälla]],DataTable[Sens_2])</f>
        <v>0.99692147194966863</v>
      </c>
      <c r="AG101" s="22">
        <v>1840</v>
      </c>
      <c r="AH101" s="22">
        <v>2307</v>
      </c>
      <c r="AI101" s="23">
        <v>0.113</v>
      </c>
      <c r="AJ101" s="23">
        <v>4.1000000000000002E-2</v>
      </c>
      <c r="AK101" s="23">
        <v>2.5999999999999999E-2</v>
      </c>
      <c r="AL101" s="22">
        <v>2141129</v>
      </c>
      <c r="AM101" s="24">
        <v>191</v>
      </c>
      <c r="AN101" s="22">
        <v>1</v>
      </c>
      <c r="AO101" s="22">
        <v>1</v>
      </c>
      <c r="AP101" s="19">
        <v>23.551841498105219</v>
      </c>
      <c r="AQ101" s="23">
        <f>DataTable[[#This Row],[Sens_3]]/AVERAGEIF(DataTable[Strålkälla],DataTable[[#This Row],[Strålkälla]],DataTable[Sens_3])</f>
        <v>0.99739468735073611</v>
      </c>
      <c r="AR101" s="22">
        <v>1803</v>
      </c>
      <c r="AS101" s="22">
        <v>2176</v>
      </c>
      <c r="AT101" s="23">
        <v>9.4E-2</v>
      </c>
      <c r="AU101" s="23">
        <v>4.2000000000000003E-2</v>
      </c>
      <c r="AV101" s="23">
        <v>2.4E-2</v>
      </c>
      <c r="AW101" s="22">
        <v>2065926</v>
      </c>
      <c r="AX101" s="24">
        <v>191</v>
      </c>
      <c r="AY101" s="22">
        <v>1</v>
      </c>
      <c r="AZ101" s="22">
        <v>0</v>
      </c>
      <c r="BA101" s="19">
        <v>22.724628781738289</v>
      </c>
      <c r="BB101" s="23">
        <f>DataTable[[#This Row],[Sens_4]]/AVERAGEIF(DataTable[Strålkälla],DataTable[[#This Row],[Strålkälla]],DataTable[Sens_4])</f>
        <v>0.9945411358690911</v>
      </c>
      <c r="BC101" s="22">
        <v>2091</v>
      </c>
      <c r="BD101" s="22">
        <v>2525</v>
      </c>
      <c r="BE101" s="19">
        <v>9.4E-2</v>
      </c>
      <c r="BF101" s="19">
        <v>3.5999999999999997E-2</v>
      </c>
      <c r="BG101" s="19">
        <v>2.5000000000000001E-2</v>
      </c>
      <c r="BH101" s="19">
        <v>2326610</v>
      </c>
      <c r="BI101" s="19">
        <v>191</v>
      </c>
      <c r="BJ101" s="19">
        <v>0</v>
      </c>
      <c r="BK101" s="19">
        <v>1</v>
      </c>
      <c r="BL101" s="19">
        <v>25.592082470466085</v>
      </c>
      <c r="BM101" s="23">
        <f>DataTable[[#This Row],[Sens_5]]/AVERAGEIF(DataTable[Strålkälla],DataTable[[#This Row],[Strålkälla]],DataTable[Sens_5])</f>
        <v>0.9945002699406833</v>
      </c>
      <c r="BN101" s="19">
        <v>2079</v>
      </c>
      <c r="BO101" s="19">
        <v>2529</v>
      </c>
      <c r="BP101" s="19">
        <v>9.8000000000000004E-2</v>
      </c>
      <c r="BQ101" s="19">
        <v>3.5000000000000003E-2</v>
      </c>
      <c r="BR101" s="19">
        <v>2.4E-2</v>
      </c>
      <c r="BS101" s="19">
        <v>2324728</v>
      </c>
      <c r="BT101" s="19">
        <v>191</v>
      </c>
      <c r="BU101" s="19">
        <v>0</v>
      </c>
      <c r="BV101" s="19">
        <v>1</v>
      </c>
      <c r="BW101" s="19">
        <v>25.571380978076121</v>
      </c>
      <c r="BX101" s="23">
        <f>DataTable[[#This Row],[Sens_6]]/AVERAGEIF(DataTable[Strålkälla],DataTable[[#This Row],[Strålkälla]],DataTable[Sens_6])</f>
        <v>0.994048743832043</v>
      </c>
      <c r="BY101" s="19">
        <v>1820</v>
      </c>
      <c r="BZ101" s="19">
        <v>2209</v>
      </c>
      <c r="CA101" s="19">
        <v>9.7000000000000003E-2</v>
      </c>
      <c r="CB101" s="19">
        <v>4.4999999999999998E-2</v>
      </c>
      <c r="CC101" s="19">
        <v>2.5999999999999999E-2</v>
      </c>
      <c r="CD101" s="19">
        <v>2073201</v>
      </c>
      <c r="CE101" s="19">
        <v>191</v>
      </c>
      <c r="CF101" s="19">
        <v>0</v>
      </c>
      <c r="CG101" s="19">
        <v>0</v>
      </c>
      <c r="CH101" s="19">
        <v>22.804651819536907</v>
      </c>
      <c r="CI101" s="23">
        <f>DataTable[[#This Row],[Sens_7]]/AVERAGEIF(DataTable[Strålkälla],DataTable[[#This Row],[Strålkälla]],DataTable[Sens_7])</f>
        <v>0.99734069814796256</v>
      </c>
      <c r="CJ101" s="19">
        <v>2190</v>
      </c>
      <c r="CK101" s="19">
        <v>2649</v>
      </c>
      <c r="CL101" s="19">
        <v>9.5000000000000001E-2</v>
      </c>
      <c r="CM101" s="19">
        <v>3.6999999999999998E-2</v>
      </c>
      <c r="CN101" s="19">
        <v>2.4E-2</v>
      </c>
      <c r="CO101" s="19">
        <v>2448386</v>
      </c>
      <c r="CP101" s="19">
        <v>191</v>
      </c>
      <c r="CQ101" s="19">
        <v>0</v>
      </c>
      <c r="CR101" s="19">
        <v>1</v>
      </c>
      <c r="CS101" s="19">
        <v>26.931585625237826</v>
      </c>
      <c r="CT101" s="23">
        <f>DataTable[[#This Row],[Sens_8]]/AVERAGEIF(DataTable[Strålkälla],DataTable[[#This Row],[Strålkälla]],DataTable[Sens_8])</f>
        <v>0.99678881560137844</v>
      </c>
      <c r="CU101" s="19">
        <v>1661</v>
      </c>
      <c r="CV101" s="19">
        <v>2105</v>
      </c>
      <c r="CW101" s="19">
        <v>0.11799999999999999</v>
      </c>
      <c r="CX101" s="19">
        <v>5.2999999999999999E-2</v>
      </c>
      <c r="CY101" s="19">
        <v>2.8000000000000001E-2</v>
      </c>
      <c r="CZ101" s="19">
        <v>1964026</v>
      </c>
      <c r="DA101" s="19">
        <v>185</v>
      </c>
      <c r="DB101" s="19">
        <v>1</v>
      </c>
      <c r="DC101" s="19">
        <v>0</v>
      </c>
      <c r="DD101" s="19">
        <v>22.304418631428767</v>
      </c>
      <c r="DE101" s="23">
        <f>DataTable[[#This Row],[Sens_9]]/AVERAGEIF(DataTable[Strålkälla],DataTable[[#This Row],[Strålkälla]],DataTable[Sens_9])</f>
        <v>0.99712167941726393</v>
      </c>
      <c r="DF101" s="19">
        <v>1656</v>
      </c>
      <c r="DG101" s="19">
        <v>2011</v>
      </c>
      <c r="DH101" s="19">
        <v>9.7000000000000003E-2</v>
      </c>
      <c r="DI101" s="19">
        <v>3.5999999999999997E-2</v>
      </c>
      <c r="DJ101" s="19">
        <v>2.5999999999999999E-2</v>
      </c>
      <c r="DK101" s="19">
        <v>1900872</v>
      </c>
      <c r="DL101" s="19">
        <v>185</v>
      </c>
      <c r="DM101" s="19">
        <v>1</v>
      </c>
      <c r="DN101" s="19">
        <v>0</v>
      </c>
      <c r="DO101" s="19">
        <v>21.587211601456019</v>
      </c>
      <c r="DP101" s="23">
        <f>DataTable[[#This Row],[Sens_10]]/AVERAGEIF(DataTable[Strålkälla],DataTable[[#This Row],[Strålkälla]],DataTable[Sens_10])</f>
        <v>0.99498016734412387</v>
      </c>
      <c r="DQ101" s="19">
        <v>1503</v>
      </c>
      <c r="DR101" s="19">
        <v>1806</v>
      </c>
      <c r="DS101" s="19">
        <v>9.1999999999999998E-2</v>
      </c>
      <c r="DT101" s="19">
        <v>3.9E-2</v>
      </c>
      <c r="DU101" s="19">
        <v>2.7E-2</v>
      </c>
      <c r="DV101" s="19">
        <v>1673634</v>
      </c>
      <c r="DW101" s="19">
        <v>185</v>
      </c>
      <c r="DX101" s="19">
        <v>0</v>
      </c>
      <c r="DY101" s="19">
        <v>0</v>
      </c>
      <c r="DZ101" s="19">
        <v>19.006588187627177</v>
      </c>
      <c r="EA101" s="19">
        <f>DataTable[[#This Row],[Sens_11]]/AVERAGEIF(DataTable[Strålkälla],DataTable[[#This Row],[Strålkälla]],DataTable[Sens_11])</f>
        <v>0.99605807875242325</v>
      </c>
      <c r="EB101" s="19">
        <v>1736</v>
      </c>
      <c r="EC101" s="19">
        <v>2139</v>
      </c>
      <c r="ED101" s="19">
        <v>0.104</v>
      </c>
      <c r="EE101" s="19">
        <v>0.05</v>
      </c>
      <c r="EF101" s="19">
        <v>2.7E-2</v>
      </c>
      <c r="EG101" s="19">
        <v>1991905</v>
      </c>
      <c r="EH101" s="19">
        <v>185</v>
      </c>
      <c r="EI101" s="19">
        <v>0</v>
      </c>
      <c r="EJ101" s="19">
        <v>0</v>
      </c>
      <c r="EK101" s="19">
        <v>22.621025889696021</v>
      </c>
      <c r="EL101" s="23">
        <f>DataTable[[#This Row],[Sens_12]]/AVERAGEIF(DataTable[Strålkälla],DataTable[[#This Row],[Strålkälla]],DataTable[Sens_12])</f>
        <v>0.9964107966822916</v>
      </c>
      <c r="EM101" s="19">
        <v>1492</v>
      </c>
      <c r="EN101" s="19">
        <v>1824</v>
      </c>
      <c r="EO101" s="19">
        <v>0.1</v>
      </c>
      <c r="EP101" s="19">
        <v>3.6999999999999998E-2</v>
      </c>
      <c r="EQ101" s="19">
        <v>2.7E-2</v>
      </c>
      <c r="ER101" s="19">
        <v>1697962</v>
      </c>
      <c r="ES101" s="19">
        <v>199</v>
      </c>
      <c r="ET101" s="19">
        <v>0</v>
      </c>
      <c r="EU101" s="19">
        <v>0</v>
      </c>
      <c r="EV101" s="19">
        <v>17.926284871480146</v>
      </c>
      <c r="EW101" s="19">
        <f>DataTable[[#This Row],[Sens_13]]/AVERAGEIF(DataTable[Strålkälla],DataTable[[#This Row],[Strålkälla]],DataTable[Sens_13])</f>
        <v>0.99502028962377331</v>
      </c>
      <c r="EX101" s="19">
        <v>1269</v>
      </c>
      <c r="EY101" s="19">
        <v>1555</v>
      </c>
      <c r="EZ101" s="19">
        <v>0.10100000000000001</v>
      </c>
      <c r="FA101" s="19">
        <v>4.2000000000000003E-2</v>
      </c>
      <c r="FB101" s="19">
        <v>2.9000000000000001E-2</v>
      </c>
      <c r="FC101" s="19">
        <v>1440911</v>
      </c>
      <c r="FD101" s="19">
        <v>199</v>
      </c>
      <c r="FE101" s="19">
        <v>0</v>
      </c>
      <c r="FF101" s="19">
        <v>0</v>
      </c>
      <c r="FG101" s="19">
        <v>15.212461209643871</v>
      </c>
      <c r="FH101" s="19">
        <f>DataTable[[#This Row],[Sens_14]]/AVERAGEIF(DataTable[Strålkälla],DataTable[[#This Row],[Strålkälla]],DataTable[Sens_14])</f>
        <v>0.99639015073134174</v>
      </c>
      <c r="FI101" s="19">
        <v>1432</v>
      </c>
      <c r="FJ101" s="19">
        <v>1730</v>
      </c>
      <c r="FK101" s="19">
        <v>9.4E-2</v>
      </c>
      <c r="FL101" s="19">
        <v>3.6999999999999998E-2</v>
      </c>
      <c r="FM101" s="19">
        <v>2.7E-2</v>
      </c>
      <c r="FN101" s="19">
        <v>1629851</v>
      </c>
      <c r="FO101" s="19">
        <v>199</v>
      </c>
      <c r="FP101" s="19">
        <v>0</v>
      </c>
      <c r="FQ101" s="19">
        <v>0</v>
      </c>
      <c r="FR101" s="19">
        <v>17.207200940932005</v>
      </c>
      <c r="FS101" s="19">
        <f>DataTable[[#This Row],[Sens_15]]/AVERAGEIF(DataTable[Strålkälla],DataTable[[#This Row],[Strålkälla]],DataTable[Sens_15])</f>
        <v>0.99608468408829731</v>
      </c>
      <c r="FT101" s="19">
        <v>1278</v>
      </c>
      <c r="FU101" s="19">
        <v>1572</v>
      </c>
      <c r="FV101" s="19">
        <v>0.10299999999999999</v>
      </c>
      <c r="FW101" s="19">
        <v>4.4999999999999998E-2</v>
      </c>
      <c r="FX101" s="19">
        <v>2.9000000000000001E-2</v>
      </c>
      <c r="FY101" s="19">
        <v>1465208</v>
      </c>
      <c r="FZ101" s="19">
        <v>199</v>
      </c>
      <c r="GA101" s="19">
        <v>0</v>
      </c>
      <c r="GB101" s="19">
        <v>0</v>
      </c>
      <c r="GC101" s="19">
        <v>15.468977517736958</v>
      </c>
      <c r="GD101" s="19">
        <f>DataTable[[#This Row],[Sens_16]]/AVERAGEIF(DataTable[Strålkälla],DataTable[[#This Row],[Strålkälla]],DataTable[Sens_16])</f>
        <v>0.99528833303169861</v>
      </c>
      <c r="GE101" s="19">
        <v>1239</v>
      </c>
      <c r="GF101" s="19">
        <v>1503</v>
      </c>
      <c r="GG101" s="19">
        <v>9.6000000000000002E-2</v>
      </c>
      <c r="GH101" s="19">
        <v>4.3999999999999997E-2</v>
      </c>
      <c r="GI101" s="19">
        <v>3.1E-2</v>
      </c>
      <c r="GJ101" s="19">
        <v>1407060</v>
      </c>
      <c r="GK101" s="19">
        <v>199</v>
      </c>
      <c r="GL101" s="19">
        <v>0</v>
      </c>
      <c r="GM101" s="19">
        <v>0</v>
      </c>
      <c r="GN101" s="19">
        <v>14.855078259268966</v>
      </c>
      <c r="GO101" s="19">
        <f>DataTable[[#This Row],[Sens_17]]/AVERAGEIF(DataTable[Strålkälla],DataTable[[#This Row],[Strålkälla]],DataTable[Sens_17])</f>
        <v>0.99550487513041674</v>
      </c>
      <c r="GP101" s="19">
        <v>1434</v>
      </c>
      <c r="GQ101" s="19">
        <v>1738</v>
      </c>
      <c r="GR101" s="19">
        <v>9.6000000000000002E-2</v>
      </c>
      <c r="GS101" s="19">
        <v>3.7999999999999999E-2</v>
      </c>
      <c r="GT101" s="19">
        <v>2.8000000000000001E-2</v>
      </c>
      <c r="GU101" s="19">
        <v>1634620</v>
      </c>
      <c r="GV101" s="19">
        <v>199</v>
      </c>
      <c r="GW101" s="19">
        <v>0</v>
      </c>
      <c r="GX101" s="19">
        <v>0</v>
      </c>
      <c r="GY101" s="19">
        <v>17.257549801832358</v>
      </c>
      <c r="GZ101" s="19">
        <f>DataTable[[#This Row],[Sens_18]]/AVERAGEIF(DataTable[Strålkälla],DataTable[[#This Row],[Strålkälla]],DataTable[Sens_18])</f>
        <v>0.99946703424218675</v>
      </c>
      <c r="HA101" s="19">
        <v>1270</v>
      </c>
      <c r="HB101" s="19">
        <v>1578</v>
      </c>
      <c r="HC101" s="19">
        <v>0.108</v>
      </c>
      <c r="HD101" s="19">
        <v>4.2999999999999997E-2</v>
      </c>
      <c r="HE101" s="19">
        <v>0.03</v>
      </c>
      <c r="HF101" s="19">
        <v>1476982</v>
      </c>
      <c r="HG101" s="19">
        <v>199</v>
      </c>
      <c r="HH101" s="19">
        <v>1</v>
      </c>
      <c r="HI101" s="19">
        <v>0</v>
      </c>
      <c r="HJ101" s="19">
        <v>15.593281876772558</v>
      </c>
      <c r="HK101" s="19">
        <f>DataTable[[#This Row],[Sens_19]]/AVERAGEIF(DataTable[Strålkälla],DataTable[[#This Row],[Strålkälla]],DataTable[Sens_19])</f>
        <v>0.99656965614531612</v>
      </c>
      <c r="HL101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0.11799999999999999</v>
      </c>
      <c r="HM101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0.10073684210526319</v>
      </c>
      <c r="HN101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5.6000000000000001E-2</v>
      </c>
      <c r="HO101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4.1736842105263169E-2</v>
      </c>
      <c r="HP101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0.994048743832043</v>
      </c>
      <c r="HQ101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0.99622388125724148</v>
      </c>
      <c r="HR101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0.99946703424218675</v>
      </c>
      <c r="HS101" s="49"/>
    </row>
    <row r="102" spans="2:227" x14ac:dyDescent="0.25">
      <c r="B102" s="19" t="s">
        <v>43</v>
      </c>
      <c r="C102" s="20">
        <v>42697</v>
      </c>
      <c r="D102" s="21">
        <v>0.32087962962962963</v>
      </c>
      <c r="E102" s="13" t="s">
        <v>217</v>
      </c>
      <c r="F102" s="13">
        <v>109.8</v>
      </c>
      <c r="G102" s="13">
        <v>134.19999999999999</v>
      </c>
      <c r="H102" s="24">
        <v>9.6064000000000007</v>
      </c>
      <c r="I102" s="22">
        <f>MATCH(DataTable[[#This Row],[Datum]],Övrigt!$D$10:$M$10,1)</f>
        <v>2</v>
      </c>
      <c r="J102" s="13"/>
      <c r="K102" s="22">
        <v>1766</v>
      </c>
      <c r="L102" s="22">
        <v>2167</v>
      </c>
      <c r="M102" s="23">
        <v>0.10199999999999999</v>
      </c>
      <c r="N102" s="23">
        <v>5.2999999999999999E-2</v>
      </c>
      <c r="O102" s="23">
        <v>2.5999999999999999E-2</v>
      </c>
      <c r="P102" s="22">
        <v>2035224</v>
      </c>
      <c r="Q102" s="24">
        <v>191</v>
      </c>
      <c r="R102" s="22">
        <v>1</v>
      </c>
      <c r="S102" s="22">
        <v>0</v>
      </c>
      <c r="T102" s="19">
        <v>22.501414774806303</v>
      </c>
      <c r="U102" s="23">
        <f>DataTable[[#This Row],[Sens_1]]/AVERAGEIF(DataTable[Strålkälla],DataTable[[#This Row],[Strålkälla]],DataTable[Sens_1])</f>
        <v>1.0040978423633848</v>
      </c>
      <c r="V102" s="22">
        <v>2183</v>
      </c>
      <c r="W102" s="22">
        <v>2596</v>
      </c>
      <c r="X102" s="23">
        <v>8.5999999999999993E-2</v>
      </c>
      <c r="Y102" s="23">
        <v>3.5000000000000003E-2</v>
      </c>
      <c r="Z102" s="23">
        <v>2.4E-2</v>
      </c>
      <c r="AA102" s="22">
        <v>2454232</v>
      </c>
      <c r="AB102" s="24">
        <v>191</v>
      </c>
      <c r="AC102" s="22">
        <v>0</v>
      </c>
      <c r="AD102" s="22">
        <v>0</v>
      </c>
      <c r="AE102" s="19">
        <v>27.133962741006602</v>
      </c>
      <c r="AF102" s="23">
        <f>DataTable[[#This Row],[Sens_2]]/AVERAGEIF(DataTable[Strålkälla],DataTable[[#This Row],[Strålkälla]],DataTable[Sens_2])</f>
        <v>1.0034042540645249</v>
      </c>
      <c r="AG102" s="22">
        <v>1951</v>
      </c>
      <c r="AH102" s="22">
        <v>2280</v>
      </c>
      <c r="AI102" s="23">
        <v>7.8E-2</v>
      </c>
      <c r="AJ102" s="23">
        <v>3.6999999999999998E-2</v>
      </c>
      <c r="AK102" s="23">
        <v>2.5000000000000001E-2</v>
      </c>
      <c r="AL102" s="22">
        <v>2142781</v>
      </c>
      <c r="AM102" s="24">
        <v>191</v>
      </c>
      <c r="AN102" s="22">
        <v>0</v>
      </c>
      <c r="AO102" s="22">
        <v>0</v>
      </c>
      <c r="AP102" s="19">
        <v>23.690563816353492</v>
      </c>
      <c r="AQ102" s="23">
        <f>DataTable[[#This Row],[Sens_3]]/AVERAGEIF(DataTable[Strålkälla],DataTable[[#This Row],[Strålkälla]],DataTable[Sens_3])</f>
        <v>1.0032694255638366</v>
      </c>
      <c r="AR102" s="22">
        <v>1853</v>
      </c>
      <c r="AS102" s="22">
        <v>2178</v>
      </c>
      <c r="AT102" s="23">
        <v>8.1000000000000003E-2</v>
      </c>
      <c r="AU102" s="23">
        <v>3.4000000000000002E-2</v>
      </c>
      <c r="AV102" s="23">
        <v>2.5000000000000001E-2</v>
      </c>
      <c r="AW102" s="22">
        <v>2066746</v>
      </c>
      <c r="AX102" s="24">
        <v>191</v>
      </c>
      <c r="AY102" s="22">
        <v>0</v>
      </c>
      <c r="AZ102" s="22">
        <v>0</v>
      </c>
      <c r="BA102" s="19">
        <v>22.84992166964021</v>
      </c>
      <c r="BB102" s="23">
        <f>DataTable[[#This Row],[Sens_4]]/AVERAGEIF(DataTable[Strålkälla],DataTable[[#This Row],[Strålkälla]],DataTable[Sens_4])</f>
        <v>1.0000245667425771</v>
      </c>
      <c r="BC102" s="22">
        <v>2081</v>
      </c>
      <c r="BD102" s="22">
        <v>2457</v>
      </c>
      <c r="BE102" s="19">
        <v>8.3000000000000004E-2</v>
      </c>
      <c r="BF102" s="19">
        <v>3.4000000000000002E-2</v>
      </c>
      <c r="BG102" s="19">
        <v>2.4E-2</v>
      </c>
      <c r="BH102" s="19">
        <v>2326088</v>
      </c>
      <c r="BI102" s="19">
        <v>191</v>
      </c>
      <c r="BJ102" s="19">
        <v>0</v>
      </c>
      <c r="BK102" s="19">
        <v>0</v>
      </c>
      <c r="BL102" s="19">
        <v>25.717204047662392</v>
      </c>
      <c r="BM102" s="23">
        <f>DataTable[[#This Row],[Sens_5]]/AVERAGEIF(DataTable[Strålkälla],DataTable[[#This Row],[Strålkälla]],DataTable[Sens_5])</f>
        <v>0.99936245504971966</v>
      </c>
      <c r="BN102" s="19">
        <v>2092</v>
      </c>
      <c r="BO102" s="19">
        <v>2466</v>
      </c>
      <c r="BP102" s="19">
        <v>8.2000000000000003E-2</v>
      </c>
      <c r="BQ102" s="19">
        <v>3.5999999999999997E-2</v>
      </c>
      <c r="BR102" s="19">
        <v>2.3E-2</v>
      </c>
      <c r="BS102" s="19">
        <v>2326458</v>
      </c>
      <c r="BT102" s="19">
        <v>191</v>
      </c>
      <c r="BU102" s="19">
        <v>0</v>
      </c>
      <c r="BV102" s="19">
        <v>0</v>
      </c>
      <c r="BW102" s="19">
        <v>25.72129476370479</v>
      </c>
      <c r="BX102" s="23">
        <f>DataTable[[#This Row],[Sens_6]]/AVERAGEIF(DataTable[Strålkälla],DataTable[[#This Row],[Strålkälla]],DataTable[Sens_6])</f>
        <v>0.99987641541595351</v>
      </c>
      <c r="BY102" s="19">
        <v>1850</v>
      </c>
      <c r="BZ102" s="19">
        <v>2234</v>
      </c>
      <c r="CA102" s="19">
        <v>9.4E-2</v>
      </c>
      <c r="CB102" s="19">
        <v>0.04</v>
      </c>
      <c r="CC102" s="19">
        <v>2.7E-2</v>
      </c>
      <c r="CD102" s="19">
        <v>2069696</v>
      </c>
      <c r="CE102" s="19">
        <v>191</v>
      </c>
      <c r="CF102" s="19">
        <v>0</v>
      </c>
      <c r="CG102" s="19">
        <v>0</v>
      </c>
      <c r="CH102" s="19">
        <v>22.882536838086374</v>
      </c>
      <c r="CI102" s="23">
        <f>DataTable[[#This Row],[Sens_7]]/AVERAGEIF(DataTable[Strålkälla],DataTable[[#This Row],[Strålkälla]],DataTable[Sens_7])</f>
        <v>1.0007469285692858</v>
      </c>
      <c r="CJ102" s="19">
        <v>2170</v>
      </c>
      <c r="CK102" s="19">
        <v>2657</v>
      </c>
      <c r="CL102" s="19">
        <v>0.10100000000000001</v>
      </c>
      <c r="CM102" s="19">
        <v>4.8000000000000001E-2</v>
      </c>
      <c r="CN102" s="19">
        <v>2.5999999999999999E-2</v>
      </c>
      <c r="CO102" s="19">
        <v>2444600</v>
      </c>
      <c r="CP102" s="19">
        <v>191</v>
      </c>
      <c r="CQ102" s="19">
        <v>0</v>
      </c>
      <c r="CR102" s="19">
        <v>3</v>
      </c>
      <c r="CS102" s="19">
        <v>27.027471452032547</v>
      </c>
      <c r="CT102" s="23">
        <f>DataTable[[#This Row],[Sens_8]]/AVERAGEIF(DataTable[Strålkälla],DataTable[[#This Row],[Strålkälla]],DataTable[Sens_8])</f>
        <v>1.0003377310292951</v>
      </c>
      <c r="CU102" s="19">
        <v>1744</v>
      </c>
      <c r="CV102" s="19">
        <v>2116</v>
      </c>
      <c r="CW102" s="19">
        <v>9.6000000000000002E-2</v>
      </c>
      <c r="CX102" s="19">
        <v>4.4999999999999998E-2</v>
      </c>
      <c r="CY102" s="19">
        <v>2.5999999999999999E-2</v>
      </c>
      <c r="CZ102" s="19">
        <v>1961640</v>
      </c>
      <c r="DA102" s="19">
        <v>185</v>
      </c>
      <c r="DB102" s="19">
        <v>0</v>
      </c>
      <c r="DC102" s="19">
        <v>1</v>
      </c>
      <c r="DD102" s="19">
        <v>22.391261264077997</v>
      </c>
      <c r="DE102" s="23">
        <f>DataTable[[#This Row],[Sens_9]]/AVERAGEIF(DataTable[Strålkälla],DataTable[[#This Row],[Strålkälla]],DataTable[Sens_9])</f>
        <v>1.0010039896062504</v>
      </c>
      <c r="DF102" s="19">
        <v>1711</v>
      </c>
      <c r="DG102" s="19">
        <v>2044</v>
      </c>
      <c r="DH102" s="19">
        <v>8.8999999999999996E-2</v>
      </c>
      <c r="DI102" s="19">
        <v>3.9E-2</v>
      </c>
      <c r="DJ102" s="19">
        <v>2.5999999999999999E-2</v>
      </c>
      <c r="DK102" s="19">
        <v>1903173</v>
      </c>
      <c r="DL102" s="19">
        <v>185</v>
      </c>
      <c r="DM102" s="19">
        <v>0</v>
      </c>
      <c r="DN102" s="19">
        <v>0</v>
      </c>
      <c r="DO102" s="19">
        <v>21.723886071725246</v>
      </c>
      <c r="DP102" s="23">
        <f>DataTable[[#This Row],[Sens_10]]/AVERAGEIF(DataTable[Strålkälla],DataTable[[#This Row],[Strålkälla]],DataTable[Sens_10])</f>
        <v>1.001279655662058</v>
      </c>
      <c r="DQ102" s="19">
        <v>1430</v>
      </c>
      <c r="DR102" s="19">
        <v>1804</v>
      </c>
      <c r="DS102" s="19">
        <v>0.11600000000000001</v>
      </c>
      <c r="DT102" s="19">
        <v>4.2999999999999997E-2</v>
      </c>
      <c r="DU102" s="19">
        <v>2.8000000000000001E-2</v>
      </c>
      <c r="DV102" s="19">
        <v>1673773</v>
      </c>
      <c r="DW102" s="19">
        <v>185</v>
      </c>
      <c r="DX102" s="19">
        <v>1</v>
      </c>
      <c r="DY102" s="19">
        <v>0</v>
      </c>
      <c r="DZ102" s="19">
        <v>19.105385565016835</v>
      </c>
      <c r="EA102" s="19">
        <f>DataTable[[#This Row],[Sens_11]]/AVERAGEIF(DataTable[Strålkälla],DataTable[[#This Row],[Strålkälla]],DataTable[Sens_11])</f>
        <v>1.0012356479687954</v>
      </c>
      <c r="EB102" s="19">
        <v>1791</v>
      </c>
      <c r="EC102" s="19">
        <v>2179</v>
      </c>
      <c r="ED102" s="19">
        <v>9.8000000000000004E-2</v>
      </c>
      <c r="EE102" s="19">
        <v>4.3999999999999997E-2</v>
      </c>
      <c r="EF102" s="19">
        <v>2.8000000000000001E-2</v>
      </c>
      <c r="EG102" s="19">
        <v>1992260</v>
      </c>
      <c r="EH102" s="19">
        <v>185</v>
      </c>
      <c r="EI102" s="19">
        <v>0</v>
      </c>
      <c r="EJ102" s="19">
        <v>1</v>
      </c>
      <c r="EK102" s="19">
        <v>22.740775150370116</v>
      </c>
      <c r="EL102" s="23">
        <f>DataTable[[#This Row],[Sens_12]]/AVERAGEIF(DataTable[Strålkälla],DataTable[[#This Row],[Strålkälla]],DataTable[Sens_12])</f>
        <v>1.0016855113133702</v>
      </c>
      <c r="EM102" s="19">
        <v>1518</v>
      </c>
      <c r="EN102" s="19">
        <v>1811</v>
      </c>
      <c r="EO102" s="19">
        <v>8.7999999999999995E-2</v>
      </c>
      <c r="EP102" s="19">
        <v>3.6999999999999998E-2</v>
      </c>
      <c r="EQ102" s="19">
        <v>2.7E-2</v>
      </c>
      <c r="ER102" s="19">
        <v>1698851</v>
      </c>
      <c r="ES102" s="19">
        <v>200</v>
      </c>
      <c r="ET102" s="19">
        <v>0</v>
      </c>
      <c r="EU102" s="19">
        <v>0</v>
      </c>
      <c r="EV102" s="19">
        <v>17.937266952911678</v>
      </c>
      <c r="EW102" s="19">
        <f>DataTable[[#This Row],[Sens_13]]/AVERAGEIF(DataTable[Strålkälla],DataTable[[#This Row],[Strålkälla]],DataTable[Sens_13])</f>
        <v>0.99562986343814797</v>
      </c>
      <c r="EX102" s="19">
        <v>1273</v>
      </c>
      <c r="EY102" s="19">
        <v>1588</v>
      </c>
      <c r="EZ102" s="19">
        <v>0.11</v>
      </c>
      <c r="FA102" s="19">
        <v>0.04</v>
      </c>
      <c r="FB102" s="19">
        <v>2.9000000000000001E-2</v>
      </c>
      <c r="FC102" s="19">
        <v>1441391</v>
      </c>
      <c r="FD102" s="19">
        <v>200</v>
      </c>
      <c r="FE102" s="19">
        <v>0</v>
      </c>
      <c r="FF102" s="19">
        <v>1</v>
      </c>
      <c r="FG102" s="19">
        <v>15.21888332203608</v>
      </c>
      <c r="FH102" s="19">
        <f>DataTable[[#This Row],[Sens_14]]/AVERAGEIF(DataTable[Strålkälla],DataTable[[#This Row],[Strålkälla]],DataTable[Sens_14])</f>
        <v>0.99681078809214108</v>
      </c>
      <c r="FI102" s="19">
        <v>1468</v>
      </c>
      <c r="FJ102" s="19">
        <v>1730</v>
      </c>
      <c r="FK102" s="19">
        <v>8.2000000000000003E-2</v>
      </c>
      <c r="FL102" s="19">
        <v>0.04</v>
      </c>
      <c r="FM102" s="19">
        <v>2.8000000000000001E-2</v>
      </c>
      <c r="FN102" s="19">
        <v>1630072</v>
      </c>
      <c r="FO102" s="19">
        <v>200</v>
      </c>
      <c r="FP102" s="19">
        <v>0</v>
      </c>
      <c r="FQ102" s="19">
        <v>0</v>
      </c>
      <c r="FR102" s="19">
        <v>17.211065959561282</v>
      </c>
      <c r="FS102" s="19">
        <f>DataTable[[#This Row],[Sens_15]]/AVERAGEIF(DataTable[Strålkälla],DataTable[[#This Row],[Strålkälla]],DataTable[Sens_15])</f>
        <v>0.99630842099202477</v>
      </c>
      <c r="FT102" s="19">
        <v>1292</v>
      </c>
      <c r="FU102" s="19">
        <v>1561</v>
      </c>
      <c r="FV102" s="19">
        <v>9.4E-2</v>
      </c>
      <c r="FW102" s="19">
        <v>4.2000000000000003E-2</v>
      </c>
      <c r="FX102" s="19">
        <v>2.9000000000000001E-2</v>
      </c>
      <c r="FY102" s="19">
        <v>1465519</v>
      </c>
      <c r="FZ102" s="19">
        <v>200</v>
      </c>
      <c r="GA102" s="19">
        <v>0</v>
      </c>
      <c r="GB102" s="19">
        <v>0</v>
      </c>
      <c r="GC102" s="19">
        <v>15.473638081011323</v>
      </c>
      <c r="GD102" s="19">
        <f>DataTable[[#This Row],[Sens_16]]/AVERAGEIF(DataTable[Strålkälla],DataTable[[#This Row],[Strålkälla]],DataTable[Sens_16])</f>
        <v>0.99558819798702702</v>
      </c>
      <c r="GE102" s="19">
        <v>1195</v>
      </c>
      <c r="GF102" s="19">
        <v>1502</v>
      </c>
      <c r="GG102" s="19">
        <v>0.114</v>
      </c>
      <c r="GH102" s="19">
        <v>3.6999999999999998E-2</v>
      </c>
      <c r="GI102" s="19">
        <v>0.03</v>
      </c>
      <c r="GJ102" s="19">
        <v>1407337</v>
      </c>
      <c r="GK102" s="19">
        <v>200</v>
      </c>
      <c r="GL102" s="19">
        <v>1</v>
      </c>
      <c r="GM102" s="19">
        <v>0</v>
      </c>
      <c r="GN102" s="19">
        <v>14.859325191973786</v>
      </c>
      <c r="GO102" s="19">
        <f>DataTable[[#This Row],[Sens_17]]/AVERAGEIF(DataTable[Strålkälla],DataTable[[#This Row],[Strålkälla]],DataTable[Sens_17])</f>
        <v>0.99578948098292119</v>
      </c>
      <c r="GP102" s="19">
        <v>1468</v>
      </c>
      <c r="GQ102" s="19">
        <v>1746</v>
      </c>
      <c r="GR102" s="19">
        <v>8.5999999999999993E-2</v>
      </c>
      <c r="GS102" s="19">
        <v>4.2000000000000003E-2</v>
      </c>
      <c r="GT102" s="19">
        <v>2.8000000000000001E-2</v>
      </c>
      <c r="GU102" s="19">
        <v>1632363</v>
      </c>
      <c r="GV102" s="19">
        <v>200</v>
      </c>
      <c r="GW102" s="19">
        <v>0</v>
      </c>
      <c r="GX102" s="19">
        <v>0</v>
      </c>
      <c r="GY102" s="19">
        <v>17.235255413838978</v>
      </c>
      <c r="GZ102" s="19">
        <f>DataTable[[#This Row],[Sens_18]]/AVERAGEIF(DataTable[Strålkälla],DataTable[[#This Row],[Strålkälla]],DataTable[Sens_18])</f>
        <v>0.99817585988059676</v>
      </c>
      <c r="HA102" s="19">
        <v>1299</v>
      </c>
      <c r="HB102" s="19">
        <v>1587</v>
      </c>
      <c r="HC102" s="19">
        <v>0.1</v>
      </c>
      <c r="HD102" s="19">
        <v>5.1999999999999998E-2</v>
      </c>
      <c r="HE102" s="19">
        <v>0.03</v>
      </c>
      <c r="HF102" s="19">
        <v>1477142</v>
      </c>
      <c r="HG102" s="19">
        <v>200</v>
      </c>
      <c r="HH102" s="19">
        <v>0</v>
      </c>
      <c r="HI102" s="19">
        <v>0</v>
      </c>
      <c r="HJ102" s="19">
        <v>15.596359175323711</v>
      </c>
      <c r="HK102" s="19">
        <f>DataTable[[#This Row],[Sens_19]]/AVERAGEIF(DataTable[Strålkälla],DataTable[[#This Row],[Strålkälla]],DataTable[Sens_19])</f>
        <v>0.99676632689001332</v>
      </c>
      <c r="HL102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0.11600000000000001</v>
      </c>
      <c r="HM102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9.3684210526315828E-2</v>
      </c>
      <c r="HN102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5.2999999999999999E-2</v>
      </c>
      <c r="HO102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4.0947368421052642E-2</v>
      </c>
      <c r="HP102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0.99558819798702702</v>
      </c>
      <c r="HQ102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0.99954701903220666</v>
      </c>
      <c r="HR102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1.0040978423633848</v>
      </c>
      <c r="HS102" s="49"/>
    </row>
    <row r="103" spans="2:227" x14ac:dyDescent="0.25">
      <c r="B103" s="19" t="s">
        <v>43</v>
      </c>
      <c r="C103" s="20">
        <v>42698</v>
      </c>
      <c r="D103" s="21">
        <v>0.31313657407407408</v>
      </c>
      <c r="E103" s="13" t="s">
        <v>217</v>
      </c>
      <c r="F103" s="13">
        <v>109.8</v>
      </c>
      <c r="G103" s="13">
        <v>134.19999999999999</v>
      </c>
      <c r="H103" s="24">
        <v>9.6281999999999996</v>
      </c>
      <c r="I103" s="22">
        <f>MATCH(DataTable[[#This Row],[Datum]],Övrigt!$D$10:$M$10,1)</f>
        <v>2</v>
      </c>
      <c r="J103" s="13"/>
      <c r="K103" s="22">
        <v>1773</v>
      </c>
      <c r="L103" s="22">
        <v>2228</v>
      </c>
      <c r="M103" s="23">
        <v>0.114</v>
      </c>
      <c r="N103" s="23">
        <v>4.2000000000000003E-2</v>
      </c>
      <c r="O103" s="23">
        <v>2.5999999999999999E-2</v>
      </c>
      <c r="P103" s="22">
        <v>2033838</v>
      </c>
      <c r="Q103" s="24">
        <v>192</v>
      </c>
      <c r="R103" s="22">
        <v>1</v>
      </c>
      <c r="S103" s="22">
        <v>1</v>
      </c>
      <c r="T103" s="19">
        <v>22.426107139255357</v>
      </c>
      <c r="U103" s="23">
        <f>DataTable[[#This Row],[Sens_1]]/AVERAGEIF(DataTable[Strålkälla],DataTable[[#This Row],[Strålkälla]],DataTable[Sens_1])</f>
        <v>1.0007373321409407</v>
      </c>
      <c r="V103" s="22">
        <v>2173</v>
      </c>
      <c r="W103" s="22">
        <v>2630</v>
      </c>
      <c r="X103" s="23">
        <v>9.5000000000000001E-2</v>
      </c>
      <c r="Y103" s="23">
        <v>4.5999999999999999E-2</v>
      </c>
      <c r="Z103" s="23">
        <v>2.5999999999999999E-2</v>
      </c>
      <c r="AA103" s="22">
        <v>2449171</v>
      </c>
      <c r="AB103" s="24">
        <v>192</v>
      </c>
      <c r="AC103" s="22">
        <v>0</v>
      </c>
      <c r="AD103" s="22">
        <v>0</v>
      </c>
      <c r="AE103" s="19">
        <v>27.005774918335277</v>
      </c>
      <c r="AF103" s="23">
        <f>DataTable[[#This Row],[Sens_2]]/AVERAGEIF(DataTable[Strålkälla],DataTable[[#This Row],[Strålkälla]],DataTable[Sens_2])</f>
        <v>0.99866391415120692</v>
      </c>
      <c r="AG103" s="22">
        <v>1911</v>
      </c>
      <c r="AH103" s="22">
        <v>2340</v>
      </c>
      <c r="AI103" s="23">
        <v>0.10100000000000001</v>
      </c>
      <c r="AJ103" s="23">
        <v>3.9E-2</v>
      </c>
      <c r="AK103" s="23">
        <v>2.5999999999999999E-2</v>
      </c>
      <c r="AL103" s="22">
        <v>2140159</v>
      </c>
      <c r="AM103" s="24">
        <v>192</v>
      </c>
      <c r="AN103" s="22">
        <v>0</v>
      </c>
      <c r="AO103" s="22">
        <v>1</v>
      </c>
      <c r="AP103" s="19">
        <v>23.598455250143623</v>
      </c>
      <c r="AQ103" s="23">
        <f>DataTable[[#This Row],[Sens_3]]/AVERAGEIF(DataTable[Strålkälla],DataTable[[#This Row],[Strålkälla]],DataTable[Sens_3])</f>
        <v>0.99936872868607407</v>
      </c>
      <c r="AR103" s="22">
        <v>1865</v>
      </c>
      <c r="AS103" s="22">
        <v>2175</v>
      </c>
      <c r="AT103" s="23">
        <v>7.6999999999999999E-2</v>
      </c>
      <c r="AU103" s="23">
        <v>3.5000000000000003E-2</v>
      </c>
      <c r="AV103" s="23">
        <v>2.5000000000000001E-2</v>
      </c>
      <c r="AW103" s="22">
        <v>2064742</v>
      </c>
      <c r="AX103" s="24">
        <v>192</v>
      </c>
      <c r="AY103" s="22">
        <v>0</v>
      </c>
      <c r="AZ103" s="22">
        <v>0</v>
      </c>
      <c r="BA103" s="19">
        <v>22.766869980264104</v>
      </c>
      <c r="BB103" s="23">
        <f>DataTable[[#This Row],[Sens_4]]/AVERAGEIF(DataTable[Strålkälla],DataTable[[#This Row],[Strålkälla]],DataTable[Sens_4])</f>
        <v>0.9963898177536592</v>
      </c>
      <c r="BC103" s="22">
        <v>2078</v>
      </c>
      <c r="BD103" s="22">
        <v>2490</v>
      </c>
      <c r="BE103" s="19">
        <v>0.09</v>
      </c>
      <c r="BF103" s="19">
        <v>3.5000000000000003E-2</v>
      </c>
      <c r="BG103" s="19">
        <v>2.4E-2</v>
      </c>
      <c r="BH103" s="19">
        <v>2326088</v>
      </c>
      <c r="BI103" s="19">
        <v>192</v>
      </c>
      <c r="BJ103" s="19">
        <v>0</v>
      </c>
      <c r="BK103" s="19">
        <v>1</v>
      </c>
      <c r="BL103" s="19">
        <v>25.64860067681704</v>
      </c>
      <c r="BM103" s="23">
        <f>DataTable[[#This Row],[Sens_5]]/AVERAGEIF(DataTable[Strålkälla],DataTable[[#This Row],[Strålkälla]],DataTable[Sens_5])</f>
        <v>0.99669654965091992</v>
      </c>
      <c r="BN103" s="19">
        <v>1967</v>
      </c>
      <c r="BO103" s="19">
        <v>2487</v>
      </c>
      <c r="BP103" s="19">
        <v>0.11700000000000001</v>
      </c>
      <c r="BQ103" s="19">
        <v>3.5000000000000003E-2</v>
      </c>
      <c r="BR103" s="19">
        <v>2.4E-2</v>
      </c>
      <c r="BS103" s="19">
        <v>2330875</v>
      </c>
      <c r="BT103" s="19">
        <v>192</v>
      </c>
      <c r="BU103" s="19">
        <v>2</v>
      </c>
      <c r="BV103" s="19">
        <v>0</v>
      </c>
      <c r="BW103" s="19">
        <v>25.701384514505005</v>
      </c>
      <c r="BX103" s="23">
        <f>DataTable[[#This Row],[Sens_6]]/AVERAGEIF(DataTable[Strålkälla],DataTable[[#This Row],[Strålkälla]],DataTable[Sens_6])</f>
        <v>0.99910243460422499</v>
      </c>
      <c r="BY103" s="19">
        <v>1830</v>
      </c>
      <c r="BZ103" s="19">
        <v>2209</v>
      </c>
      <c r="CA103" s="19">
        <v>9.4E-2</v>
      </c>
      <c r="CB103" s="19">
        <v>4.4999999999999998E-2</v>
      </c>
      <c r="CC103" s="19">
        <v>2.5999999999999999E-2</v>
      </c>
      <c r="CD103" s="19">
        <v>2073516</v>
      </c>
      <c r="CE103" s="19">
        <v>192</v>
      </c>
      <c r="CF103" s="19">
        <v>0</v>
      </c>
      <c r="CG103" s="19">
        <v>0</v>
      </c>
      <c r="CH103" s="19">
        <v>22.863616458616768</v>
      </c>
      <c r="CI103" s="23">
        <f>DataTable[[#This Row],[Sens_7]]/AVERAGEIF(DataTable[Strålkälla],DataTable[[#This Row],[Strålkälla]],DataTable[Sens_7])</f>
        <v>0.99991946298819445</v>
      </c>
      <c r="CJ103" s="19">
        <v>2163</v>
      </c>
      <c r="CK103" s="19">
        <v>2594</v>
      </c>
      <c r="CL103" s="19">
        <v>9.0999999999999998E-2</v>
      </c>
      <c r="CM103" s="19">
        <v>3.7999999999999999E-2</v>
      </c>
      <c r="CN103" s="19">
        <v>2.5000000000000001E-2</v>
      </c>
      <c r="CO103" s="19">
        <v>2447965</v>
      </c>
      <c r="CP103" s="19">
        <v>192</v>
      </c>
      <c r="CQ103" s="19">
        <v>0</v>
      </c>
      <c r="CR103" s="19">
        <v>0</v>
      </c>
      <c r="CS103" s="19">
        <v>26.992476963822707</v>
      </c>
      <c r="CT103" s="23">
        <f>DataTable[[#This Row],[Sens_8]]/AVERAGEIF(DataTable[Strålkälla],DataTable[[#This Row],[Strålkälla]],DataTable[Sens_8])</f>
        <v>0.99904251897083496</v>
      </c>
      <c r="CU103" s="19">
        <v>1720</v>
      </c>
      <c r="CV103" s="19">
        <v>2105</v>
      </c>
      <c r="CW103" s="19">
        <v>0.10100000000000001</v>
      </c>
      <c r="CX103" s="19">
        <v>3.3000000000000002E-2</v>
      </c>
      <c r="CY103" s="19">
        <v>2.7E-2</v>
      </c>
      <c r="CZ103" s="19">
        <v>1962304</v>
      </c>
      <c r="DA103" s="19">
        <v>186</v>
      </c>
      <c r="DB103" s="19">
        <v>0</v>
      </c>
      <c r="DC103" s="19">
        <v>0</v>
      </c>
      <c r="DD103" s="19">
        <v>22.33531639166711</v>
      </c>
      <c r="DE103" s="23">
        <f>DataTable[[#This Row],[Sens_9]]/AVERAGEIF(DataTable[Strålkälla],DataTable[[#This Row],[Strålkälla]],DataTable[Sens_9])</f>
        <v>0.99850296745207856</v>
      </c>
      <c r="DF103" s="19">
        <v>1661</v>
      </c>
      <c r="DG103" s="19">
        <v>2071</v>
      </c>
      <c r="DH103" s="19">
        <v>0.11</v>
      </c>
      <c r="DI103" s="19">
        <v>0.04</v>
      </c>
      <c r="DJ103" s="19">
        <v>2.5999999999999999E-2</v>
      </c>
      <c r="DK103" s="19">
        <v>1903038</v>
      </c>
      <c r="DL103" s="19">
        <v>186</v>
      </c>
      <c r="DM103" s="19">
        <v>1</v>
      </c>
      <c r="DN103" s="19">
        <v>1</v>
      </c>
      <c r="DO103" s="19">
        <v>21.660739536466007</v>
      </c>
      <c r="DP103" s="23">
        <f>DataTable[[#This Row],[Sens_10]]/AVERAGEIF(DataTable[Strålkälla],DataTable[[#This Row],[Strålkälla]],DataTable[Sens_10])</f>
        <v>0.99836915701223705</v>
      </c>
      <c r="DQ103" s="19">
        <v>1457</v>
      </c>
      <c r="DR103" s="19">
        <v>1805</v>
      </c>
      <c r="DS103" s="19">
        <v>0.107</v>
      </c>
      <c r="DT103" s="19">
        <v>4.5999999999999999E-2</v>
      </c>
      <c r="DU103" s="19">
        <v>2.7E-2</v>
      </c>
      <c r="DV103" s="19">
        <v>1673178</v>
      </c>
      <c r="DW103" s="19">
        <v>186</v>
      </c>
      <c r="DX103" s="19">
        <v>0</v>
      </c>
      <c r="DY103" s="19">
        <v>0</v>
      </c>
      <c r="DZ103" s="19">
        <v>19.044429410313995</v>
      </c>
      <c r="EA103" s="19">
        <f>DataTable[[#This Row],[Sens_11]]/AVERAGEIF(DataTable[Strålkälla],DataTable[[#This Row],[Strålkälla]],DataTable[Sens_11])</f>
        <v>0.99804118351562388</v>
      </c>
      <c r="EB103" s="19">
        <v>1781</v>
      </c>
      <c r="EC103" s="19">
        <v>2233</v>
      </c>
      <c r="ED103" s="19">
        <v>0.113</v>
      </c>
      <c r="EE103" s="19">
        <v>4.2000000000000003E-2</v>
      </c>
      <c r="EF103" s="19">
        <v>2.7E-2</v>
      </c>
      <c r="EG103" s="19">
        <v>1991874</v>
      </c>
      <c r="EH103" s="19">
        <v>186</v>
      </c>
      <c r="EI103" s="19">
        <v>0</v>
      </c>
      <c r="EJ103" s="19">
        <v>3</v>
      </c>
      <c r="EK103" s="19">
        <v>22.671887741316091</v>
      </c>
      <c r="EL103" s="23">
        <f>DataTable[[#This Row],[Sens_12]]/AVERAGEIF(DataTable[Strålkälla],DataTable[[#This Row],[Strålkälla]],DataTable[Sens_12])</f>
        <v>0.99865115918134939</v>
      </c>
      <c r="EM103" s="19">
        <v>1460</v>
      </c>
      <c r="EN103" s="19">
        <v>1843</v>
      </c>
      <c r="EO103" s="19">
        <v>0.11600000000000001</v>
      </c>
      <c r="EP103" s="19">
        <v>4.2000000000000003E-2</v>
      </c>
      <c r="EQ103" s="19">
        <v>2.7E-2</v>
      </c>
      <c r="ER103" s="19">
        <v>1701614</v>
      </c>
      <c r="ES103" s="19">
        <v>200</v>
      </c>
      <c r="ET103" s="19">
        <v>1</v>
      </c>
      <c r="EU103" s="19">
        <v>0</v>
      </c>
      <c r="EV103" s="19">
        <v>18.012326821856309</v>
      </c>
      <c r="EW103" s="19">
        <f>DataTable[[#This Row],[Sens_13]]/AVERAGEIF(DataTable[Strålkälla],DataTable[[#This Row],[Strålkälla]],DataTable[Sens_13])</f>
        <v>0.9997961529438576</v>
      </c>
      <c r="EX103" s="19">
        <v>1269</v>
      </c>
      <c r="EY103" s="19">
        <v>1622</v>
      </c>
      <c r="EZ103" s="19">
        <v>0.122</v>
      </c>
      <c r="FA103" s="19">
        <v>4.7E-2</v>
      </c>
      <c r="FB103" s="19">
        <v>3.1E-2</v>
      </c>
      <c r="FC103" s="19">
        <v>1440569</v>
      </c>
      <c r="FD103" s="19">
        <v>200</v>
      </c>
      <c r="FE103" s="19">
        <v>0</v>
      </c>
      <c r="FF103" s="19">
        <v>1</v>
      </c>
      <c r="FG103" s="19">
        <v>15.249051569530293</v>
      </c>
      <c r="FH103" s="19">
        <f>DataTable[[#This Row],[Sens_14]]/AVERAGEIF(DataTable[Strålkälla],DataTable[[#This Row],[Strålkälla]],DataTable[Sens_14])</f>
        <v>0.99878675662568794</v>
      </c>
      <c r="FI103" s="19">
        <v>1451</v>
      </c>
      <c r="FJ103" s="19">
        <v>1733</v>
      </c>
      <c r="FK103" s="19">
        <v>8.8999999999999996E-2</v>
      </c>
      <c r="FL103" s="19">
        <v>3.4000000000000002E-2</v>
      </c>
      <c r="FM103" s="19">
        <v>2.7E-2</v>
      </c>
      <c r="FN103" s="19">
        <v>1629079</v>
      </c>
      <c r="FO103" s="19">
        <v>200</v>
      </c>
      <c r="FP103" s="19">
        <v>0</v>
      </c>
      <c r="FQ103" s="19">
        <v>0</v>
      </c>
      <c r="FR103" s="19">
        <v>17.244512190557231</v>
      </c>
      <c r="FS103" s="19">
        <f>DataTable[[#This Row],[Sens_15]]/AVERAGEIF(DataTable[Strålkälla],DataTable[[#This Row],[Strålkälla]],DataTable[Sens_15])</f>
        <v>0.99824454520827044</v>
      </c>
      <c r="FT103" s="19">
        <v>1301</v>
      </c>
      <c r="FU103" s="19">
        <v>1574</v>
      </c>
      <c r="FV103" s="19">
        <v>9.5000000000000001E-2</v>
      </c>
      <c r="FW103" s="19">
        <v>3.5000000000000003E-2</v>
      </c>
      <c r="FX103" s="19">
        <v>2.7E-2</v>
      </c>
      <c r="FY103" s="19">
        <v>1465464</v>
      </c>
      <c r="FZ103" s="19">
        <v>200</v>
      </c>
      <c r="GA103" s="19">
        <v>0</v>
      </c>
      <c r="GB103" s="19">
        <v>0</v>
      </c>
      <c r="GC103" s="19">
        <v>15.512576009403327</v>
      </c>
      <c r="GD103" s="19">
        <f>DataTable[[#This Row],[Sens_16]]/AVERAGEIF(DataTable[Strålkälla],DataTable[[#This Row],[Strålkälla]],DataTable[Sens_16])</f>
        <v>0.99809350034437738</v>
      </c>
      <c r="GE103" s="19">
        <v>1223</v>
      </c>
      <c r="GF103" s="19">
        <v>1528</v>
      </c>
      <c r="GG103" s="19">
        <v>0.111</v>
      </c>
      <c r="GH103" s="19">
        <v>4.5999999999999999E-2</v>
      </c>
      <c r="GI103" s="19">
        <v>2.8000000000000001E-2</v>
      </c>
      <c r="GJ103" s="19">
        <v>1408559</v>
      </c>
      <c r="GK103" s="19">
        <v>200</v>
      </c>
      <c r="GL103" s="19">
        <v>0</v>
      </c>
      <c r="GM103" s="19">
        <v>0</v>
      </c>
      <c r="GN103" s="19">
        <v>14.910211749472618</v>
      </c>
      <c r="GO103" s="19">
        <f>DataTable[[#This Row],[Sens_17]]/AVERAGEIF(DataTable[Strålkälla],DataTable[[#This Row],[Strålkälla]],DataTable[Sens_17])</f>
        <v>0.99919961556346992</v>
      </c>
      <c r="GP103" s="19">
        <v>1445</v>
      </c>
      <c r="GQ103" s="19">
        <v>1775</v>
      </c>
      <c r="GR103" s="19">
        <v>0.10199999999999999</v>
      </c>
      <c r="GS103" s="19">
        <v>4.4999999999999998E-2</v>
      </c>
      <c r="GT103" s="19">
        <v>2.8000000000000001E-2</v>
      </c>
      <c r="GU103" s="19">
        <v>1630660</v>
      </c>
      <c r="GV103" s="19">
        <v>200</v>
      </c>
      <c r="GW103" s="19">
        <v>0</v>
      </c>
      <c r="GX103" s="19">
        <v>1</v>
      </c>
      <c r="GY103" s="19">
        <v>17.261247765549772</v>
      </c>
      <c r="GZ103" s="19">
        <f>DataTable[[#This Row],[Sens_18]]/AVERAGEIF(DataTable[Strålkälla],DataTable[[#This Row],[Strålkälla]],DataTable[Sens_18])</f>
        <v>0.99968120096178592</v>
      </c>
      <c r="HA103" s="19">
        <v>1269</v>
      </c>
      <c r="HB103" s="19">
        <v>1640</v>
      </c>
      <c r="HC103" s="19">
        <v>0.128</v>
      </c>
      <c r="HD103" s="19">
        <v>7.3999999999999996E-2</v>
      </c>
      <c r="HE103" s="19">
        <v>3.2000000000000001E-2</v>
      </c>
      <c r="HF103" s="19">
        <v>1476317</v>
      </c>
      <c r="HG103" s="19">
        <v>200</v>
      </c>
      <c r="HH103" s="19">
        <v>0</v>
      </c>
      <c r="HI103" s="19">
        <v>2</v>
      </c>
      <c r="HJ103" s="19">
        <v>15.627459750955527</v>
      </c>
      <c r="HK103" s="19">
        <f>DataTable[[#This Row],[Sens_19]]/AVERAGEIF(DataTable[Strålkälla],DataTable[[#This Row],[Strålkälla]],DataTable[Sens_19])</f>
        <v>0.99875397068483807</v>
      </c>
      <c r="HL103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0.128</v>
      </c>
      <c r="HM103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0.10384210526315789</v>
      </c>
      <c r="HN103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7.3999999999999996E-2</v>
      </c>
      <c r="HO103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4.2052631578947369E-2</v>
      </c>
      <c r="HP103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0.9963898177536592</v>
      </c>
      <c r="HQ103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0.99873899833892787</v>
      </c>
      <c r="HR103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1.0007373321409407</v>
      </c>
      <c r="HS103" s="49"/>
    </row>
    <row r="104" spans="2:227" x14ac:dyDescent="0.25">
      <c r="B104" s="19" t="s">
        <v>43</v>
      </c>
      <c r="C104" s="20">
        <v>42702</v>
      </c>
      <c r="D104" s="21">
        <v>0.31980324074074074</v>
      </c>
      <c r="E104" s="13" t="s">
        <v>217</v>
      </c>
      <c r="F104" s="13">
        <v>109.8</v>
      </c>
      <c r="G104" s="13">
        <v>134.19999999999999</v>
      </c>
      <c r="H104" s="24">
        <v>9.7210000000000001</v>
      </c>
      <c r="I104" s="22">
        <f>MATCH(DataTable[[#This Row],[Datum]],Övrigt!$D$10:$M$10,1)</f>
        <v>2</v>
      </c>
      <c r="J104" s="13"/>
      <c r="K104" s="22">
        <v>1786</v>
      </c>
      <c r="L104" s="22">
        <v>2194</v>
      </c>
      <c r="M104" s="23">
        <v>0.10299999999999999</v>
      </c>
      <c r="N104" s="23">
        <v>3.6999999999999998E-2</v>
      </c>
      <c r="O104" s="23">
        <v>2.7E-2</v>
      </c>
      <c r="P104" s="22">
        <v>2034224</v>
      </c>
      <c r="Q104" s="24">
        <v>194</v>
      </c>
      <c r="R104" s="22">
        <v>0</v>
      </c>
      <c r="S104" s="22">
        <v>0</v>
      </c>
      <c r="T104" s="19">
        <v>22.426781676587282</v>
      </c>
      <c r="U104" s="23">
        <f>DataTable[[#This Row],[Sens_1]]/AVERAGEIF(DataTable[Strålkälla],DataTable[[#This Row],[Strålkälla]],DataTable[Sens_1])</f>
        <v>1.0007674325362428</v>
      </c>
      <c r="V104" s="22">
        <v>2185</v>
      </c>
      <c r="W104" s="22">
        <v>2628</v>
      </c>
      <c r="X104" s="23">
        <v>9.1999999999999998E-2</v>
      </c>
      <c r="Y104" s="23">
        <v>4.2000000000000003E-2</v>
      </c>
      <c r="Z104" s="23">
        <v>2.5000000000000001E-2</v>
      </c>
      <c r="AA104" s="22">
        <v>2453797</v>
      </c>
      <c r="AB104" s="24">
        <v>194</v>
      </c>
      <c r="AC104" s="22">
        <v>0</v>
      </c>
      <c r="AD104" s="22">
        <v>0</v>
      </c>
      <c r="AE104" s="19">
        <v>27.052463051101967</v>
      </c>
      <c r="AF104" s="23">
        <f>DataTable[[#This Row],[Sens_2]]/AVERAGEIF(DataTable[Strålkälla],DataTable[[#This Row],[Strålkälla]],DataTable[Sens_2])</f>
        <v>1.0003904246310649</v>
      </c>
      <c r="AG104" s="22">
        <v>1908</v>
      </c>
      <c r="AH104" s="22">
        <v>2265</v>
      </c>
      <c r="AI104" s="23">
        <v>8.5999999999999993E-2</v>
      </c>
      <c r="AJ104" s="23">
        <v>3.3000000000000002E-2</v>
      </c>
      <c r="AK104" s="23">
        <v>2.5000000000000001E-2</v>
      </c>
      <c r="AL104" s="22">
        <v>2140091</v>
      </c>
      <c r="AM104" s="24">
        <v>194</v>
      </c>
      <c r="AN104" s="22">
        <v>0</v>
      </c>
      <c r="AO104" s="22">
        <v>0</v>
      </c>
      <c r="AP104" s="19">
        <v>23.59393735647075</v>
      </c>
      <c r="AQ104" s="23">
        <f>DataTable[[#This Row],[Sens_3]]/AVERAGEIF(DataTable[Strålkälla],DataTable[[#This Row],[Strålkälla]],DataTable[Sens_3])</f>
        <v>0.9991774008381985</v>
      </c>
      <c r="AR104" s="22">
        <v>1780</v>
      </c>
      <c r="AS104" s="22">
        <v>2217</v>
      </c>
      <c r="AT104" s="23">
        <v>0.109</v>
      </c>
      <c r="AU104" s="23">
        <v>4.1000000000000002E-2</v>
      </c>
      <c r="AV104" s="23">
        <v>2.5999999999999999E-2</v>
      </c>
      <c r="AW104" s="22">
        <v>2066258</v>
      </c>
      <c r="AX104" s="24">
        <v>194</v>
      </c>
      <c r="AY104" s="22">
        <v>1</v>
      </c>
      <c r="AZ104" s="22">
        <v>0</v>
      </c>
      <c r="BA104" s="19">
        <v>22.77994805562312</v>
      </c>
      <c r="BB104" s="23">
        <f>DataTable[[#This Row],[Sens_4]]/AVERAGEIF(DataTable[Strålkälla],DataTable[[#This Row],[Strålkälla]],DataTable[Sens_4])</f>
        <v>0.99696217843103097</v>
      </c>
      <c r="BC104" s="22">
        <v>2089</v>
      </c>
      <c r="BD104" s="22">
        <v>2493</v>
      </c>
      <c r="BE104" s="19">
        <v>8.7999999999999995E-2</v>
      </c>
      <c r="BF104" s="19">
        <v>3.4000000000000002E-2</v>
      </c>
      <c r="BG104" s="19">
        <v>2.4E-2</v>
      </c>
      <c r="BH104" s="19">
        <v>2325157</v>
      </c>
      <c r="BI104" s="19">
        <v>194</v>
      </c>
      <c r="BJ104" s="19">
        <v>0</v>
      </c>
      <c r="BK104" s="19">
        <v>1</v>
      </c>
      <c r="BL104" s="19">
        <v>25.634241068234697</v>
      </c>
      <c r="BM104" s="23">
        <f>DataTable[[#This Row],[Sens_5]]/AVERAGEIF(DataTable[Strålkälla],DataTable[[#This Row],[Strålkälla]],DataTable[Sens_5])</f>
        <v>0.99613853978095868</v>
      </c>
      <c r="BN104" s="19">
        <v>2073</v>
      </c>
      <c r="BO104" s="19">
        <v>2507</v>
      </c>
      <c r="BP104" s="19">
        <v>9.5000000000000001E-2</v>
      </c>
      <c r="BQ104" s="19">
        <v>3.6999999999999998E-2</v>
      </c>
      <c r="BR104" s="19">
        <v>2.5000000000000001E-2</v>
      </c>
      <c r="BS104" s="19">
        <v>2331599</v>
      </c>
      <c r="BT104" s="19">
        <v>194</v>
      </c>
      <c r="BU104" s="19">
        <v>0</v>
      </c>
      <c r="BV104" s="19">
        <v>1</v>
      </c>
      <c r="BW104" s="19">
        <v>25.705262414733692</v>
      </c>
      <c r="BX104" s="23">
        <f>DataTable[[#This Row],[Sens_6]]/AVERAGEIF(DataTable[Strålkälla],DataTable[[#This Row],[Strålkälla]],DataTable[Sens_6])</f>
        <v>0.99925318210801994</v>
      </c>
      <c r="BY104" s="19">
        <v>1810</v>
      </c>
      <c r="BZ104" s="19">
        <v>2186</v>
      </c>
      <c r="CA104" s="19">
        <v>9.4E-2</v>
      </c>
      <c r="CB104" s="19">
        <v>3.4000000000000002E-2</v>
      </c>
      <c r="CC104" s="19">
        <v>2.5000000000000001E-2</v>
      </c>
      <c r="CD104" s="19">
        <v>2069737</v>
      </c>
      <c r="CE104" s="19">
        <v>194</v>
      </c>
      <c r="CF104" s="19">
        <v>1</v>
      </c>
      <c r="CG104" s="19">
        <v>0</v>
      </c>
      <c r="CH104" s="19">
        <v>22.81830311064796</v>
      </c>
      <c r="CI104" s="23">
        <f>DataTable[[#This Row],[Sens_7]]/AVERAGEIF(DataTable[Strålkälla],DataTable[[#This Row],[Strålkälla]],DataTable[Sens_7])</f>
        <v>0.99793772494385757</v>
      </c>
      <c r="CJ104" s="19">
        <v>2134</v>
      </c>
      <c r="CK104" s="19">
        <v>2585</v>
      </c>
      <c r="CL104" s="19">
        <v>9.6000000000000002E-2</v>
      </c>
      <c r="CM104" s="19">
        <v>3.7999999999999999E-2</v>
      </c>
      <c r="CN104" s="19">
        <v>2.5000000000000001E-2</v>
      </c>
      <c r="CO104" s="19">
        <v>2444251</v>
      </c>
      <c r="CP104" s="19">
        <v>194</v>
      </c>
      <c r="CQ104" s="19">
        <v>1</v>
      </c>
      <c r="CR104" s="19">
        <v>0</v>
      </c>
      <c r="CS104" s="19">
        <v>26.947220925414381</v>
      </c>
      <c r="CT104" s="23">
        <f>DataTable[[#This Row],[Sens_8]]/AVERAGEIF(DataTable[Strålkälla],DataTable[[#This Row],[Strålkälla]],DataTable[Sens_8])</f>
        <v>0.99736750757152204</v>
      </c>
      <c r="CU104" s="19">
        <v>1696</v>
      </c>
      <c r="CV104" s="19">
        <v>2092</v>
      </c>
      <c r="CW104" s="19">
        <v>0.105</v>
      </c>
      <c r="CX104" s="19">
        <v>3.9E-2</v>
      </c>
      <c r="CY104" s="19">
        <v>2.7E-2</v>
      </c>
      <c r="CZ104" s="19">
        <v>1962341</v>
      </c>
      <c r="DA104" s="19">
        <v>188</v>
      </c>
      <c r="DB104" s="19">
        <v>1</v>
      </c>
      <c r="DC104" s="19">
        <v>0</v>
      </c>
      <c r="DD104" s="19">
        <v>22.324746693388843</v>
      </c>
      <c r="DE104" s="23">
        <f>DataTable[[#This Row],[Sens_9]]/AVERAGEIF(DataTable[Strålkälla],DataTable[[#This Row],[Strålkälla]],DataTable[Sens_9])</f>
        <v>0.99803044783736372</v>
      </c>
      <c r="DF104" s="19">
        <v>1691</v>
      </c>
      <c r="DG104" s="19">
        <v>2042</v>
      </c>
      <c r="DH104" s="19">
        <v>9.4E-2</v>
      </c>
      <c r="DI104" s="19">
        <v>3.5999999999999997E-2</v>
      </c>
      <c r="DJ104" s="19">
        <v>2.5000000000000001E-2</v>
      </c>
      <c r="DK104" s="19">
        <v>1902445</v>
      </c>
      <c r="DL104" s="19">
        <v>188</v>
      </c>
      <c r="DM104" s="19">
        <v>0</v>
      </c>
      <c r="DN104" s="19">
        <v>0</v>
      </c>
      <c r="DO104" s="19">
        <v>21.643334529067136</v>
      </c>
      <c r="DP104" s="23">
        <f>DataTable[[#This Row],[Sens_10]]/AVERAGEIF(DataTable[Strålkälla],DataTable[[#This Row],[Strålkälla]],DataTable[Sens_10])</f>
        <v>0.99756693959323572</v>
      </c>
      <c r="DQ104" s="19">
        <v>1498</v>
      </c>
      <c r="DR104" s="19">
        <v>1780</v>
      </c>
      <c r="DS104" s="19">
        <v>8.5999999999999993E-2</v>
      </c>
      <c r="DT104" s="19">
        <v>3.5000000000000003E-2</v>
      </c>
      <c r="DU104" s="19">
        <v>2.7E-2</v>
      </c>
      <c r="DV104" s="19">
        <v>1673491</v>
      </c>
      <c r="DW104" s="19">
        <v>188</v>
      </c>
      <c r="DX104" s="19">
        <v>0</v>
      </c>
      <c r="DY104" s="19">
        <v>0</v>
      </c>
      <c r="DZ104" s="19">
        <v>19.03861901100063</v>
      </c>
      <c r="EA104" s="19">
        <f>DataTable[[#This Row],[Sens_11]]/AVERAGEIF(DataTable[Strålkälla],DataTable[[#This Row],[Strålkälla]],DataTable[Sens_11])</f>
        <v>0.99773668409049177</v>
      </c>
      <c r="EB104" s="19">
        <v>1787</v>
      </c>
      <c r="EC104" s="19">
        <v>2175</v>
      </c>
      <c r="ED104" s="19">
        <v>9.8000000000000004E-2</v>
      </c>
      <c r="EE104" s="19">
        <v>3.7999999999999999E-2</v>
      </c>
      <c r="EF104" s="19">
        <v>2.5999999999999999E-2</v>
      </c>
      <c r="EG104" s="19">
        <v>1992345</v>
      </c>
      <c r="EH104" s="19">
        <v>188</v>
      </c>
      <c r="EI104" s="19">
        <v>0</v>
      </c>
      <c r="EJ104" s="19">
        <v>1</v>
      </c>
      <c r="EK104" s="19">
        <v>22.666089864523951</v>
      </c>
      <c r="EL104" s="23">
        <f>DataTable[[#This Row],[Sens_12]]/AVERAGEIF(DataTable[Strålkälla],DataTable[[#This Row],[Strålkälla]],DataTable[Sens_12])</f>
        <v>0.99839577434329241</v>
      </c>
      <c r="EM104" s="19">
        <v>1505</v>
      </c>
      <c r="EN104" s="19">
        <v>1810</v>
      </c>
      <c r="EO104" s="19">
        <v>9.1999999999999998E-2</v>
      </c>
      <c r="EP104" s="19">
        <v>5.2999999999999999E-2</v>
      </c>
      <c r="EQ104" s="19">
        <v>2.7E-2</v>
      </c>
      <c r="ER104" s="19">
        <v>1697328</v>
      </c>
      <c r="ES104" s="19">
        <v>202</v>
      </c>
      <c r="ET104" s="19">
        <v>0</v>
      </c>
      <c r="EU104" s="19">
        <v>0</v>
      </c>
      <c r="EV104" s="19">
        <v>17.971499597341669</v>
      </c>
      <c r="EW104" s="19">
        <f>DataTable[[#This Row],[Sens_13]]/AVERAGEIF(DataTable[Strålkälla],DataTable[[#This Row],[Strålkälla]],DataTable[Sens_13])</f>
        <v>0.99752998808859961</v>
      </c>
      <c r="EX104" s="19">
        <v>1279</v>
      </c>
      <c r="EY104" s="19">
        <v>1570</v>
      </c>
      <c r="EZ104" s="19">
        <v>0.10199999999999999</v>
      </c>
      <c r="FA104" s="19">
        <v>4.3999999999999997E-2</v>
      </c>
      <c r="FB104" s="19">
        <v>3.1E-2</v>
      </c>
      <c r="FC104" s="19">
        <v>1440353</v>
      </c>
      <c r="FD104" s="19">
        <v>202</v>
      </c>
      <c r="FE104" s="19">
        <v>0</v>
      </c>
      <c r="FF104" s="19">
        <v>0</v>
      </c>
      <c r="FG104" s="19">
        <v>15.250619420365341</v>
      </c>
      <c r="FH104" s="19">
        <f>DataTable[[#This Row],[Sens_14]]/AVERAGEIF(DataTable[Strålkälla],DataTable[[#This Row],[Strålkälla]],DataTable[Sens_14])</f>
        <v>0.99888944816970104</v>
      </c>
      <c r="FI104" s="19">
        <v>1443</v>
      </c>
      <c r="FJ104" s="19">
        <v>1736</v>
      </c>
      <c r="FK104" s="19">
        <v>9.1999999999999998E-2</v>
      </c>
      <c r="FL104" s="19">
        <v>4.1000000000000002E-2</v>
      </c>
      <c r="FM104" s="19">
        <v>2.8000000000000001E-2</v>
      </c>
      <c r="FN104" s="19">
        <v>1627705</v>
      </c>
      <c r="FO104" s="19">
        <v>202</v>
      </c>
      <c r="FP104" s="19">
        <v>0</v>
      </c>
      <c r="FQ104" s="19">
        <v>0</v>
      </c>
      <c r="FR104" s="19">
        <v>17.234323449616703</v>
      </c>
      <c r="FS104" s="19">
        <f>DataTable[[#This Row],[Sens_15]]/AVERAGEIF(DataTable[Strålkälla],DataTable[[#This Row],[Strålkälla]],DataTable[Sens_15])</f>
        <v>0.99765474278567756</v>
      </c>
      <c r="FT104" s="19">
        <v>1311</v>
      </c>
      <c r="FU104" s="19">
        <v>1578</v>
      </c>
      <c r="FV104" s="19">
        <v>9.1999999999999998E-2</v>
      </c>
      <c r="FW104" s="19">
        <v>4.2000000000000003E-2</v>
      </c>
      <c r="FX104" s="19">
        <v>2.9000000000000001E-2</v>
      </c>
      <c r="FY104" s="19">
        <v>1464599</v>
      </c>
      <c r="FZ104" s="19">
        <v>202</v>
      </c>
      <c r="GA104" s="19">
        <v>0</v>
      </c>
      <c r="GB104" s="19">
        <v>0</v>
      </c>
      <c r="GC104" s="19">
        <v>15.507338792953989</v>
      </c>
      <c r="GD104" s="19">
        <f>DataTable[[#This Row],[Sens_16]]/AVERAGEIF(DataTable[Strålkälla],DataTable[[#This Row],[Strålkälla]],DataTable[Sens_16])</f>
        <v>0.9977565329899668</v>
      </c>
      <c r="GE104" s="19">
        <v>1213</v>
      </c>
      <c r="GF104" s="19">
        <v>1524</v>
      </c>
      <c r="GG104" s="19">
        <v>0.114</v>
      </c>
      <c r="GH104" s="19">
        <v>4.7E-2</v>
      </c>
      <c r="GI104" s="19">
        <v>0.03</v>
      </c>
      <c r="GJ104" s="19">
        <v>1410873</v>
      </c>
      <c r="GK104" s="19">
        <v>202</v>
      </c>
      <c r="GL104" s="19">
        <v>0</v>
      </c>
      <c r="GM104" s="19">
        <v>0</v>
      </c>
      <c r="GN104" s="19">
        <v>14.938481867617945</v>
      </c>
      <c r="GO104" s="19">
        <f>DataTable[[#This Row],[Sens_17]]/AVERAGEIF(DataTable[Strålkälla],DataTable[[#This Row],[Strålkälla]],DataTable[Sens_17])</f>
        <v>1.0010941219365095</v>
      </c>
      <c r="GP104" s="19">
        <v>1394</v>
      </c>
      <c r="GQ104" s="19">
        <v>1804</v>
      </c>
      <c r="GR104" s="19">
        <v>0.128</v>
      </c>
      <c r="GS104" s="19">
        <v>4.5999999999999999E-2</v>
      </c>
      <c r="GT104" s="19">
        <v>2.9000000000000001E-2</v>
      </c>
      <c r="GU104" s="19">
        <v>1631778</v>
      </c>
      <c r="GV104" s="19">
        <v>202</v>
      </c>
      <c r="GW104" s="19">
        <v>1</v>
      </c>
      <c r="GX104" s="19">
        <v>1</v>
      </c>
      <c r="GY104" s="19">
        <v>17.277448831310739</v>
      </c>
      <c r="GZ104" s="19">
        <f>DataTable[[#This Row],[Sens_18]]/AVERAGEIF(DataTable[Strålkälla],DataTable[[#This Row],[Strålkälla]],DataTable[Sens_18])</f>
        <v>1.0006194819653822</v>
      </c>
      <c r="HA104" s="19">
        <v>1275</v>
      </c>
      <c r="HB104" s="19">
        <v>1646</v>
      </c>
      <c r="HC104" s="19">
        <v>0.127</v>
      </c>
      <c r="HD104" s="19">
        <v>5.2999999999999999E-2</v>
      </c>
      <c r="HE104" s="19">
        <v>0.03</v>
      </c>
      <c r="HF104" s="19">
        <v>1479136</v>
      </c>
      <c r="HG104" s="19">
        <v>202</v>
      </c>
      <c r="HH104" s="19">
        <v>0</v>
      </c>
      <c r="HI104" s="19">
        <v>1</v>
      </c>
      <c r="HJ104" s="19">
        <v>15.661258182516029</v>
      </c>
      <c r="HK104" s="19">
        <f>DataTable[[#This Row],[Sens_19]]/AVERAGEIF(DataTable[Strålkälla],DataTable[[#This Row],[Strålkälla]],DataTable[Sens_19])</f>
        <v>1.0009140349730796</v>
      </c>
      <c r="HL104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0.128</v>
      </c>
      <c r="HM104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9.9631578947368446E-2</v>
      </c>
      <c r="HN104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5.2999999999999999E-2</v>
      </c>
      <c r="HO104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4.0526315789473688E-2</v>
      </c>
      <c r="HP104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0.99613853978095868</v>
      </c>
      <c r="HQ104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0.99864118882179986</v>
      </c>
      <c r="HR104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1.0010941219365095</v>
      </c>
      <c r="HS104" s="49"/>
    </row>
    <row r="105" spans="2:227" x14ac:dyDescent="0.25">
      <c r="B105" s="19" t="s">
        <v>43</v>
      </c>
      <c r="C105" s="20">
        <v>42704</v>
      </c>
      <c r="D105" s="21">
        <v>0.3243402777777778</v>
      </c>
      <c r="E105" s="13" t="s">
        <v>217</v>
      </c>
      <c r="F105" s="13">
        <v>109.8</v>
      </c>
      <c r="G105" s="13">
        <v>134.19999999999999</v>
      </c>
      <c r="H105" s="24">
        <v>9.7754999999999992</v>
      </c>
      <c r="I105" s="22">
        <f>MATCH(DataTable[[#This Row],[Datum]],Övrigt!$D$10:$M$10,1)</f>
        <v>2</v>
      </c>
      <c r="J105" s="13"/>
      <c r="K105" s="22">
        <v>1804</v>
      </c>
      <c r="L105" s="22">
        <v>2164</v>
      </c>
      <c r="M105" s="23">
        <v>9.0999999999999998E-2</v>
      </c>
      <c r="N105" s="23">
        <v>4.5999999999999999E-2</v>
      </c>
      <c r="O105" s="23">
        <v>2.5999999999999999E-2</v>
      </c>
      <c r="P105" s="22">
        <v>2033888</v>
      </c>
      <c r="Q105" s="24">
        <v>195</v>
      </c>
      <c r="R105" s="22">
        <v>0</v>
      </c>
      <c r="S105" s="22">
        <v>0</v>
      </c>
      <c r="T105" s="19">
        <v>22.422183765839343</v>
      </c>
      <c r="U105" s="23">
        <f>DataTable[[#This Row],[Sens_1]]/AVERAGEIF(DataTable[Strålkälla],DataTable[[#This Row],[Strålkälla]],DataTable[Sens_1])</f>
        <v>1.0005622564480905</v>
      </c>
      <c r="V105" s="22">
        <v>2184</v>
      </c>
      <c r="W105" s="22">
        <v>2607</v>
      </c>
      <c r="X105" s="23">
        <v>8.7999999999999995E-2</v>
      </c>
      <c r="Y105" s="23">
        <v>3.7999999999999999E-2</v>
      </c>
      <c r="Z105" s="23">
        <v>2.4E-2</v>
      </c>
      <c r="AA105" s="22">
        <v>2447730</v>
      </c>
      <c r="AB105" s="24">
        <v>195</v>
      </c>
      <c r="AC105" s="22">
        <v>0</v>
      </c>
      <c r="AD105" s="22">
        <v>0</v>
      </c>
      <c r="AE105" s="19">
        <v>26.984500557138809</v>
      </c>
      <c r="AF105" s="23">
        <f>DataTable[[#This Row],[Sens_2]]/AVERAGEIF(DataTable[Strålkälla],DataTable[[#This Row],[Strålkälla]],DataTable[Sens_2])</f>
        <v>0.9978771958701067</v>
      </c>
      <c r="AG105" s="22">
        <v>1897</v>
      </c>
      <c r="AH105" s="22">
        <v>2271</v>
      </c>
      <c r="AI105" s="23">
        <v>0.09</v>
      </c>
      <c r="AJ105" s="23">
        <v>3.5999999999999997E-2</v>
      </c>
      <c r="AK105" s="23">
        <v>2.5000000000000001E-2</v>
      </c>
      <c r="AL105" s="22">
        <v>2137725</v>
      </c>
      <c r="AM105" s="24">
        <v>195</v>
      </c>
      <c r="AN105" s="22">
        <v>0</v>
      </c>
      <c r="AO105" s="22">
        <v>0</v>
      </c>
      <c r="AP105" s="19">
        <v>23.566913611186511</v>
      </c>
      <c r="AQ105" s="23">
        <f>DataTable[[#This Row],[Sens_3]]/AVERAGEIF(DataTable[Strålkälla],DataTable[[#This Row],[Strålkälla]],DataTable[Sens_3])</f>
        <v>0.99803297482883579</v>
      </c>
      <c r="AR105" s="22">
        <v>1837</v>
      </c>
      <c r="AS105" s="22">
        <v>2186</v>
      </c>
      <c r="AT105" s="23">
        <v>8.6999999999999994E-2</v>
      </c>
      <c r="AU105" s="23">
        <v>3.1E-2</v>
      </c>
      <c r="AV105" s="23">
        <v>2.5999999999999999E-2</v>
      </c>
      <c r="AW105" s="22">
        <v>2068914</v>
      </c>
      <c r="AX105" s="24">
        <v>195</v>
      </c>
      <c r="AY105" s="22">
        <v>0</v>
      </c>
      <c r="AZ105" s="22">
        <v>0</v>
      </c>
      <c r="BA105" s="19">
        <v>22.808320764819761</v>
      </c>
      <c r="BB105" s="23">
        <f>DataTable[[#This Row],[Sens_4]]/AVERAGEIF(DataTable[Strålkälla],DataTable[[#This Row],[Strålkälla]],DataTable[Sens_4])</f>
        <v>0.99820390724883179</v>
      </c>
      <c r="BC105" s="22">
        <v>2085</v>
      </c>
      <c r="BD105" s="22">
        <v>2484</v>
      </c>
      <c r="BE105" s="19">
        <v>8.6999999999999994E-2</v>
      </c>
      <c r="BF105" s="19">
        <v>3.4000000000000002E-2</v>
      </c>
      <c r="BG105" s="19">
        <v>2.4E-2</v>
      </c>
      <c r="BH105" s="19">
        <v>2326898</v>
      </c>
      <c r="BI105" s="19">
        <v>195</v>
      </c>
      <c r="BJ105" s="19">
        <v>0</v>
      </c>
      <c r="BK105" s="19">
        <v>0</v>
      </c>
      <c r="BL105" s="19">
        <v>25.65241279773716</v>
      </c>
      <c r="BM105" s="23">
        <f>DataTable[[#This Row],[Sens_5]]/AVERAGEIF(DataTable[Strålkälla],DataTable[[#This Row],[Strålkälla]],DataTable[Sens_5])</f>
        <v>0.9968446874700474</v>
      </c>
      <c r="BN105" s="19">
        <v>2095</v>
      </c>
      <c r="BO105" s="19">
        <v>2517</v>
      </c>
      <c r="BP105" s="19">
        <v>9.1999999999999998E-2</v>
      </c>
      <c r="BQ105" s="19">
        <v>2.9000000000000001E-2</v>
      </c>
      <c r="BR105" s="19">
        <v>2.4E-2</v>
      </c>
      <c r="BS105" s="19">
        <v>2331154</v>
      </c>
      <c r="BT105" s="19">
        <v>195</v>
      </c>
      <c r="BU105" s="19">
        <v>0</v>
      </c>
      <c r="BV105" s="19">
        <v>1</v>
      </c>
      <c r="BW105" s="19">
        <v>25.699332202398288</v>
      </c>
      <c r="BX105" s="23">
        <f>DataTable[[#This Row],[Sens_6]]/AVERAGEIF(DataTable[Strålkälla],DataTable[[#This Row],[Strålkälla]],DataTable[Sens_6])</f>
        <v>0.99902265407640045</v>
      </c>
      <c r="BY105" s="19">
        <v>1827</v>
      </c>
      <c r="BZ105" s="19">
        <v>2209</v>
      </c>
      <c r="CA105" s="19">
        <v>9.5000000000000001E-2</v>
      </c>
      <c r="CB105" s="19">
        <v>3.5999999999999997E-2</v>
      </c>
      <c r="CC105" s="19">
        <v>2.5999999999999999E-2</v>
      </c>
      <c r="CD105" s="19">
        <v>2075412</v>
      </c>
      <c r="CE105" s="19">
        <v>195</v>
      </c>
      <c r="CF105" s="19">
        <v>0</v>
      </c>
      <c r="CG105" s="19">
        <v>0</v>
      </c>
      <c r="CH105" s="19">
        <v>22.879956641579163</v>
      </c>
      <c r="CI105" s="23">
        <f>DataTable[[#This Row],[Sens_7]]/AVERAGEIF(DataTable[Strålkälla],DataTable[[#This Row],[Strålkälla]],DataTable[Sens_7])</f>
        <v>1.0006340860226763</v>
      </c>
      <c r="CJ105" s="19">
        <v>2142</v>
      </c>
      <c r="CK105" s="19">
        <v>2604</v>
      </c>
      <c r="CL105" s="19">
        <v>9.7000000000000003E-2</v>
      </c>
      <c r="CM105" s="19">
        <v>3.9E-2</v>
      </c>
      <c r="CN105" s="19">
        <v>2.5000000000000001E-2</v>
      </c>
      <c r="CO105" s="19">
        <v>2443589</v>
      </c>
      <c r="CP105" s="19">
        <v>195</v>
      </c>
      <c r="CQ105" s="19">
        <v>1</v>
      </c>
      <c r="CR105" s="19">
        <v>0</v>
      </c>
      <c r="CS105" s="19">
        <v>26.938848946541597</v>
      </c>
      <c r="CT105" s="23">
        <f>DataTable[[#This Row],[Sens_8]]/AVERAGEIF(DataTable[Strålkälla],DataTable[[#This Row],[Strålkälla]],DataTable[Sens_8])</f>
        <v>0.9970576448318762</v>
      </c>
      <c r="CU105" s="19">
        <v>1697</v>
      </c>
      <c r="CV105" s="19">
        <v>2113</v>
      </c>
      <c r="CW105" s="19">
        <v>0.109</v>
      </c>
      <c r="CX105" s="19">
        <v>3.5999999999999997E-2</v>
      </c>
      <c r="CY105" s="19">
        <v>2.7E-2</v>
      </c>
      <c r="CZ105" s="19">
        <v>1964392</v>
      </c>
      <c r="DA105" s="19">
        <v>189</v>
      </c>
      <c r="DB105" s="19">
        <v>1</v>
      </c>
      <c r="DC105" s="19">
        <v>0</v>
      </c>
      <c r="DD105" s="19">
        <v>22.343532586937442</v>
      </c>
      <c r="DE105" s="23">
        <f>DataTable[[#This Row],[Sens_9]]/AVERAGEIF(DataTable[Strålkälla],DataTable[[#This Row],[Strålkälla]],DataTable[Sens_9])</f>
        <v>0.99887027343578305</v>
      </c>
      <c r="DF105" s="19">
        <v>1679</v>
      </c>
      <c r="DG105" s="19">
        <v>2039</v>
      </c>
      <c r="DH105" s="19">
        <v>9.7000000000000003E-2</v>
      </c>
      <c r="DI105" s="19">
        <v>4.1000000000000002E-2</v>
      </c>
      <c r="DJ105" s="19">
        <v>2.5999999999999999E-2</v>
      </c>
      <c r="DK105" s="19">
        <v>1902921</v>
      </c>
      <c r="DL105" s="19">
        <v>189</v>
      </c>
      <c r="DM105" s="19">
        <v>0</v>
      </c>
      <c r="DN105" s="19">
        <v>0</v>
      </c>
      <c r="DO105" s="19">
        <v>21.644344598159424</v>
      </c>
      <c r="DP105" s="23">
        <f>DataTable[[#This Row],[Sens_10]]/AVERAGEIF(DataTable[Strålkälla],DataTable[[#This Row],[Strålkälla]],DataTable[Sens_10])</f>
        <v>0.99761349487480844</v>
      </c>
      <c r="DQ105" s="19">
        <v>1484</v>
      </c>
      <c r="DR105" s="19">
        <v>1792</v>
      </c>
      <c r="DS105" s="19">
        <v>9.4E-2</v>
      </c>
      <c r="DT105" s="19">
        <v>3.7999999999999999E-2</v>
      </c>
      <c r="DU105" s="19">
        <v>2.8000000000000001E-2</v>
      </c>
      <c r="DV105" s="19">
        <v>1673528</v>
      </c>
      <c r="DW105" s="19">
        <v>189</v>
      </c>
      <c r="DX105" s="19">
        <v>0</v>
      </c>
      <c r="DY105" s="19">
        <v>0</v>
      </c>
      <c r="DZ105" s="19">
        <v>19.035165793361124</v>
      </c>
      <c r="EA105" s="19">
        <f>DataTable[[#This Row],[Sens_11]]/AVERAGEIF(DataTable[Strålkälla],DataTable[[#This Row],[Strålkälla]],DataTable[Sens_11])</f>
        <v>0.99755571498159301</v>
      </c>
      <c r="EB105" s="19">
        <v>1769</v>
      </c>
      <c r="EC105" s="19">
        <v>2188</v>
      </c>
      <c r="ED105" s="19">
        <v>0.106</v>
      </c>
      <c r="EE105" s="19">
        <v>4.1000000000000002E-2</v>
      </c>
      <c r="EF105" s="19">
        <v>2.5999999999999999E-2</v>
      </c>
      <c r="EG105" s="19">
        <v>1989953</v>
      </c>
      <c r="EH105" s="19">
        <v>189</v>
      </c>
      <c r="EI105" s="19">
        <v>0</v>
      </c>
      <c r="EJ105" s="19">
        <v>2</v>
      </c>
      <c r="EK105" s="19">
        <v>22.634270401210109</v>
      </c>
      <c r="EL105" s="23">
        <f>DataTable[[#This Row],[Sens_12]]/AVERAGEIF(DataTable[Strålkälla],DataTable[[#This Row],[Strålkälla]],DataTable[Sens_12])</f>
        <v>0.99699419083664031</v>
      </c>
      <c r="EM105" s="19">
        <v>1483</v>
      </c>
      <c r="EN105" s="19">
        <v>1799</v>
      </c>
      <c r="EO105" s="19">
        <v>9.6000000000000002E-2</v>
      </c>
      <c r="EP105" s="19">
        <v>3.6999999999999998E-2</v>
      </c>
      <c r="EQ105" s="19">
        <v>2.8000000000000001E-2</v>
      </c>
      <c r="ER105" s="19">
        <v>1699715</v>
      </c>
      <c r="ES105" s="19">
        <v>203</v>
      </c>
      <c r="ET105" s="19">
        <v>0</v>
      </c>
      <c r="EU105" s="19">
        <v>0</v>
      </c>
      <c r="EV105" s="19">
        <v>17.999711909758094</v>
      </c>
      <c r="EW105" s="19">
        <f>DataTable[[#This Row],[Sens_13]]/AVERAGEIF(DataTable[Strålkälla],DataTable[[#This Row],[Strålkälla]],DataTable[Sens_13])</f>
        <v>0.99909594687330061</v>
      </c>
      <c r="EX105" s="19">
        <v>1226</v>
      </c>
      <c r="EY105" s="19">
        <v>1544</v>
      </c>
      <c r="EZ105" s="19">
        <v>0.115</v>
      </c>
      <c r="FA105" s="19">
        <v>5.8000000000000003E-2</v>
      </c>
      <c r="FB105" s="19">
        <v>0.03</v>
      </c>
      <c r="FC105" s="19">
        <v>1441909</v>
      </c>
      <c r="FD105" s="19">
        <v>203</v>
      </c>
      <c r="FE105" s="19">
        <v>1</v>
      </c>
      <c r="FF105" s="19">
        <v>0</v>
      </c>
      <c r="FG105" s="19">
        <v>15.269587313218619</v>
      </c>
      <c r="FH105" s="19">
        <f>DataTable[[#This Row],[Sens_14]]/AVERAGEIF(DataTable[Strålkälla],DataTable[[#This Row],[Strålkälla]],DataTable[Sens_14])</f>
        <v>1.0001318126601459</v>
      </c>
      <c r="FI105" s="19">
        <v>1427</v>
      </c>
      <c r="FJ105" s="19">
        <v>1745</v>
      </c>
      <c r="FK105" s="19">
        <v>0.1</v>
      </c>
      <c r="FL105" s="19">
        <v>3.6999999999999998E-2</v>
      </c>
      <c r="FM105" s="19">
        <v>2.7E-2</v>
      </c>
      <c r="FN105" s="19">
        <v>1629186</v>
      </c>
      <c r="FO105" s="19">
        <v>203</v>
      </c>
      <c r="FP105" s="19">
        <v>0</v>
      </c>
      <c r="FQ105" s="19">
        <v>0</v>
      </c>
      <c r="FR105" s="19">
        <v>17.252821000821402</v>
      </c>
      <c r="FS105" s="19">
        <f>DataTable[[#This Row],[Sens_15]]/AVERAGEIF(DataTable[Strålkälla],DataTable[[#This Row],[Strålkälla]],DataTable[Sens_15])</f>
        <v>0.99872552283359994</v>
      </c>
      <c r="FT105" s="19">
        <v>1296</v>
      </c>
      <c r="FU105" s="19">
        <v>1570</v>
      </c>
      <c r="FV105" s="19">
        <v>9.6000000000000002E-2</v>
      </c>
      <c r="FW105" s="19">
        <v>3.5999999999999997E-2</v>
      </c>
      <c r="FX105" s="19">
        <v>2.9000000000000001E-2</v>
      </c>
      <c r="FY105" s="19">
        <v>1464382</v>
      </c>
      <c r="FZ105" s="19">
        <v>203</v>
      </c>
      <c r="GA105" s="19">
        <v>0</v>
      </c>
      <c r="GB105" s="19">
        <v>0</v>
      </c>
      <c r="GC105" s="19">
        <v>15.507572814169068</v>
      </c>
      <c r="GD105" s="19">
        <f>DataTable[[#This Row],[Sens_16]]/AVERAGEIF(DataTable[Strålkälla],DataTable[[#This Row],[Strålkälla]],DataTable[Sens_16])</f>
        <v>0.99777159013157701</v>
      </c>
      <c r="GE105" s="19">
        <v>1258</v>
      </c>
      <c r="GF105" s="19">
        <v>1515</v>
      </c>
      <c r="GG105" s="19">
        <v>9.2999999999999999E-2</v>
      </c>
      <c r="GH105" s="19">
        <v>4.2000000000000003E-2</v>
      </c>
      <c r="GI105" s="19">
        <v>0.03</v>
      </c>
      <c r="GJ105" s="19">
        <v>1407850</v>
      </c>
      <c r="GK105" s="19">
        <v>203</v>
      </c>
      <c r="GL105" s="19">
        <v>0</v>
      </c>
      <c r="GM105" s="19">
        <v>0</v>
      </c>
      <c r="GN105" s="19">
        <v>14.908907912298787</v>
      </c>
      <c r="GO105" s="19">
        <f>DataTable[[#This Row],[Sens_17]]/AVERAGEIF(DataTable[Strålkälla],DataTable[[#This Row],[Strålkälla]],DataTable[Sens_17])</f>
        <v>0.99911223963449325</v>
      </c>
      <c r="GP105" s="19">
        <v>1441</v>
      </c>
      <c r="GQ105" s="19">
        <v>1753</v>
      </c>
      <c r="GR105" s="19">
        <v>9.8000000000000004E-2</v>
      </c>
      <c r="GS105" s="19">
        <v>4.2000000000000003E-2</v>
      </c>
      <c r="GT105" s="19">
        <v>2.8000000000000001E-2</v>
      </c>
      <c r="GU105" s="19">
        <v>1628602</v>
      </c>
      <c r="GV105" s="19">
        <v>203</v>
      </c>
      <c r="GW105" s="19">
        <v>0</v>
      </c>
      <c r="GX105" s="19">
        <v>0</v>
      </c>
      <c r="GY105" s="19">
        <v>17.246636533569365</v>
      </c>
      <c r="GZ105" s="19">
        <f>DataTable[[#This Row],[Sens_18]]/AVERAGEIF(DataTable[Strålkälla],DataTable[[#This Row],[Strålkälla]],DataTable[Sens_18])</f>
        <v>0.99883499481654681</v>
      </c>
      <c r="HA105" s="19">
        <v>1317</v>
      </c>
      <c r="HB105" s="19">
        <v>1590</v>
      </c>
      <c r="HC105" s="19">
        <v>9.4E-2</v>
      </c>
      <c r="HD105" s="19">
        <v>4.9000000000000002E-2</v>
      </c>
      <c r="HE105" s="19">
        <v>2.9000000000000001E-2</v>
      </c>
      <c r="HF105" s="19">
        <v>1479967</v>
      </c>
      <c r="HG105" s="19">
        <v>203</v>
      </c>
      <c r="HH105" s="19">
        <v>0</v>
      </c>
      <c r="HI105" s="19">
        <v>0</v>
      </c>
      <c r="HJ105" s="19">
        <v>15.672615489037254</v>
      </c>
      <c r="HK105" s="19">
        <f>DataTable[[#This Row],[Sens_19]]/AVERAGEIF(DataTable[Strålkälla],DataTable[[#This Row],[Strålkälla]],DataTable[Sens_19])</f>
        <v>1.0016398826261932</v>
      </c>
      <c r="HL105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0.115</v>
      </c>
      <c r="HM105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9.6052631578947389E-2</v>
      </c>
      <c r="HN105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5.8000000000000003E-2</v>
      </c>
      <c r="HO105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3.9263157894736847E-2</v>
      </c>
      <c r="HP105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0.9968446874700474</v>
      </c>
      <c r="HQ105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0.99866216160534471</v>
      </c>
      <c r="HR105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1.0016398826261932</v>
      </c>
      <c r="HS105" s="49"/>
    </row>
    <row r="106" spans="2:227" x14ac:dyDescent="0.25">
      <c r="B106" s="19" t="s">
        <v>43</v>
      </c>
      <c r="C106" s="20">
        <v>42709</v>
      </c>
      <c r="D106" s="21">
        <v>0.32254629629629633</v>
      </c>
      <c r="E106" s="13" t="s">
        <v>217</v>
      </c>
      <c r="F106" s="13">
        <v>109.8</v>
      </c>
      <c r="G106" s="13">
        <v>134.19999999999999</v>
      </c>
      <c r="H106" s="24">
        <v>9.9143000000000008</v>
      </c>
      <c r="I106" s="22">
        <f>MATCH(DataTable[[#This Row],[Datum]],Övrigt!$D$10:$M$10,1)</f>
        <v>2</v>
      </c>
      <c r="J106" s="13"/>
      <c r="K106" s="22">
        <v>1808</v>
      </c>
      <c r="L106" s="22">
        <v>2194</v>
      </c>
      <c r="M106" s="23">
        <v>9.6000000000000002E-2</v>
      </c>
      <c r="N106" s="23">
        <v>4.5999999999999999E-2</v>
      </c>
      <c r="O106" s="23">
        <v>2.5999999999999999E-2</v>
      </c>
      <c r="P106" s="22">
        <v>2035555</v>
      </c>
      <c r="Q106" s="24">
        <v>198</v>
      </c>
      <c r="R106" s="22">
        <v>0</v>
      </c>
      <c r="S106" s="22">
        <v>0</v>
      </c>
      <c r="T106" s="19">
        <v>22.384225397352285</v>
      </c>
      <c r="U106" s="23">
        <f>DataTable[[#This Row],[Sens_1]]/AVERAGEIF(DataTable[Strålkälla],DataTable[[#This Row],[Strålkälla]],DataTable[Sens_1])</f>
        <v>0.9988684111375209</v>
      </c>
      <c r="V106" s="22">
        <v>2176</v>
      </c>
      <c r="W106" s="22">
        <v>2635</v>
      </c>
      <c r="X106" s="23">
        <v>9.5000000000000001E-2</v>
      </c>
      <c r="Y106" s="23">
        <v>3.6999999999999998E-2</v>
      </c>
      <c r="Z106" s="23">
        <v>2.5000000000000001E-2</v>
      </c>
      <c r="AA106" s="22">
        <v>2450789</v>
      </c>
      <c r="AB106" s="24">
        <v>198</v>
      </c>
      <c r="AC106" s="22">
        <v>0</v>
      </c>
      <c r="AD106" s="22">
        <v>1</v>
      </c>
      <c r="AE106" s="19">
        <v>26.950396023370338</v>
      </c>
      <c r="AF106" s="23">
        <f>DataTable[[#This Row],[Sens_2]]/AVERAGEIF(DataTable[Strålkälla],DataTable[[#This Row],[Strålkälla]],DataTable[Sens_2])</f>
        <v>0.99661602238826752</v>
      </c>
      <c r="AG106" s="22">
        <v>1900</v>
      </c>
      <c r="AH106" s="22">
        <v>2450</v>
      </c>
      <c r="AI106" s="23">
        <v>0.126</v>
      </c>
      <c r="AJ106" s="23">
        <v>4.2000000000000003E-2</v>
      </c>
      <c r="AK106" s="23">
        <v>2.5999999999999999E-2</v>
      </c>
      <c r="AL106" s="22">
        <v>2142805</v>
      </c>
      <c r="AM106" s="24">
        <v>198</v>
      </c>
      <c r="AN106" s="22">
        <v>0</v>
      </c>
      <c r="AO106" s="22">
        <v>1</v>
      </c>
      <c r="AP106" s="19">
        <v>23.563612922555993</v>
      </c>
      <c r="AQ106" s="23">
        <f>DataTable[[#This Row],[Sens_3]]/AVERAGEIF(DataTable[Strålkälla],DataTable[[#This Row],[Strålkälla]],DataTable[Sens_3])</f>
        <v>0.9978931942811049</v>
      </c>
      <c r="AR106" s="22">
        <v>1830</v>
      </c>
      <c r="AS106" s="22">
        <v>2182</v>
      </c>
      <c r="AT106" s="23">
        <v>8.7999999999999995E-2</v>
      </c>
      <c r="AU106" s="23">
        <v>4.4999999999999998E-2</v>
      </c>
      <c r="AV106" s="23">
        <v>2.5000000000000001E-2</v>
      </c>
      <c r="AW106" s="22">
        <v>2065896</v>
      </c>
      <c r="AX106" s="24">
        <v>198</v>
      </c>
      <c r="AY106" s="22">
        <v>0</v>
      </c>
      <c r="AZ106" s="22">
        <v>0</v>
      </c>
      <c r="BA106" s="19">
        <v>22.717873853316906</v>
      </c>
      <c r="BB106" s="23">
        <f>DataTable[[#This Row],[Sens_4]]/AVERAGEIF(DataTable[Strålkälla],DataTable[[#This Row],[Strålkälla]],DataTable[Sens_4])</f>
        <v>0.99424550709339388</v>
      </c>
      <c r="BC106" s="22">
        <v>2046</v>
      </c>
      <c r="BD106" s="22">
        <v>2484</v>
      </c>
      <c r="BE106" s="19">
        <v>9.7000000000000003E-2</v>
      </c>
      <c r="BF106" s="19">
        <v>3.5999999999999997E-2</v>
      </c>
      <c r="BG106" s="19">
        <v>2.3E-2</v>
      </c>
      <c r="BH106" s="19">
        <v>2324260</v>
      </c>
      <c r="BI106" s="19">
        <v>198</v>
      </c>
      <c r="BJ106" s="19">
        <v>1</v>
      </c>
      <c r="BK106" s="19">
        <v>1</v>
      </c>
      <c r="BL106" s="19">
        <v>25.559004655757285</v>
      </c>
      <c r="BM106" s="23">
        <f>DataTable[[#This Row],[Sens_5]]/AVERAGEIF(DataTable[Strålkälla],DataTable[[#This Row],[Strålkälla]],DataTable[Sens_5])</f>
        <v>0.99321487647202311</v>
      </c>
      <c r="BN106" s="19">
        <v>2089</v>
      </c>
      <c r="BO106" s="19">
        <v>2438</v>
      </c>
      <c r="BP106" s="19">
        <v>7.6999999999999999E-2</v>
      </c>
      <c r="BQ106" s="19">
        <v>3.2000000000000001E-2</v>
      </c>
      <c r="BR106" s="19">
        <v>2.3E-2</v>
      </c>
      <c r="BS106" s="19">
        <v>2324976</v>
      </c>
      <c r="BT106" s="19">
        <v>198</v>
      </c>
      <c r="BU106" s="19">
        <v>0</v>
      </c>
      <c r="BV106" s="19">
        <v>0</v>
      </c>
      <c r="BW106" s="19">
        <v>25.566878235878924</v>
      </c>
      <c r="BX106" s="23">
        <f>DataTable[[#This Row],[Sens_6]]/AVERAGEIF(DataTable[Strålkälla],DataTable[[#This Row],[Strålkälla]],DataTable[Sens_6])</f>
        <v>0.99387370654216178</v>
      </c>
      <c r="BY106" s="19">
        <v>1826</v>
      </c>
      <c r="BZ106" s="19">
        <v>2228</v>
      </c>
      <c r="CA106" s="19">
        <v>9.9000000000000005E-2</v>
      </c>
      <c r="CB106" s="19">
        <v>4.3999999999999997E-2</v>
      </c>
      <c r="CC106" s="19">
        <v>2.5000000000000001E-2</v>
      </c>
      <c r="CD106" s="19">
        <v>2072889</v>
      </c>
      <c r="CE106" s="19">
        <v>198</v>
      </c>
      <c r="CF106" s="19">
        <v>0</v>
      </c>
      <c r="CG106" s="19">
        <v>0</v>
      </c>
      <c r="CH106" s="19">
        <v>22.794773218946272</v>
      </c>
      <c r="CI106" s="23">
        <f>DataTable[[#This Row],[Sens_7]]/AVERAGEIF(DataTable[Strålkälla],DataTable[[#This Row],[Strålkälla]],DataTable[Sens_7])</f>
        <v>0.99690866653933485</v>
      </c>
      <c r="CJ106" s="19">
        <v>2163</v>
      </c>
      <c r="CK106" s="19">
        <v>2651</v>
      </c>
      <c r="CL106" s="19">
        <v>0.10100000000000001</v>
      </c>
      <c r="CM106" s="19">
        <v>3.6999999999999998E-2</v>
      </c>
      <c r="CN106" s="19">
        <v>2.4E-2</v>
      </c>
      <c r="CO106" s="19">
        <v>2447701</v>
      </c>
      <c r="CP106" s="19">
        <v>198</v>
      </c>
      <c r="CQ106" s="19">
        <v>0</v>
      </c>
      <c r="CR106" s="19">
        <v>1</v>
      </c>
      <c r="CS106" s="19">
        <v>26.916438459940697</v>
      </c>
      <c r="CT106" s="23">
        <f>DataTable[[#This Row],[Sens_8]]/AVERAGEIF(DataTable[Strålkälla],DataTable[[#This Row],[Strålkälla]],DataTable[Sens_8])</f>
        <v>0.9962281904244451</v>
      </c>
      <c r="CU106" s="19">
        <v>1665</v>
      </c>
      <c r="CV106" s="19">
        <v>2117</v>
      </c>
      <c r="CW106" s="19">
        <v>0.12</v>
      </c>
      <c r="CX106" s="19">
        <v>5.3999999999999999E-2</v>
      </c>
      <c r="CY106" s="19">
        <v>2.5999999999999999E-2</v>
      </c>
      <c r="CZ106" s="19">
        <v>1964391</v>
      </c>
      <c r="DA106" s="19">
        <v>191</v>
      </c>
      <c r="DB106" s="19">
        <v>1</v>
      </c>
      <c r="DC106" s="19">
        <v>0</v>
      </c>
      <c r="DD106" s="19">
        <v>22.393345856036433</v>
      </c>
      <c r="DE106" s="23">
        <f>DataTable[[#This Row],[Sens_9]]/AVERAGEIF(DataTable[Strålkälla],DataTable[[#This Row],[Strålkälla]],DataTable[Sens_9])</f>
        <v>1.0010971815369096</v>
      </c>
      <c r="DF106" s="19">
        <v>1694</v>
      </c>
      <c r="DG106" s="19">
        <v>2006</v>
      </c>
      <c r="DH106" s="19">
        <v>8.4000000000000005E-2</v>
      </c>
      <c r="DI106" s="19">
        <v>3.9E-2</v>
      </c>
      <c r="DJ106" s="19">
        <v>2.5999999999999999E-2</v>
      </c>
      <c r="DK106" s="19">
        <v>1900417</v>
      </c>
      <c r="DL106" s="19">
        <v>191</v>
      </c>
      <c r="DM106" s="19">
        <v>0</v>
      </c>
      <c r="DN106" s="19">
        <v>0</v>
      </c>
      <c r="DO106" s="19">
        <v>21.664065428772169</v>
      </c>
      <c r="DP106" s="23">
        <f>DataTable[[#This Row],[Sens_10]]/AVERAGEIF(DataTable[Strålkälla],DataTable[[#This Row],[Strålkälla]],DataTable[Sens_10])</f>
        <v>0.99852245133039386</v>
      </c>
      <c r="DQ106" s="19">
        <v>1474</v>
      </c>
      <c r="DR106" s="19">
        <v>1765</v>
      </c>
      <c r="DS106" s="19">
        <v>0.09</v>
      </c>
      <c r="DT106" s="19">
        <v>4.2000000000000003E-2</v>
      </c>
      <c r="DU106" s="19">
        <v>2.7E-2</v>
      </c>
      <c r="DV106" s="19">
        <v>1674164</v>
      </c>
      <c r="DW106" s="19">
        <v>191</v>
      </c>
      <c r="DX106" s="19">
        <v>0</v>
      </c>
      <c r="DY106" s="19">
        <v>0</v>
      </c>
      <c r="DZ106" s="19">
        <v>19.084863182393615</v>
      </c>
      <c r="EA106" s="19">
        <f>DataTable[[#This Row],[Sens_11]]/AVERAGEIF(DataTable[Strålkälla],DataTable[[#This Row],[Strålkälla]],DataTable[Sens_11])</f>
        <v>1.0001601532611017</v>
      </c>
      <c r="EB106" s="19">
        <v>1719</v>
      </c>
      <c r="EC106" s="19">
        <v>2207</v>
      </c>
      <c r="ED106" s="19">
        <v>0.124</v>
      </c>
      <c r="EE106" s="19">
        <v>4.1000000000000002E-2</v>
      </c>
      <c r="EF106" s="19">
        <v>2.8000000000000001E-2</v>
      </c>
      <c r="EG106" s="19">
        <v>1991194</v>
      </c>
      <c r="EH106" s="19">
        <v>191</v>
      </c>
      <c r="EI106" s="19">
        <v>1</v>
      </c>
      <c r="EJ106" s="19">
        <v>1</v>
      </c>
      <c r="EK106" s="19">
        <v>22.698890347422996</v>
      </c>
      <c r="EL106" s="23">
        <f>DataTable[[#This Row],[Sens_12]]/AVERAGEIF(DataTable[Strålkälla],DataTable[[#This Row],[Strålkälla]],DataTable[Sens_12])</f>
        <v>0.99984056979405445</v>
      </c>
      <c r="EM106" s="19">
        <v>1502</v>
      </c>
      <c r="EN106" s="19">
        <v>1822</v>
      </c>
      <c r="EO106" s="19">
        <v>9.6000000000000002E-2</v>
      </c>
      <c r="EP106" s="19">
        <v>3.5999999999999997E-2</v>
      </c>
      <c r="EQ106" s="19">
        <v>2.7E-2</v>
      </c>
      <c r="ER106" s="19">
        <v>1704709</v>
      </c>
      <c r="ES106" s="19">
        <v>206</v>
      </c>
      <c r="ET106" s="19">
        <v>0</v>
      </c>
      <c r="EU106" s="19">
        <v>0</v>
      </c>
      <c r="EV106" s="19">
        <v>18.018036104876657</v>
      </c>
      <c r="EW106" s="19">
        <f>DataTable[[#This Row],[Sens_13]]/AVERAGEIF(DataTable[Strålkälla],DataTable[[#This Row],[Strålkälla]],DataTable[Sens_13])</f>
        <v>1.0001130536561458</v>
      </c>
      <c r="EX106" s="19">
        <v>1235</v>
      </c>
      <c r="EY106" s="19">
        <v>1560</v>
      </c>
      <c r="EZ106" s="19">
        <v>0.11600000000000001</v>
      </c>
      <c r="FA106" s="19">
        <v>4.4999999999999998E-2</v>
      </c>
      <c r="FB106" s="19">
        <v>0.03</v>
      </c>
      <c r="FC106" s="19">
        <v>1441697</v>
      </c>
      <c r="FD106" s="19">
        <v>206</v>
      </c>
      <c r="FE106" s="19">
        <v>1</v>
      </c>
      <c r="FF106" s="19">
        <v>0</v>
      </c>
      <c r="FG106" s="19">
        <v>15.238113131503594</v>
      </c>
      <c r="FH106" s="19">
        <f>DataTable[[#This Row],[Sens_14]]/AVERAGEIF(DataTable[Strålkälla],DataTable[[#This Row],[Strålkälla]],DataTable[Sens_14])</f>
        <v>0.99807030767216309</v>
      </c>
      <c r="FI106" s="19">
        <v>1467</v>
      </c>
      <c r="FJ106" s="19">
        <v>1722</v>
      </c>
      <c r="FK106" s="19">
        <v>0.08</v>
      </c>
      <c r="FL106" s="19">
        <v>3.5000000000000003E-2</v>
      </c>
      <c r="FM106" s="19">
        <v>2.7E-2</v>
      </c>
      <c r="FN106" s="19">
        <v>1629204</v>
      </c>
      <c r="FO106" s="19">
        <v>206</v>
      </c>
      <c r="FP106" s="19">
        <v>0</v>
      </c>
      <c r="FQ106" s="19">
        <v>0</v>
      </c>
      <c r="FR106" s="19">
        <v>17.219980943497962</v>
      </c>
      <c r="FS106" s="19">
        <f>DataTable[[#This Row],[Sens_15]]/AVERAGEIF(DataTable[Strålkälla],DataTable[[#This Row],[Strålkälla]],DataTable[Sens_15])</f>
        <v>0.99682448859585548</v>
      </c>
      <c r="FT106" s="19">
        <v>1264</v>
      </c>
      <c r="FU106" s="19">
        <v>1557</v>
      </c>
      <c r="FV106" s="19">
        <v>0.104</v>
      </c>
      <c r="FW106" s="19">
        <v>4.8000000000000001E-2</v>
      </c>
      <c r="FX106" s="19">
        <v>2.8000000000000001E-2</v>
      </c>
      <c r="FY106" s="19">
        <v>1462899</v>
      </c>
      <c r="FZ106" s="19">
        <v>206</v>
      </c>
      <c r="GA106" s="19">
        <v>1</v>
      </c>
      <c r="GB106" s="19">
        <v>0</v>
      </c>
      <c r="GC106" s="19">
        <v>15.462209092453875</v>
      </c>
      <c r="GD106" s="19">
        <f>DataTable[[#This Row],[Sens_16]]/AVERAGEIF(DataTable[Strålkälla],DataTable[[#This Row],[Strålkälla]],DataTable[Sens_16])</f>
        <v>0.99485284628349413</v>
      </c>
      <c r="GE106" s="19">
        <v>1207</v>
      </c>
      <c r="GF106" s="19">
        <v>1538</v>
      </c>
      <c r="GG106" s="19">
        <v>0.121</v>
      </c>
      <c r="GH106" s="19">
        <v>4.5999999999999999E-2</v>
      </c>
      <c r="GI106" s="19">
        <v>3.1E-2</v>
      </c>
      <c r="GJ106" s="19">
        <v>1407698</v>
      </c>
      <c r="GK106" s="19">
        <v>206</v>
      </c>
      <c r="GL106" s="19">
        <v>0</v>
      </c>
      <c r="GM106" s="19">
        <v>0</v>
      </c>
      <c r="GN106" s="19">
        <v>14.878758420799478</v>
      </c>
      <c r="GO106" s="19">
        <f>DataTable[[#This Row],[Sens_17]]/AVERAGEIF(DataTable[Strålkälla],DataTable[[#This Row],[Strålkälla]],DataTable[Sens_17])</f>
        <v>0.99709178809284371</v>
      </c>
      <c r="GP106" s="19">
        <v>1460</v>
      </c>
      <c r="GQ106" s="19">
        <v>1778</v>
      </c>
      <c r="GR106" s="19">
        <v>9.8000000000000004E-2</v>
      </c>
      <c r="GS106" s="19">
        <v>4.7E-2</v>
      </c>
      <c r="GT106" s="19">
        <v>2.7E-2</v>
      </c>
      <c r="GU106" s="19">
        <v>1630358</v>
      </c>
      <c r="GV106" s="19">
        <v>206</v>
      </c>
      <c r="GW106" s="19">
        <v>0</v>
      </c>
      <c r="GX106" s="19">
        <v>2</v>
      </c>
      <c r="GY106" s="19">
        <v>17.232178223893047</v>
      </c>
      <c r="GZ106" s="19">
        <f>DataTable[[#This Row],[Sens_18]]/AVERAGEIF(DataTable[Strålkälla],DataTable[[#This Row],[Strålkälla]],DataTable[Sens_18])</f>
        <v>0.99799764513143618</v>
      </c>
      <c r="HA106" s="19">
        <v>1272</v>
      </c>
      <c r="HB106" s="19">
        <v>1593</v>
      </c>
      <c r="HC106" s="19">
        <v>0.112</v>
      </c>
      <c r="HD106" s="19">
        <v>6.7000000000000004E-2</v>
      </c>
      <c r="HE106" s="19">
        <v>0.03</v>
      </c>
      <c r="HF106" s="19">
        <v>1473733</v>
      </c>
      <c r="HG106" s="19">
        <v>206</v>
      </c>
      <c r="HH106" s="19">
        <v>0</v>
      </c>
      <c r="HI106" s="19">
        <v>0</v>
      </c>
      <c r="HJ106" s="19">
        <v>15.576719782055582</v>
      </c>
      <c r="HK106" s="19">
        <f>DataTable[[#This Row],[Sens_19]]/AVERAGEIF(DataTable[Strålkälla],DataTable[[#This Row],[Strålkälla]],DataTable[Sens_19])</f>
        <v>0.99551116947345453</v>
      </c>
      <c r="HL106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0.126</v>
      </c>
      <c r="HM106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0.10126315789473687</v>
      </c>
      <c r="HN106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6.7000000000000004E-2</v>
      </c>
      <c r="HO106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4.3105263157894744E-2</v>
      </c>
      <c r="HP106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0.99321487647202311</v>
      </c>
      <c r="HQ106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0.99725948577400592</v>
      </c>
      <c r="HR106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1.0010971815369096</v>
      </c>
      <c r="HS106" s="49"/>
    </row>
    <row r="107" spans="2:227" x14ac:dyDescent="0.25">
      <c r="B107" s="19" t="s">
        <v>43</v>
      </c>
      <c r="C107" s="20">
        <v>42711</v>
      </c>
      <c r="D107" s="21">
        <v>0.32250000000000001</v>
      </c>
      <c r="E107" s="13" t="s">
        <v>217</v>
      </c>
      <c r="F107" s="13">
        <v>109.8</v>
      </c>
      <c r="G107" s="13">
        <v>134.19999999999999</v>
      </c>
      <c r="H107" s="24">
        <v>9.9620999999999995</v>
      </c>
      <c r="I107" s="22">
        <f>MATCH(DataTable[[#This Row],[Datum]],Övrigt!$D$10:$M$10,1)</f>
        <v>2</v>
      </c>
      <c r="J107" s="13"/>
      <c r="K107" s="22">
        <v>1829</v>
      </c>
      <c r="L107" s="22">
        <v>2227</v>
      </c>
      <c r="M107" s="23">
        <v>9.8000000000000004E-2</v>
      </c>
      <c r="N107" s="23">
        <v>3.6999999999999998E-2</v>
      </c>
      <c r="O107" s="23">
        <v>2.5000000000000001E-2</v>
      </c>
      <c r="P107" s="22">
        <v>2041900</v>
      </c>
      <c r="Q107" s="24">
        <v>199</v>
      </c>
      <c r="R107" s="22">
        <v>0</v>
      </c>
      <c r="S107" s="22">
        <v>1</v>
      </c>
      <c r="T107" s="19">
        <v>22.455430506086945</v>
      </c>
      <c r="U107" s="23">
        <f>DataTable[[#This Row],[Sens_1]]/AVERAGEIF(DataTable[Strålkälla],DataTable[[#This Row],[Strålkälla]],DataTable[Sens_1])</f>
        <v>1.002045851167904</v>
      </c>
      <c r="V107" s="22">
        <v>2157</v>
      </c>
      <c r="W107" s="22">
        <v>2611</v>
      </c>
      <c r="X107" s="23">
        <v>9.5000000000000001E-2</v>
      </c>
      <c r="Y107" s="23">
        <v>0.04</v>
      </c>
      <c r="Z107" s="23">
        <v>2.5000000000000001E-2</v>
      </c>
      <c r="AA107" s="22">
        <v>2453477</v>
      </c>
      <c r="AB107" s="24">
        <v>199</v>
      </c>
      <c r="AC107" s="22">
        <v>0</v>
      </c>
      <c r="AD107" s="22">
        <v>0</v>
      </c>
      <c r="AE107" s="19">
        <v>26.981675043725293</v>
      </c>
      <c r="AF107" s="23">
        <f>DataTable[[#This Row],[Sens_2]]/AVERAGEIF(DataTable[Strålkälla],DataTable[[#This Row],[Strålkälla]],DataTable[Sens_2])</f>
        <v>0.99777270939291574</v>
      </c>
      <c r="AG107" s="22">
        <v>1927</v>
      </c>
      <c r="AH107" s="22">
        <v>2291</v>
      </c>
      <c r="AI107" s="23">
        <v>8.5999999999999993E-2</v>
      </c>
      <c r="AJ107" s="23">
        <v>3.5000000000000003E-2</v>
      </c>
      <c r="AK107" s="23">
        <v>2.4E-2</v>
      </c>
      <c r="AL107" s="22">
        <v>2140628</v>
      </c>
      <c r="AM107" s="24">
        <v>199</v>
      </c>
      <c r="AN107" s="22">
        <v>0</v>
      </c>
      <c r="AO107" s="22">
        <v>0</v>
      </c>
      <c r="AP107" s="19">
        <v>23.541174050337371</v>
      </c>
      <c r="AQ107" s="23">
        <f>DataTable[[#This Row],[Sens_3]]/AVERAGEIF(DataTable[Strålkälla],DataTable[[#This Row],[Strålkälla]],DataTable[Sens_3])</f>
        <v>0.99694293262352729</v>
      </c>
      <c r="AR107" s="22">
        <v>1840</v>
      </c>
      <c r="AS107" s="22">
        <v>2198</v>
      </c>
      <c r="AT107" s="23">
        <v>8.8999999999999996E-2</v>
      </c>
      <c r="AU107" s="23">
        <v>0.04</v>
      </c>
      <c r="AV107" s="23">
        <v>2.5000000000000001E-2</v>
      </c>
      <c r="AW107" s="22">
        <v>2068172</v>
      </c>
      <c r="AX107" s="24">
        <v>199</v>
      </c>
      <c r="AY107" s="22">
        <v>0</v>
      </c>
      <c r="AZ107" s="22">
        <v>0</v>
      </c>
      <c r="BA107" s="19">
        <v>22.744352133128384</v>
      </c>
      <c r="BB107" s="23">
        <f>DataTable[[#This Row],[Sens_4]]/AVERAGEIF(DataTable[Strålkälla],DataTable[[#This Row],[Strålkälla]],DataTable[Sens_4])</f>
        <v>0.9954043263961202</v>
      </c>
      <c r="BC107" s="22">
        <v>2050</v>
      </c>
      <c r="BD107" s="22">
        <v>2429</v>
      </c>
      <c r="BE107" s="19">
        <v>8.5000000000000006E-2</v>
      </c>
      <c r="BF107" s="19">
        <v>3.5000000000000003E-2</v>
      </c>
      <c r="BG107" s="19">
        <v>2.4E-2</v>
      </c>
      <c r="BH107" s="19">
        <v>2324054</v>
      </c>
      <c r="BI107" s="19">
        <v>199</v>
      </c>
      <c r="BJ107" s="19">
        <v>1</v>
      </c>
      <c r="BK107" s="19">
        <v>0</v>
      </c>
      <c r="BL107" s="19">
        <v>25.558368720012432</v>
      </c>
      <c r="BM107" s="23">
        <f>DataTable[[#This Row],[Sens_5]]/AVERAGEIF(DataTable[Strålkälla],DataTable[[#This Row],[Strålkälla]],DataTable[Sens_5])</f>
        <v>0.99319016420913275</v>
      </c>
      <c r="BN107" s="19">
        <v>2063</v>
      </c>
      <c r="BO107" s="19">
        <v>2480</v>
      </c>
      <c r="BP107" s="19">
        <v>9.1999999999999998E-2</v>
      </c>
      <c r="BQ107" s="19">
        <v>4.2000000000000003E-2</v>
      </c>
      <c r="BR107" s="19">
        <v>2.5000000000000001E-2</v>
      </c>
      <c r="BS107" s="19">
        <v>2323788</v>
      </c>
      <c r="BT107" s="19">
        <v>199</v>
      </c>
      <c r="BU107" s="19">
        <v>0</v>
      </c>
      <c r="BV107" s="19">
        <v>0</v>
      </c>
      <c r="BW107" s="19">
        <v>25.555443432527923</v>
      </c>
      <c r="BX107" s="23">
        <f>DataTable[[#This Row],[Sens_6]]/AVERAGEIF(DataTable[Strålkälla],DataTable[[#This Row],[Strålkälla]],DataTable[Sens_6])</f>
        <v>0.99342919586372891</v>
      </c>
      <c r="BY107" s="19">
        <v>1829</v>
      </c>
      <c r="BZ107" s="19">
        <v>2246</v>
      </c>
      <c r="CA107" s="19">
        <v>0.10199999999999999</v>
      </c>
      <c r="CB107" s="19">
        <v>3.5000000000000003E-2</v>
      </c>
      <c r="CC107" s="19">
        <v>2.5999999999999999E-2</v>
      </c>
      <c r="CD107" s="19">
        <v>2071392</v>
      </c>
      <c r="CE107" s="19">
        <v>199</v>
      </c>
      <c r="CF107" s="19">
        <v>0</v>
      </c>
      <c r="CG107" s="19">
        <v>1</v>
      </c>
      <c r="CH107" s="19">
        <v>22.77976350794086</v>
      </c>
      <c r="CI107" s="23">
        <f>DataTable[[#This Row],[Sens_7]]/AVERAGEIF(DataTable[Strålkälla],DataTable[[#This Row],[Strålkälla]],DataTable[Sens_7])</f>
        <v>0.99625223048534028</v>
      </c>
      <c r="CJ107" s="19">
        <v>2131</v>
      </c>
      <c r="CK107" s="19">
        <v>2621</v>
      </c>
      <c r="CL107" s="19">
        <v>0.10299999999999999</v>
      </c>
      <c r="CM107" s="19">
        <v>3.7999999999999999E-2</v>
      </c>
      <c r="CN107" s="19">
        <v>2.5000000000000001E-2</v>
      </c>
      <c r="CO107" s="19">
        <v>2443597</v>
      </c>
      <c r="CP107" s="19">
        <v>199</v>
      </c>
      <c r="CQ107" s="19">
        <v>3</v>
      </c>
      <c r="CR107" s="19">
        <v>0</v>
      </c>
      <c r="CS107" s="19">
        <v>26.873021508586383</v>
      </c>
      <c r="CT107" s="23">
        <f>DataTable[[#This Row],[Sens_8]]/AVERAGEIF(DataTable[Strålkälla],DataTable[[#This Row],[Strålkälla]],DataTable[Sens_8])</f>
        <v>0.99462124710815802</v>
      </c>
      <c r="CU107" s="19">
        <v>1764</v>
      </c>
      <c r="CV107" s="19">
        <v>2103</v>
      </c>
      <c r="CW107" s="19">
        <v>8.7999999999999995E-2</v>
      </c>
      <c r="CX107" s="19">
        <v>4.7E-2</v>
      </c>
      <c r="CY107" s="19">
        <v>2.5999999999999999E-2</v>
      </c>
      <c r="CZ107" s="19">
        <v>1964367</v>
      </c>
      <c r="DA107" s="19">
        <v>192</v>
      </c>
      <c r="DB107" s="19">
        <v>0</v>
      </c>
      <c r="DC107" s="19">
        <v>0</v>
      </c>
      <c r="DD107" s="19">
        <v>22.390376367020167</v>
      </c>
      <c r="DE107" s="23">
        <f>DataTable[[#This Row],[Sens_9]]/AVERAGEIF(DataTable[Strålkälla],DataTable[[#This Row],[Strålkälla]],DataTable[Sens_9])</f>
        <v>1.0009644301783633</v>
      </c>
      <c r="DF107" s="19">
        <v>1650</v>
      </c>
      <c r="DG107" s="19">
        <v>2034</v>
      </c>
      <c r="DH107" s="19">
        <v>0.104</v>
      </c>
      <c r="DI107" s="19">
        <v>4.7E-2</v>
      </c>
      <c r="DJ107" s="19">
        <v>2.5999999999999999E-2</v>
      </c>
      <c r="DK107" s="19">
        <v>1903977</v>
      </c>
      <c r="DL107" s="19">
        <v>192</v>
      </c>
      <c r="DM107" s="19">
        <v>1</v>
      </c>
      <c r="DN107" s="19">
        <v>0</v>
      </c>
      <c r="DO107" s="19">
        <v>21.702035120804794</v>
      </c>
      <c r="DP107" s="23">
        <f>DataTable[[#This Row],[Sens_10]]/AVERAGEIF(DataTable[Strålkälla],DataTable[[#This Row],[Strålkälla]],DataTable[Sens_10])</f>
        <v>1.000272519436924</v>
      </c>
      <c r="DQ107" s="19">
        <v>1472</v>
      </c>
      <c r="DR107" s="19">
        <v>1779</v>
      </c>
      <c r="DS107" s="19">
        <v>9.4E-2</v>
      </c>
      <c r="DT107" s="19">
        <v>3.9E-2</v>
      </c>
      <c r="DU107" s="19">
        <v>2.8000000000000001E-2</v>
      </c>
      <c r="DV107" s="19">
        <v>1674069</v>
      </c>
      <c r="DW107" s="19">
        <v>192</v>
      </c>
      <c r="DX107" s="19">
        <v>0</v>
      </c>
      <c r="DY107" s="19">
        <v>0</v>
      </c>
      <c r="DZ107" s="19">
        <v>19.081482724135093</v>
      </c>
      <c r="EA107" s="19">
        <f>DataTable[[#This Row],[Sens_11]]/AVERAGEIF(DataTable[Strålkälla],DataTable[[#This Row],[Strålkälla]],DataTable[Sens_11])</f>
        <v>0.99998299717579875</v>
      </c>
      <c r="EB107" s="19">
        <v>1751</v>
      </c>
      <c r="EC107" s="19">
        <v>2138</v>
      </c>
      <c r="ED107" s="19">
        <v>0.1</v>
      </c>
      <c r="EE107" s="19">
        <v>4.7E-2</v>
      </c>
      <c r="EF107" s="19">
        <v>2.7E-2</v>
      </c>
      <c r="EG107" s="19">
        <v>1987557</v>
      </c>
      <c r="EH107" s="19">
        <v>192</v>
      </c>
      <c r="EI107" s="19">
        <v>0</v>
      </c>
      <c r="EJ107" s="19">
        <v>0</v>
      </c>
      <c r="EK107" s="19">
        <v>22.654702141150558</v>
      </c>
      <c r="EL107" s="23">
        <f>DataTable[[#This Row],[Sens_12]]/AVERAGEIF(DataTable[Strålkälla],DataTable[[#This Row],[Strålkälla]],DataTable[Sens_12])</f>
        <v>0.99789416798051256</v>
      </c>
      <c r="EM107" s="19">
        <v>1498</v>
      </c>
      <c r="EN107" s="19">
        <v>1851</v>
      </c>
      <c r="EO107" s="19">
        <v>0.105</v>
      </c>
      <c r="EP107" s="19">
        <v>4.1000000000000002E-2</v>
      </c>
      <c r="EQ107" s="19">
        <v>2.8000000000000001E-2</v>
      </c>
      <c r="ER107" s="19">
        <v>1701716</v>
      </c>
      <c r="ES107" s="19">
        <v>207</v>
      </c>
      <c r="ET107" s="19">
        <v>0</v>
      </c>
      <c r="EU107" s="19">
        <v>1</v>
      </c>
      <c r="EV107" s="19">
        <v>17.99105907669151</v>
      </c>
      <c r="EW107" s="19">
        <f>DataTable[[#This Row],[Sens_13]]/AVERAGEIF(DataTable[Strålkälla],DataTable[[#This Row],[Strålkälla]],DataTable[Sens_13])</f>
        <v>0.99861566082821629</v>
      </c>
      <c r="EX107" s="19">
        <v>1259</v>
      </c>
      <c r="EY107" s="19">
        <v>1571</v>
      </c>
      <c r="EZ107" s="19">
        <v>0.11</v>
      </c>
      <c r="FA107" s="19">
        <v>5.0999999999999997E-2</v>
      </c>
      <c r="FB107" s="19">
        <v>0.03</v>
      </c>
      <c r="FC107" s="19">
        <v>1440413</v>
      </c>
      <c r="FD107" s="19">
        <v>207</v>
      </c>
      <c r="FE107" s="19">
        <v>0</v>
      </c>
      <c r="FF107" s="19">
        <v>0</v>
      </c>
      <c r="FG107" s="19">
        <v>15.228484293404097</v>
      </c>
      <c r="FH107" s="19">
        <f>DataTable[[#This Row],[Sens_14]]/AVERAGEIF(DataTable[Strålkälla],DataTable[[#This Row],[Strålkälla]],DataTable[Sens_14])</f>
        <v>0.99743963527056356</v>
      </c>
      <c r="FI107" s="19">
        <v>1464</v>
      </c>
      <c r="FJ107" s="19">
        <v>1726</v>
      </c>
      <c r="FK107" s="19">
        <v>8.2000000000000003E-2</v>
      </c>
      <c r="FL107" s="19">
        <v>3.7999999999999999E-2</v>
      </c>
      <c r="FM107" s="19">
        <v>2.7E-2</v>
      </c>
      <c r="FN107" s="19">
        <v>1629711</v>
      </c>
      <c r="FO107" s="19">
        <v>207</v>
      </c>
      <c r="FP107" s="19">
        <v>0</v>
      </c>
      <c r="FQ107" s="19">
        <v>0</v>
      </c>
      <c r="FR107" s="19">
        <v>17.229800318580772</v>
      </c>
      <c r="FS107" s="19">
        <f>DataTable[[#This Row],[Sens_15]]/AVERAGEIF(DataTable[Strålkälla],DataTable[[#This Row],[Strålkälla]],DataTable[Sens_15])</f>
        <v>0.99739290929140501</v>
      </c>
      <c r="FT107" s="19">
        <v>1261</v>
      </c>
      <c r="FU107" s="19">
        <v>1565</v>
      </c>
      <c r="FV107" s="19">
        <v>0.108</v>
      </c>
      <c r="FW107" s="19">
        <v>0.04</v>
      </c>
      <c r="FX107" s="19">
        <v>0.03</v>
      </c>
      <c r="FY107" s="19">
        <v>1465805</v>
      </c>
      <c r="FZ107" s="19">
        <v>207</v>
      </c>
      <c r="GA107" s="19">
        <v>0</v>
      </c>
      <c r="GB107" s="19">
        <v>0</v>
      </c>
      <c r="GC107" s="19">
        <v>15.496936239601553</v>
      </c>
      <c r="GD107" s="19">
        <f>DataTable[[#This Row],[Sens_16]]/AVERAGEIF(DataTable[Strålkälla],DataTable[[#This Row],[Strålkälla]],DataTable[Sens_16])</f>
        <v>0.99708722307768927</v>
      </c>
      <c r="GE107" s="19">
        <v>1232</v>
      </c>
      <c r="GF107" s="19">
        <v>1525</v>
      </c>
      <c r="GG107" s="19">
        <v>0.106</v>
      </c>
      <c r="GH107" s="19">
        <v>4.5999999999999999E-2</v>
      </c>
      <c r="GI107" s="19">
        <v>0.03</v>
      </c>
      <c r="GJ107" s="19">
        <v>1407821</v>
      </c>
      <c r="GK107" s="19">
        <v>207</v>
      </c>
      <c r="GL107" s="19">
        <v>0</v>
      </c>
      <c r="GM107" s="19">
        <v>0</v>
      </c>
      <c r="GN107" s="19">
        <v>14.883911757547626</v>
      </c>
      <c r="GO107" s="19">
        <f>DataTable[[#This Row],[Sens_17]]/AVERAGEIF(DataTable[Strålkälla],DataTable[[#This Row],[Strålkälla]],DataTable[Sens_17])</f>
        <v>0.99743713611231766</v>
      </c>
      <c r="GP107" s="19">
        <v>1441</v>
      </c>
      <c r="GQ107" s="19">
        <v>1752</v>
      </c>
      <c r="GR107" s="19">
        <v>9.7000000000000003E-2</v>
      </c>
      <c r="GS107" s="19">
        <v>4.4999999999999998E-2</v>
      </c>
      <c r="GT107" s="19">
        <v>2.9000000000000001E-2</v>
      </c>
      <c r="GU107" s="19">
        <v>1631687</v>
      </c>
      <c r="GV107" s="19">
        <v>207</v>
      </c>
      <c r="GW107" s="19">
        <v>0</v>
      </c>
      <c r="GX107" s="19">
        <v>0</v>
      </c>
      <c r="GY107" s="19">
        <v>17.250691191520524</v>
      </c>
      <c r="GZ107" s="19">
        <f>DataTable[[#This Row],[Sens_18]]/AVERAGEIF(DataTable[Strålkälla],DataTable[[#This Row],[Strålkälla]],DataTable[Sens_18])</f>
        <v>0.9990698194007922</v>
      </c>
      <c r="HA107" s="19">
        <v>1279</v>
      </c>
      <c r="HB107" s="19">
        <v>1619</v>
      </c>
      <c r="HC107" s="19">
        <v>0.11700000000000001</v>
      </c>
      <c r="HD107" s="19">
        <v>4.9000000000000002E-2</v>
      </c>
      <c r="HE107" s="19">
        <v>3.1E-2</v>
      </c>
      <c r="HF107" s="19">
        <v>1472895</v>
      </c>
      <c r="HG107" s="19">
        <v>207</v>
      </c>
      <c r="HH107" s="19">
        <v>0</v>
      </c>
      <c r="HI107" s="19">
        <v>1</v>
      </c>
      <c r="HJ107" s="19">
        <v>15.571893875807444</v>
      </c>
      <c r="HK107" s="19">
        <f>DataTable[[#This Row],[Sens_19]]/AVERAGEIF(DataTable[Strålkälla],DataTable[[#This Row],[Strålkälla]],DataTable[Sens_19])</f>
        <v>0.99520274487314897</v>
      </c>
      <c r="HL107" s="23">
        <f>MAX(DataTable[[#This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0.11700000000000001</v>
      </c>
      <c r="HM107" s="23">
        <f>AVERAGE(DataTable[[#This Row],[IU_1]],DataTable[[#This Row],[IU_2]],DataTable[[#This Row],[IU_3]],DataTable[[#This Row],[IU_4]],DataTable[[#This Row],[IU_5]],DataTable[[#This Row],[IU_6]],DataTable[[#This Row],[IU_7]],DataTable[[#This Row],[IU_8]],DataTable[[#This Row],[IU_9]],DataTable[[#This Row],[IU_10]],DataTable[[#This Row],[IU_11]],DataTable[[#This Row],[IU_12]],DataTable[[#This Row],[IU_13]],DataTable[[#This Row],[IU_14]],DataTable[[#This Row],[IU_15]],DataTable[[#This Row],[IU_16]],DataTable[[#This Row],[IU_17]],DataTable[[#This Row],[IU_18]],DataTable[[#This Row],[IU_19]])</f>
        <v>9.7947368421052658E-2</v>
      </c>
      <c r="HN107" s="23">
        <f>MAX(DataTable[[#This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5.0999999999999997E-2</v>
      </c>
      <c r="HO107" s="23">
        <f>AVERAGE(DataTable[[#This Row],[IU_GE_1]],DataTable[[#This Row],[IU_GE_2]],DataTable[[#This Row],[IU_GE_3]],DataTable[[#This Row],[IU_GE_4]],DataTable[[#This Row],[IU_GE_5]],DataTable[[#This Row],[IU_GE_6]],DataTable[[#This Row],[IU_GE_7]],DataTable[[#This Row],[IU_GE_8]],DataTable[[#This Row],[IU_GE_9]],DataTable[[#This Row],[IU_GE_10]],DataTable[[#This Row],[IU_GE_11]],DataTable[[#This Row],[IU_GE_12]],DataTable[[#This Row],[IU_GE_13]],DataTable[[#This Row],[IU_GE_14]],DataTable[[#This Row],[IU_GE_15]],DataTable[[#This Row],[IU_GE_16]],DataTable[[#This Row],[IU_GE_17]],DataTable[[#This Row],[IU_GE_18]],DataTable[[#This Row],[IU_GE_19]])</f>
        <v>4.1684210526315796E-2</v>
      </c>
      <c r="HP107" s="23">
        <f>MIN(DataTable[[#This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0.99319016420913275</v>
      </c>
      <c r="HQ107" s="23">
        <f>AVERAGE(DataTable[[#This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0.99742199478276616</v>
      </c>
      <c r="HR107" s="23">
        <f>MAX(DataTable[[#This Row],[RelSens_1]],DataTable[[#This Row],[RelSens_2]],DataTable[[#This Row],[RelSens_3]],DataTable[[#This Row],[RelSens_4]],DataTable[[#This Row],[RelSens_5]],DataTable[[#This Row],[RelSens_6]],DataTable[[#This Row],[RelSens_7]],DataTable[[#This Row],[RelSens_8]],DataTable[[#This Row],[RelSens_9]],DataTable[[#This Row],[RelSens_10]],DataTable[[#This Row],[RelSens_11]],DataTable[[#This Row],[RelSens_12]],DataTable[[#This Row],[RelSens_13]],DataTable[[#This Row],[RelSens_14]],DataTable[[#This Row],[RelSens_15]],DataTable[[#This Row],[RelSens_16]],DataTable[[#This Row],[RelSens_17]],DataTable[[#This Row],[RelSens_18]],DataTable[[#This Row],[RelSens_19]])</f>
        <v>1.002045851167904</v>
      </c>
      <c r="HS107" s="49"/>
    </row>
    <row r="112" spans="2:227" x14ac:dyDescent="0.25">
      <c r="J112" s="40"/>
    </row>
  </sheetData>
  <sheetProtection sheet="1" objects="1" scenarios="1"/>
  <mergeCells count="1">
    <mergeCell ref="B2:E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M30"/>
  <sheetViews>
    <sheetView showGridLines="0" tabSelected="1" workbookViewId="0">
      <selection activeCell="B13" sqref="B13"/>
    </sheetView>
  </sheetViews>
  <sheetFormatPr defaultRowHeight="15" x14ac:dyDescent="0.25"/>
  <cols>
    <col min="1" max="1" width="8.140625" customWidth="1"/>
    <col min="2" max="2" width="7.7109375" customWidth="1"/>
    <col min="3" max="3" width="25.5703125" customWidth="1"/>
    <col min="4" max="13" width="13.85546875" customWidth="1"/>
  </cols>
  <sheetData>
    <row r="1" spans="2:13" s="2" customFormat="1" x14ac:dyDescent="0.25"/>
    <row r="2" spans="2:13" s="2" customFormat="1" x14ac:dyDescent="0.25"/>
    <row r="3" spans="2:13" ht="15.75" thickBot="1" x14ac:dyDescent="0.3">
      <c r="C3" s="46" t="s">
        <v>282</v>
      </c>
      <c r="D3" s="47">
        <v>1</v>
      </c>
      <c r="E3" s="47">
        <v>2</v>
      </c>
      <c r="F3" s="47">
        <v>3</v>
      </c>
      <c r="G3" s="47">
        <v>4</v>
      </c>
      <c r="H3" s="47">
        <v>5</v>
      </c>
      <c r="I3" s="47">
        <v>6</v>
      </c>
      <c r="J3" s="47">
        <v>7</v>
      </c>
      <c r="K3" s="47">
        <v>8</v>
      </c>
      <c r="L3" s="47">
        <v>9</v>
      </c>
      <c r="M3" s="47">
        <v>10</v>
      </c>
    </row>
    <row r="4" spans="2:13" x14ac:dyDescent="0.25">
      <c r="B4" s="7"/>
      <c r="C4" s="7"/>
      <c r="D4" s="7"/>
      <c r="E4" s="7"/>
      <c r="F4" s="2"/>
      <c r="G4" s="2"/>
      <c r="H4" s="2"/>
      <c r="I4" s="2"/>
      <c r="J4" s="2"/>
      <c r="K4" s="2"/>
      <c r="L4" s="2"/>
      <c r="M4" s="2"/>
    </row>
    <row r="5" spans="2:13" x14ac:dyDescent="0.25">
      <c r="B5" s="7"/>
      <c r="C5" s="7" t="s">
        <v>35</v>
      </c>
      <c r="D5" s="44" t="s">
        <v>219</v>
      </c>
      <c r="E5" s="7" t="s">
        <v>281</v>
      </c>
      <c r="F5" s="2"/>
      <c r="G5" s="2"/>
      <c r="H5" s="2"/>
      <c r="I5" s="2"/>
      <c r="J5" s="2"/>
      <c r="K5" s="2"/>
      <c r="L5" s="2"/>
      <c r="M5" s="2"/>
    </row>
    <row r="6" spans="2:13" x14ac:dyDescent="0.25">
      <c r="B6" s="7"/>
      <c r="C6" s="7" t="s">
        <v>36</v>
      </c>
      <c r="D6" s="44" t="s">
        <v>37</v>
      </c>
      <c r="E6" s="44" t="s">
        <v>37</v>
      </c>
      <c r="F6" s="2"/>
      <c r="G6" s="2"/>
      <c r="H6" s="2"/>
      <c r="I6" s="2"/>
      <c r="J6" s="2"/>
      <c r="K6" s="2"/>
      <c r="L6" s="2"/>
      <c r="M6" s="2"/>
    </row>
    <row r="7" spans="2:13" x14ac:dyDescent="0.25">
      <c r="B7" s="7"/>
      <c r="C7" s="7" t="s">
        <v>38</v>
      </c>
      <c r="D7" s="44">
        <v>271.74</v>
      </c>
      <c r="E7" s="44">
        <v>271.74</v>
      </c>
      <c r="F7" s="2"/>
      <c r="G7" s="2"/>
      <c r="H7" s="2"/>
      <c r="I7" s="2"/>
      <c r="J7" s="2"/>
      <c r="K7" s="2"/>
      <c r="L7" s="2"/>
      <c r="M7" s="2"/>
    </row>
    <row r="8" spans="2:13" x14ac:dyDescent="0.25">
      <c r="B8" s="7"/>
      <c r="C8" s="7" t="s">
        <v>39</v>
      </c>
      <c r="D8" s="44">
        <v>740</v>
      </c>
      <c r="E8" s="44">
        <v>740</v>
      </c>
      <c r="F8" s="2"/>
      <c r="G8" s="2"/>
      <c r="H8" s="2"/>
      <c r="I8" s="2"/>
      <c r="J8" s="2"/>
      <c r="K8" s="2"/>
      <c r="L8" s="2"/>
      <c r="M8" s="2"/>
    </row>
    <row r="9" spans="2:13" x14ac:dyDescent="0.25">
      <c r="B9" s="7"/>
      <c r="C9" s="7" t="s">
        <v>40</v>
      </c>
      <c r="D9" s="48">
        <v>41944</v>
      </c>
      <c r="E9" s="45">
        <v>42522</v>
      </c>
      <c r="F9" s="2"/>
      <c r="G9" s="2"/>
      <c r="H9" s="2"/>
      <c r="I9" s="2"/>
      <c r="J9" s="2"/>
      <c r="K9" s="2"/>
      <c r="L9" s="2"/>
      <c r="M9" s="2"/>
    </row>
    <row r="10" spans="2:13" x14ac:dyDescent="0.25">
      <c r="B10" s="7"/>
      <c r="C10" s="7" t="s">
        <v>280</v>
      </c>
      <c r="D10" s="48">
        <v>42005</v>
      </c>
      <c r="E10" s="48">
        <v>42563</v>
      </c>
      <c r="F10" s="2"/>
      <c r="G10" s="2"/>
      <c r="H10" s="2"/>
      <c r="I10" s="2"/>
      <c r="J10" s="2"/>
      <c r="K10" s="2"/>
      <c r="L10" s="2"/>
      <c r="M10" s="2"/>
    </row>
    <row r="11" spans="2:13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2:13" x14ac:dyDescent="0.25">
      <c r="B12" s="16" t="s">
        <v>41</v>
      </c>
      <c r="C12" s="16"/>
      <c r="D12" s="16"/>
      <c r="E12" s="16"/>
      <c r="F12" s="16"/>
      <c r="G12" s="16"/>
      <c r="H12" s="2"/>
      <c r="I12" s="2"/>
      <c r="J12" s="2"/>
      <c r="K12" s="2"/>
      <c r="L12" s="2"/>
      <c r="M12" s="2"/>
    </row>
    <row r="13" spans="2:13" x14ac:dyDescent="0.25">
      <c r="B13" s="17" t="s">
        <v>293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2:13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2:13" x14ac:dyDescent="0.25">
      <c r="B15" s="16" t="s">
        <v>42</v>
      </c>
      <c r="C15" s="16"/>
      <c r="D15" s="16"/>
      <c r="E15" s="16"/>
      <c r="F15" s="16"/>
      <c r="G15" s="16"/>
      <c r="H15" s="2"/>
      <c r="I15" s="2"/>
      <c r="J15" s="2"/>
      <c r="K15" s="2"/>
      <c r="L15" s="2"/>
      <c r="M15" s="2"/>
    </row>
    <row r="16" spans="2:13" x14ac:dyDescent="0.25">
      <c r="B16" s="17" t="s">
        <v>43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2:13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2:13" x14ac:dyDescent="0.25">
      <c r="B18" s="16" t="s">
        <v>260</v>
      </c>
      <c r="C18" s="16"/>
      <c r="D18" s="16"/>
      <c r="E18" s="2"/>
      <c r="F18" s="2"/>
      <c r="G18" s="58" t="s">
        <v>288</v>
      </c>
      <c r="H18" s="58"/>
      <c r="I18" s="2"/>
      <c r="J18" s="2"/>
      <c r="K18" s="2"/>
      <c r="L18" s="2"/>
      <c r="M18" s="2"/>
    </row>
    <row r="19" spans="2:13" x14ac:dyDescent="0.25">
      <c r="B19" s="2"/>
      <c r="C19" s="2"/>
      <c r="D19" s="2"/>
      <c r="E19" s="2"/>
      <c r="F19" s="2"/>
      <c r="G19" s="2"/>
      <c r="H19" s="2"/>
    </row>
    <row r="20" spans="2:13" x14ac:dyDescent="0.25">
      <c r="B20" s="2" t="s">
        <v>255</v>
      </c>
      <c r="C20" s="2"/>
      <c r="D20" s="17">
        <v>0.15</v>
      </c>
      <c r="E20" s="2"/>
      <c r="F20" s="2"/>
      <c r="G20" s="41">
        <f ca="1">MAX(Data!$C$5,$D$25)</f>
        <v>42620</v>
      </c>
      <c r="H20" s="2">
        <f>D20</f>
        <v>0.15</v>
      </c>
    </row>
    <row r="21" spans="2:13" x14ac:dyDescent="0.25">
      <c r="B21" s="2" t="s">
        <v>256</v>
      </c>
      <c r="C21" s="2"/>
      <c r="D21" s="17">
        <v>7.4999999999999997E-2</v>
      </c>
      <c r="E21" s="2"/>
      <c r="F21" s="2"/>
      <c r="G21" s="41">
        <f ca="1">TODAY()</f>
        <v>42711</v>
      </c>
      <c r="H21" s="2">
        <f>D20</f>
        <v>0.15</v>
      </c>
    </row>
    <row r="22" spans="2:13" x14ac:dyDescent="0.25">
      <c r="B22" s="2" t="s">
        <v>258</v>
      </c>
      <c r="C22" s="2"/>
      <c r="D22" s="17">
        <v>0.98</v>
      </c>
      <c r="E22" s="2"/>
      <c r="F22" s="2"/>
      <c r="G22" s="2"/>
      <c r="H22" s="2"/>
    </row>
    <row r="23" spans="2:13" x14ac:dyDescent="0.25">
      <c r="B23" s="2" t="s">
        <v>259</v>
      </c>
      <c r="C23" s="2"/>
      <c r="D23" s="17">
        <v>1.02</v>
      </c>
      <c r="E23" s="2"/>
      <c r="F23" s="2"/>
      <c r="G23" s="41">
        <f ca="1">MAX(Data!$C$5,$D$25)</f>
        <v>42620</v>
      </c>
      <c r="H23" s="2">
        <f>D21</f>
        <v>7.4999999999999997E-2</v>
      </c>
    </row>
    <row r="24" spans="2:13" x14ac:dyDescent="0.25">
      <c r="B24" s="2"/>
      <c r="C24" s="2"/>
      <c r="D24" s="2"/>
      <c r="E24" s="2"/>
      <c r="F24" s="2"/>
      <c r="G24" s="41">
        <f ca="1">TODAY()</f>
        <v>42711</v>
      </c>
      <c r="H24" s="2">
        <f>D21</f>
        <v>7.4999999999999997E-2</v>
      </c>
    </row>
    <row r="25" spans="2:13" x14ac:dyDescent="0.25">
      <c r="B25" s="2" t="s">
        <v>287</v>
      </c>
      <c r="C25" s="2"/>
      <c r="D25" s="41">
        <f ca="1">DATE(YEAR(TODAY()),MONTH(TODAY())-3,DAY(TODAY()))</f>
        <v>42620</v>
      </c>
      <c r="E25" s="2"/>
      <c r="F25" s="2"/>
      <c r="G25" s="2"/>
      <c r="H25" s="2"/>
    </row>
    <row r="26" spans="2:13" x14ac:dyDescent="0.25">
      <c r="B26" s="2"/>
      <c r="C26" s="2"/>
      <c r="D26" s="2"/>
      <c r="E26" s="2"/>
      <c r="F26" s="2"/>
      <c r="G26" s="41">
        <f ca="1">MAX(Data!$C$5,$D$25)</f>
        <v>42620</v>
      </c>
      <c r="H26" s="2">
        <f>D22</f>
        <v>0.98</v>
      </c>
    </row>
    <row r="27" spans="2:13" x14ac:dyDescent="0.25">
      <c r="B27" s="2"/>
      <c r="C27" s="2"/>
      <c r="D27" s="2"/>
      <c r="E27" s="2"/>
      <c r="F27" s="2"/>
      <c r="G27" s="41">
        <f ca="1">TODAY()</f>
        <v>42711</v>
      </c>
      <c r="H27" s="2">
        <f>D22</f>
        <v>0.98</v>
      </c>
    </row>
    <row r="29" spans="2:13" x14ac:dyDescent="0.25">
      <c r="G29" s="41">
        <f ca="1">MAX(Data!$C$5,$D$25)</f>
        <v>42620</v>
      </c>
      <c r="H29" s="2">
        <f>D23</f>
        <v>1.02</v>
      </c>
    </row>
    <row r="30" spans="2:13" x14ac:dyDescent="0.25">
      <c r="G30" s="41">
        <f ca="1">TODAY()</f>
        <v>42711</v>
      </c>
      <c r="H30" s="2">
        <f>D23</f>
        <v>1.02</v>
      </c>
    </row>
  </sheetData>
  <sheetProtection sheet="1" objects="1" scenarios="1"/>
  <mergeCells count="1">
    <mergeCell ref="G18:H1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3</vt:i4>
      </vt:variant>
    </vt:vector>
  </HeadingPairs>
  <TitlesOfParts>
    <vt:vector size="3" baseType="lpstr">
      <vt:lpstr>Sammanfattning</vt:lpstr>
      <vt:lpstr>Data</vt:lpstr>
      <vt:lpstr>Övrigt</vt:lpstr>
    </vt:vector>
  </TitlesOfParts>
  <Company>Landstinget Kronoberg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 Brolin</dc:creator>
  <cp:lastModifiedBy>Medicinsk Fysik</cp:lastModifiedBy>
  <cp:lastPrinted>2016-05-19T13:37:40Z</cp:lastPrinted>
  <dcterms:created xsi:type="dcterms:W3CDTF">2016-03-17T07:49:47Z</dcterms:created>
  <dcterms:modified xsi:type="dcterms:W3CDTF">2016-12-07T07:05:17Z</dcterms:modified>
</cp:coreProperties>
</file>