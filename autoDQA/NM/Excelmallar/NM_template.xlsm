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105" windowWidth="14805" windowHeight="8010" activeTab="1"/>
  </bookViews>
  <sheets>
    <sheet name="Senaste kontroll" sheetId="1" r:id="rId1"/>
    <sheet name="Detektor 1" sheetId="2" r:id="rId2"/>
    <sheet name="Detektor 2" sheetId="4" r:id="rId3"/>
    <sheet name="Plankälla" sheetId="5" r:id="rId4"/>
  </sheets>
  <calcPr calcId="145621"/>
</workbook>
</file>

<file path=xl/sharedStrings.xml><?xml version="1.0" encoding="utf-8"?>
<sst xmlns="http://schemas.openxmlformats.org/spreadsheetml/2006/main" count="89" uniqueCount="54">
  <si>
    <t>Station Name</t>
  </si>
  <si>
    <t>Datum</t>
  </si>
  <si>
    <t>Tid</t>
  </si>
  <si>
    <t>Kollimator</t>
  </si>
  <si>
    <t>Ewin low (keV)</t>
  </si>
  <si>
    <t>Ewin high (keV)</t>
  </si>
  <si>
    <t>Seriebeskrivning</t>
  </si>
  <si>
    <t>Insamlade pulser</t>
  </si>
  <si>
    <t>Mättid (s)</t>
  </si>
  <si>
    <t>Pixelstorlek (mm)</t>
  </si>
  <si>
    <t>UFOV bredd (mm)</t>
  </si>
  <si>
    <t>UFOV höjd (mm)</t>
  </si>
  <si>
    <t xml:space="preserve">UFOV min </t>
  </si>
  <si>
    <t>UFOV max</t>
  </si>
  <si>
    <t>UFOV mean</t>
  </si>
  <si>
    <t>UFOV stdev</t>
  </si>
  <si>
    <t>UFOV IU (%)</t>
  </si>
  <si>
    <t>UFOV DUx (%)</t>
  </si>
  <si>
    <t>UFOV DUy (%)</t>
  </si>
  <si>
    <t>CFOV bredd (mm)</t>
  </si>
  <si>
    <t>CFOV höjd (mm)</t>
  </si>
  <si>
    <t xml:space="preserve">CFOV min </t>
  </si>
  <si>
    <t>CFOV max</t>
  </si>
  <si>
    <t>CFOV mean</t>
  </si>
  <si>
    <t>CFOV stdev</t>
  </si>
  <si>
    <t>CFOV IU (%)</t>
  </si>
  <si>
    <t>CFOV DUx (%)</t>
  </si>
  <si>
    <t>CFOV DUy (%)</t>
  </si>
  <si>
    <t>UFOV</t>
  </si>
  <si>
    <t>CFOV</t>
  </si>
  <si>
    <t>Detektor 1</t>
  </si>
  <si>
    <t>Detektor 2</t>
  </si>
  <si>
    <t>Station Name:</t>
  </si>
  <si>
    <t>Datum:</t>
  </si>
  <si>
    <t>Tid:</t>
  </si>
  <si>
    <t>Titel</t>
  </si>
  <si>
    <t>Insamlingstid (s):</t>
  </si>
  <si>
    <t>Känslighet (cps/MBq):</t>
  </si>
  <si>
    <t>Känslighet (cps/MBq)</t>
  </si>
  <si>
    <t>Referensdatum</t>
  </si>
  <si>
    <t>Isotop</t>
  </si>
  <si>
    <t>Co-57</t>
  </si>
  <si>
    <t>MFT-ID</t>
  </si>
  <si>
    <t>SE23010NM_001R21</t>
  </si>
  <si>
    <t>VP45</t>
  </si>
  <si>
    <t>head1</t>
  </si>
  <si>
    <t>head2</t>
  </si>
  <si>
    <t>Halveringstid (d)</t>
  </si>
  <si>
    <t>Aktivitet (MBq)</t>
  </si>
  <si>
    <t>Pulsantal (Mcounts):</t>
  </si>
  <si>
    <t xml:space="preserve">IU </t>
  </si>
  <si>
    <t xml:space="preserve">DU x </t>
  </si>
  <si>
    <t xml:space="preserve">DU y </t>
  </si>
  <si>
    <t>Kollimator: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</si>
</sst>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hh:mm;@"/>
  </numFmts>
  <fonts count="5" x14ac:knownFonts="1">
    <font>
      <sz val="11"/>
      <color theme="1"/>
      <name val="Calibri"/>
      <family val="2"/>
      <scheme val="minor"/>
    </font>
    <font>
      <sz val="16"/>
      <color theme="1"/>
      <name val="Arial"/>
      <family val="2"/>
    </font>
    <font>
      <b/>
      <sz val="11"/>
      <color rgb="FF3F3F3F"/>
      <name val="Calibri"/>
      <family val="2"/>
      <scheme val="minor"/>
    </font>
    <font>
      <b/>
      <sz val="20"/>
      <color rgb="FF3F3F3F"/>
      <name val="Calibri"/>
      <family val="2"/>
      <scheme val="minor"/>
    </font>
    <font>
      <sz val="14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2" borderId="10" applyNumberFormat="0" applyAlignment="0" applyProtection="0"/>
  </cellStyleXfs>
  <cellXfs count="43">
    <xf numFmtId="0" fontId="0" fillId="0" borderId="0" xfId="0"/>
    <xf numFmtId="0" fontId="1" fillId="0" borderId="0" xfId="0" applyFon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4" fillId="0" borderId="0" xfId="0" applyFont="1" applyBorder="1"/>
    <xf numFmtId="0" fontId="4" fillId="0" borderId="0" xfId="0" applyFont="1"/>
    <xf numFmtId="0" fontId="0" fillId="0" borderId="1" xfId="0" applyBorder="1"/>
    <xf numFmtId="0" fontId="4" fillId="0" borderId="11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0" xfId="0" applyBorder="1" applyAlignment="1">
      <alignment horizontal="center"/>
    </xf>
    <xf numFmtId="19" fontId="0" fillId="0" borderId="0" xfId="0" applyNumberFormat="1"/>
    <xf numFmtId="0" fontId="0" fillId="0" borderId="0" xfId="0" applyAlignment="1">
      <alignment horizontal="left"/>
    </xf>
    <xf numFmtId="19" fontId="0" fillId="0" borderId="0" xfId="0" applyNumberFormat="1" applyAlignment="1">
      <alignment horizontal="left"/>
    </xf>
    <xf numFmtId="0" fontId="0" fillId="0" borderId="6" xfId="0" applyBorder="1" applyAlignment="1">
      <alignment horizontal="left"/>
    </xf>
    <xf numFmtId="14" fontId="0" fillId="0" borderId="6" xfId="0" applyNumberFormat="1" applyBorder="1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/>
    <xf numFmtId="165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10" fontId="0" fillId="0" borderId="0" xfId="0" applyNumberFormat="1" applyAlignment="1">
      <alignment horizontal="left"/>
    </xf>
    <xf numFmtId="165" fontId="4" fillId="0" borderId="0" xfId="0" applyNumberFormat="1" applyFon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164" fontId="0" fillId="0" borderId="0" xfId="0" applyNumberFormat="1"/>
    <xf numFmtId="165" fontId="0" fillId="0" borderId="0" xfId="0" applyNumberFormat="1"/>
    <xf numFmtId="1" fontId="0" fillId="0" borderId="0" xfId="0" applyNumberFormat="1"/>
    <xf numFmtId="1" fontId="0" fillId="0" borderId="0" xfId="0" applyNumberFormat="1" applyBorder="1" applyAlignment="1">
      <alignment horizontal="center"/>
    </xf>
    <xf numFmtId="166" fontId="4" fillId="0" borderId="0" xfId="0" applyNumberFormat="1" applyFont="1" applyBorder="1" applyAlignment="1">
      <alignment horizontal="left"/>
    </xf>
    <xf numFmtId="0" fontId="3" fillId="2" borderId="10" xfId="1" applyFont="1" applyAlignment="1">
      <alignment horizontal="center" vertical="center"/>
    </xf>
    <xf numFmtId="166" fontId="4" fillId="0" borderId="0" xfId="0" applyNumberFormat="1" applyFont="1" applyBorder="1" applyAlignment="1">
      <alignment horizontal="left"/>
    </xf>
    <xf numFmtId="0" fontId="4" fillId="0" borderId="1" xfId="0" applyFont="1" applyBorder="1" applyAlignment="1">
      <alignment horizontal="center" vertical="center"/>
    </xf>
    <xf numFmtId="0" fontId="4" fillId="0" borderId="0" xfId="0" applyFont="1" applyBorder="1" applyAlignment="1">
      <alignment horizontal="left"/>
    </xf>
    <xf numFmtId="14" fontId="4" fillId="0" borderId="0" xfId="0" applyNumberFormat="1" applyFont="1" applyBorder="1" applyAlignment="1">
      <alignment horizontal="left"/>
    </xf>
    <xf numFmtId="2" fontId="4" fillId="0" borderId="0" xfId="0" applyNumberFormat="1" applyFont="1" applyBorder="1" applyAlignment="1">
      <alignment horizontal="center"/>
    </xf>
    <xf numFmtId="1" fontId="4" fillId="0" borderId="0" xfId="0" applyNumberFormat="1" applyFont="1" applyBorder="1" applyAlignment="1">
      <alignment horizontal="center"/>
    </xf>
    <xf numFmtId="165" fontId="4" fillId="0" borderId="0" xfId="0" applyNumberFormat="1" applyFont="1" applyBorder="1" applyAlignment="1">
      <alignment horizontal="center"/>
    </xf>
  </cellXfs>
  <cellStyles count="2">
    <cellStyle name="Normal" xfId="0" builtinId="0"/>
    <cellStyle name="Utdata" xfId="1" builtinId="21"/>
  </cellStyles>
  <dxfs count="31"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sv-SE"/>
              <a:t>Uniformitet CFOV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Detektor 1 IU</c:v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'Detektor 1'!$C$6:$C$6</c:f>
              <c:numCache>
                <c:formatCode>m/d/yyyy</c:formatCode>
                <c:ptCount val="1"/>
                <c:pt idx="0">
                  <c:v>42380</c:v>
                </c:pt>
              </c:numCache>
            </c:numRef>
          </c:xVal>
          <c:yVal>
            <c:numRef>
              <c:f>'Detektor 1'!$AA$6:$AA$6</c:f>
              <c:numCache>
                <c:formatCode>0.00%</c:formatCode>
                <c:ptCount val="1"/>
                <c:pt idx="0">
                  <c:v>6.4049999999999996E-2</c:v>
                </c:pt>
              </c:numCache>
            </c:numRef>
          </c:yVal>
          <c:smooth val="0"/>
        </c:ser>
        <c:ser>
          <c:idx val="1"/>
          <c:order val="1"/>
          <c:tx>
            <c:v>Detektor 1 DUx</c:v>
          </c:tx>
          <c:spPr>
            <a:ln>
              <a:solidFill>
                <a:schemeClr val="accent1"/>
              </a:solidFill>
              <a:prstDash val="sysDash"/>
            </a:ln>
          </c:spPr>
          <c:marker>
            <c:symbol val="none"/>
          </c:marker>
          <c:xVal>
            <c:numRef>
              <c:f>'Detektor 1'!$C$6:$C$6</c:f>
              <c:numCache>
                <c:formatCode>m/d/yyyy</c:formatCode>
                <c:ptCount val="1"/>
                <c:pt idx="0">
                  <c:v>42380</c:v>
                </c:pt>
              </c:numCache>
            </c:numRef>
          </c:xVal>
          <c:yVal>
            <c:numRef>
              <c:f>'Detektor 1'!$AB$6:$AB$6</c:f>
              <c:numCache>
                <c:formatCode>0.00%</c:formatCode>
                <c:ptCount val="1"/>
                <c:pt idx="0">
                  <c:v>3.6790000000000003E-2</c:v>
                </c:pt>
              </c:numCache>
            </c:numRef>
          </c:yVal>
          <c:smooth val="0"/>
        </c:ser>
        <c:ser>
          <c:idx val="2"/>
          <c:order val="2"/>
          <c:tx>
            <c:v>Detektor 1 DUy</c:v>
          </c:tx>
          <c:spPr>
            <a:ln>
              <a:solidFill>
                <a:schemeClr val="accent1"/>
              </a:solidFill>
              <a:prstDash val="dashDot"/>
            </a:ln>
          </c:spPr>
          <c:marker>
            <c:symbol val="none"/>
          </c:marker>
          <c:xVal>
            <c:numRef>
              <c:f>'Detektor 1'!$C$6:$C$6</c:f>
              <c:numCache>
                <c:formatCode>m/d/yyyy</c:formatCode>
                <c:ptCount val="1"/>
                <c:pt idx="0">
                  <c:v>42380</c:v>
                </c:pt>
              </c:numCache>
            </c:numRef>
          </c:xVal>
          <c:yVal>
            <c:numRef>
              <c:f>'Detektor 1'!$AC$6:$AC$6</c:f>
              <c:numCache>
                <c:formatCode>0.00%</c:formatCode>
                <c:ptCount val="1"/>
                <c:pt idx="0">
                  <c:v>4.4479999999999999E-2</c:v>
                </c:pt>
              </c:numCache>
            </c:numRef>
          </c:yVal>
          <c:smooth val="0"/>
        </c:ser>
        <c:ser>
          <c:idx val="3"/>
          <c:order val="3"/>
          <c:tx>
            <c:v>Detektor 2 IU</c:v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'Detektor 2'!$C$6:$C$6</c:f>
              <c:numCache>
                <c:formatCode>m/d/yyyy</c:formatCode>
                <c:ptCount val="1"/>
                <c:pt idx="0">
                  <c:v>42380</c:v>
                </c:pt>
              </c:numCache>
            </c:numRef>
          </c:xVal>
          <c:yVal>
            <c:numRef>
              <c:f>'Detektor 2'!$AA$6:$AA$6</c:f>
              <c:numCache>
                <c:formatCode>0.000</c:formatCode>
                <c:ptCount val="1"/>
                <c:pt idx="0">
                  <c:v>5.9990000000000002E-2</c:v>
                </c:pt>
              </c:numCache>
            </c:numRef>
          </c:yVal>
          <c:smooth val="0"/>
        </c:ser>
        <c:ser>
          <c:idx val="4"/>
          <c:order val="4"/>
          <c:tx>
            <c:v>Detektor 2 DUx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'Detektor 2'!$C$6:$C$6</c:f>
              <c:numCache>
                <c:formatCode>m/d/yyyy</c:formatCode>
                <c:ptCount val="1"/>
                <c:pt idx="0">
                  <c:v>42380</c:v>
                </c:pt>
              </c:numCache>
            </c:numRef>
          </c:xVal>
          <c:yVal>
            <c:numRef>
              <c:f>'Detektor 2'!$AB$6:$AB$6</c:f>
              <c:numCache>
                <c:formatCode>0.000</c:formatCode>
                <c:ptCount val="1"/>
                <c:pt idx="0">
                  <c:v>3.9050000000000001E-2</c:v>
                </c:pt>
              </c:numCache>
            </c:numRef>
          </c:yVal>
          <c:smooth val="0"/>
        </c:ser>
        <c:ser>
          <c:idx val="5"/>
          <c:order val="5"/>
          <c:tx>
            <c:v>Detektor 2 DUy</c:v>
          </c:tx>
          <c:spPr>
            <a:ln>
              <a:solidFill>
                <a:schemeClr val="accent2"/>
              </a:solidFill>
              <a:prstDash val="dashDot"/>
            </a:ln>
          </c:spPr>
          <c:marker>
            <c:symbol val="none"/>
          </c:marker>
          <c:xVal>
            <c:numRef>
              <c:f>'Detektor 2'!$C$6:$C$6</c:f>
              <c:numCache>
                <c:formatCode>m/d/yyyy</c:formatCode>
                <c:ptCount val="1"/>
                <c:pt idx="0">
                  <c:v>42380</c:v>
                </c:pt>
              </c:numCache>
            </c:numRef>
          </c:xVal>
          <c:yVal>
            <c:numRef>
              <c:f>'Detektor 2'!$AC$6:$AC$6</c:f>
              <c:numCache>
                <c:formatCode>0.000</c:formatCode>
                <c:ptCount val="1"/>
                <c:pt idx="0">
                  <c:v>3.7690000000000001E-2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668096"/>
        <c:axId val="115669632"/>
      </c:scatterChart>
      <c:valAx>
        <c:axId val="115668096"/>
        <c:scaling>
          <c:orientation val="minMax"/>
          <c:min val="42000"/>
        </c:scaling>
        <c:delete val="0"/>
        <c:axPos val="b"/>
        <c:numFmt formatCode="[$-41D]mmm/yy;@" sourceLinked="0"/>
        <c:majorTickMark val="out"/>
        <c:minorTickMark val="none"/>
        <c:tickLblPos val="nextTo"/>
        <c:txPr>
          <a:bodyPr rot="-1860000"/>
          <a:lstStyle/>
          <a:p>
            <a:pPr>
              <a:defRPr/>
            </a:pPr>
            <a:endParaRPr lang="sv-SE"/>
          </a:p>
        </c:txPr>
        <c:crossAx val="115669632"/>
        <c:crosses val="autoZero"/>
        <c:crossBetween val="midCat"/>
      </c:valAx>
      <c:valAx>
        <c:axId val="11566963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sysDot"/>
            </a:ln>
          </c:spPr>
        </c:majorGridlines>
        <c:numFmt formatCode="0.0%" sourceLinked="0"/>
        <c:majorTickMark val="out"/>
        <c:minorTickMark val="none"/>
        <c:tickLblPos val="nextTo"/>
        <c:crossAx val="11566809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sv-SE"/>
              <a:t>Uniformitet UFOV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Detektor 1 IU</c:v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'Detektor 1'!$C$6:$C$6</c:f>
              <c:numCache>
                <c:formatCode>m/d/yyyy</c:formatCode>
                <c:ptCount val="1"/>
                <c:pt idx="0">
                  <c:v>42380</c:v>
                </c:pt>
              </c:numCache>
            </c:numRef>
          </c:xVal>
          <c:yVal>
            <c:numRef>
              <c:f>'Detektor 1'!$R$6:$R$6</c:f>
              <c:numCache>
                <c:formatCode>0.00%</c:formatCode>
                <c:ptCount val="1"/>
                <c:pt idx="0">
                  <c:v>8.2110000000000002E-2</c:v>
                </c:pt>
              </c:numCache>
            </c:numRef>
          </c:yVal>
          <c:smooth val="0"/>
        </c:ser>
        <c:ser>
          <c:idx val="1"/>
          <c:order val="1"/>
          <c:tx>
            <c:v>Detektor 1 DUx</c:v>
          </c:tx>
          <c:spPr>
            <a:ln>
              <a:solidFill>
                <a:schemeClr val="accent1"/>
              </a:solidFill>
              <a:prstDash val="sysDash"/>
            </a:ln>
          </c:spPr>
          <c:marker>
            <c:symbol val="none"/>
          </c:marker>
          <c:xVal>
            <c:numRef>
              <c:f>'Detektor 1'!$C$6:$C$6</c:f>
              <c:numCache>
                <c:formatCode>m/d/yyyy</c:formatCode>
                <c:ptCount val="1"/>
                <c:pt idx="0">
                  <c:v>42380</c:v>
                </c:pt>
              </c:numCache>
            </c:numRef>
          </c:xVal>
          <c:yVal>
            <c:numRef>
              <c:f>'Detektor 1'!$S$6:$S$6</c:f>
              <c:numCache>
                <c:formatCode>0.00%</c:formatCode>
                <c:ptCount val="1"/>
                <c:pt idx="0">
                  <c:v>4.8259999999999997E-2</c:v>
                </c:pt>
              </c:numCache>
            </c:numRef>
          </c:yVal>
          <c:smooth val="0"/>
        </c:ser>
        <c:ser>
          <c:idx val="2"/>
          <c:order val="2"/>
          <c:tx>
            <c:v>Detektor 1 DUy</c:v>
          </c:tx>
          <c:spPr>
            <a:ln>
              <a:solidFill>
                <a:schemeClr val="accent1"/>
              </a:solidFill>
              <a:prstDash val="dashDot"/>
            </a:ln>
          </c:spPr>
          <c:marker>
            <c:symbol val="none"/>
          </c:marker>
          <c:xVal>
            <c:numRef>
              <c:f>'Detektor 1'!$C$6:$C$6</c:f>
              <c:numCache>
                <c:formatCode>m/d/yyyy</c:formatCode>
                <c:ptCount val="1"/>
                <c:pt idx="0">
                  <c:v>42380</c:v>
                </c:pt>
              </c:numCache>
            </c:numRef>
          </c:xVal>
          <c:yVal>
            <c:numRef>
              <c:f>'Detektor 1'!$T$6:$T$6</c:f>
              <c:numCache>
                <c:formatCode>0.00%</c:formatCode>
                <c:ptCount val="1"/>
                <c:pt idx="0">
                  <c:v>4.4479999999999999E-2</c:v>
                </c:pt>
              </c:numCache>
            </c:numRef>
          </c:yVal>
          <c:smooth val="0"/>
        </c:ser>
        <c:ser>
          <c:idx val="3"/>
          <c:order val="3"/>
          <c:tx>
            <c:v>Detektor 2 IU</c:v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'Detektor 2'!$C$6:$C$6</c:f>
              <c:numCache>
                <c:formatCode>m/d/yyyy</c:formatCode>
                <c:ptCount val="1"/>
                <c:pt idx="0">
                  <c:v>42380</c:v>
                </c:pt>
              </c:numCache>
            </c:numRef>
          </c:xVal>
          <c:yVal>
            <c:numRef>
              <c:f>'Detektor 2'!$R$6:$R$6</c:f>
              <c:numCache>
                <c:formatCode>0.000</c:formatCode>
                <c:ptCount val="1"/>
                <c:pt idx="0">
                  <c:v>0.1368</c:v>
                </c:pt>
              </c:numCache>
            </c:numRef>
          </c:yVal>
          <c:smooth val="0"/>
        </c:ser>
        <c:ser>
          <c:idx val="4"/>
          <c:order val="4"/>
          <c:tx>
            <c:v>Detektor 2 DUx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'Detektor 2'!$C$6:$C$6</c:f>
              <c:numCache>
                <c:formatCode>m/d/yyyy</c:formatCode>
                <c:ptCount val="1"/>
                <c:pt idx="0">
                  <c:v>42380</c:v>
                </c:pt>
              </c:numCache>
            </c:numRef>
          </c:xVal>
          <c:yVal>
            <c:numRef>
              <c:f>'Detektor 2'!$S$6:$S$6</c:f>
              <c:numCache>
                <c:formatCode>0.000</c:formatCode>
                <c:ptCount val="1"/>
                <c:pt idx="0">
                  <c:v>7.3389999999999997E-2</c:v>
                </c:pt>
              </c:numCache>
            </c:numRef>
          </c:yVal>
          <c:smooth val="0"/>
        </c:ser>
        <c:ser>
          <c:idx val="5"/>
          <c:order val="5"/>
          <c:tx>
            <c:v>Detektor 2 DUy</c:v>
          </c:tx>
          <c:spPr>
            <a:ln>
              <a:solidFill>
                <a:schemeClr val="accent2"/>
              </a:solidFill>
              <a:prstDash val="dashDot"/>
            </a:ln>
          </c:spPr>
          <c:marker>
            <c:symbol val="none"/>
          </c:marker>
          <c:xVal>
            <c:numRef>
              <c:f>'Detektor 2'!$C$6:$C$6</c:f>
              <c:numCache>
                <c:formatCode>m/d/yyyy</c:formatCode>
                <c:ptCount val="1"/>
                <c:pt idx="0">
                  <c:v>42380</c:v>
                </c:pt>
              </c:numCache>
            </c:numRef>
          </c:xVal>
          <c:yVal>
            <c:numRef>
              <c:f>'Detektor 2'!$T$6:$T$6</c:f>
              <c:numCache>
                <c:formatCode>0.000</c:formatCode>
                <c:ptCount val="1"/>
                <c:pt idx="0">
                  <c:v>7.0309999999999997E-2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639424"/>
        <c:axId val="119653504"/>
      </c:scatterChart>
      <c:valAx>
        <c:axId val="119639424"/>
        <c:scaling>
          <c:orientation val="minMax"/>
          <c:min val="42000"/>
        </c:scaling>
        <c:delete val="0"/>
        <c:axPos val="b"/>
        <c:numFmt formatCode="[$-41D]mmm/yy;@" sourceLinked="0"/>
        <c:majorTickMark val="out"/>
        <c:minorTickMark val="none"/>
        <c:tickLblPos val="nextTo"/>
        <c:txPr>
          <a:bodyPr rot="-1860000"/>
          <a:lstStyle/>
          <a:p>
            <a:pPr>
              <a:defRPr/>
            </a:pPr>
            <a:endParaRPr lang="sv-SE"/>
          </a:p>
        </c:txPr>
        <c:crossAx val="119653504"/>
        <c:crosses val="autoZero"/>
        <c:crossBetween val="midCat"/>
      </c:valAx>
      <c:valAx>
        <c:axId val="119653504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sysDot"/>
            </a:ln>
          </c:spPr>
        </c:majorGridlines>
        <c:numFmt formatCode="0.0%" sourceLinked="0"/>
        <c:majorTickMark val="out"/>
        <c:minorTickMark val="none"/>
        <c:tickLblPos val="nextTo"/>
        <c:crossAx val="11963942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sv-SE"/>
              <a:t>Känslighet (cps/MBq) 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Detektor 1</c:v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'Detektor 1'!$C$6:$C$6</c:f>
              <c:numCache>
                <c:formatCode>m/d/yyyy</c:formatCode>
                <c:ptCount val="1"/>
                <c:pt idx="0">
                  <c:v>42380</c:v>
                </c:pt>
              </c:numCache>
            </c:numRef>
          </c:xVal>
          <c:yVal>
            <c:numRef>
              <c:f>'Detektor 1'!$AD$6:$AD$6</c:f>
              <c:numCache>
                <c:formatCode>0.0</c:formatCode>
                <c:ptCount val="1"/>
                <c:pt idx="0">
                  <c:v>6.0138728816983118</c:v>
                </c:pt>
              </c:numCache>
            </c:numRef>
          </c:yVal>
          <c:smooth val="0"/>
        </c:ser>
        <c:ser>
          <c:idx val="3"/>
          <c:order val="1"/>
          <c:tx>
            <c:v>Detektor 2</c:v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'Detektor 2'!$C$6:$C$6</c:f>
              <c:numCache>
                <c:formatCode>m/d/yyyy</c:formatCode>
                <c:ptCount val="1"/>
                <c:pt idx="0">
                  <c:v>42380</c:v>
                </c:pt>
              </c:numCache>
            </c:numRef>
          </c:xVal>
          <c:yVal>
            <c:numRef>
              <c:f>'Detektor 2'!$AD$6:$AD$6</c:f>
              <c:numCache>
                <c:formatCode>0</c:formatCode>
                <c:ptCount val="1"/>
                <c:pt idx="0">
                  <c:v>6.217309531108878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5616"/>
        <c:axId val="120737152"/>
      </c:scatterChart>
      <c:valAx>
        <c:axId val="120735616"/>
        <c:scaling>
          <c:orientation val="minMax"/>
          <c:min val="42000"/>
        </c:scaling>
        <c:delete val="0"/>
        <c:axPos val="b"/>
        <c:numFmt formatCode="[$-41D]mmm/yy;@" sourceLinked="0"/>
        <c:majorTickMark val="out"/>
        <c:minorTickMark val="none"/>
        <c:tickLblPos val="nextTo"/>
        <c:txPr>
          <a:bodyPr rot="-1860000"/>
          <a:lstStyle/>
          <a:p>
            <a:pPr>
              <a:defRPr/>
            </a:pPr>
            <a:endParaRPr lang="sv-SE"/>
          </a:p>
        </c:txPr>
        <c:crossAx val="120737152"/>
        <c:crosses val="autoZero"/>
        <c:crossBetween val="midCat"/>
      </c:valAx>
      <c:valAx>
        <c:axId val="12073715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sysDot"/>
            </a:ln>
          </c:spPr>
        </c:majorGridlines>
        <c:numFmt formatCode="#,##0" sourceLinked="0"/>
        <c:majorTickMark val="out"/>
        <c:minorTickMark val="none"/>
        <c:tickLblPos val="nextTo"/>
        <c:crossAx val="12073561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13607</xdr:colOff>
      <xdr:row>5</xdr:row>
      <xdr:rowOff>172809</xdr:rowOff>
    </xdr:from>
    <xdr:to>
      <xdr:col>17</xdr:col>
      <xdr:colOff>748393</xdr:colOff>
      <xdr:row>20</xdr:row>
      <xdr:rowOff>149678</xdr:rowOff>
    </xdr:to>
    <xdr:graphicFrame macro="">
      <xdr:nvGraphicFramePr>
        <xdr:cNvPr id="3" name="Diagra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11205</xdr:colOff>
      <xdr:row>21</xdr:row>
      <xdr:rowOff>179295</xdr:rowOff>
    </xdr:from>
    <xdr:to>
      <xdr:col>17</xdr:col>
      <xdr:colOff>745991</xdr:colOff>
      <xdr:row>36</xdr:row>
      <xdr:rowOff>88928</xdr:rowOff>
    </xdr:to>
    <xdr:graphicFrame macro="">
      <xdr:nvGraphicFramePr>
        <xdr:cNvPr id="27" name="Diagram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22412</xdr:colOff>
      <xdr:row>38</xdr:row>
      <xdr:rowOff>22412</xdr:rowOff>
    </xdr:from>
    <xdr:to>
      <xdr:col>17</xdr:col>
      <xdr:colOff>757198</xdr:colOff>
      <xdr:row>54</xdr:row>
      <xdr:rowOff>144958</xdr:rowOff>
    </xdr:to>
    <xdr:graphicFrame macro="">
      <xdr:nvGraphicFramePr>
        <xdr:cNvPr id="28" name="Diagram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184150</xdr:colOff>
      <xdr:row>24</xdr:row>
      <xdr:rowOff>9525</xdr:rowOff>
    </xdr:from>
    <xdr:to>
      <xdr:col>8</xdr:col>
      <xdr:colOff>361315</xdr:colOff>
      <xdr:row>53</xdr:row>
      <xdr:rowOff>85725</xdr:rowOff>
    </xdr:to>
    <xdr:pic>
      <xdr:nvPicPr>
        <xdr:cNvPr id="4" name="screenShot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5524500"/>
          <a:ext cx="7825740" cy="60198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3" name="DetectorTable1" displayName="DetectorTable1" ref="B5:AD6" totalsRowShown="0" headerRowDxfId="30" dataDxfId="29">
  <autoFilter ref="B5:AD6"/>
  <tableColumns count="29">
    <tableColumn id="28" name="Station Name" dataDxfId="28"/>
    <tableColumn id="1" name="Datum" dataDxfId="27"/>
    <tableColumn id="2" name="Tid" dataDxfId="26"/>
    <tableColumn id="3" name="Kollimator" dataDxfId="25"/>
    <tableColumn id="4" name="Ewin low (keV)" dataDxfId="24"/>
    <tableColumn id="5" name="Ewin high (keV)" dataDxfId="23"/>
    <tableColumn id="6" name="Seriebeskrivning" dataDxfId="22"/>
    <tableColumn id="7" name="Insamlade pulser" dataDxfId="21"/>
    <tableColumn id="8" name="Mättid (s)" dataDxfId="20"/>
    <tableColumn id="9" name="Pixelstorlek (mm)" dataDxfId="19"/>
    <tableColumn id="10" name="UFOV bredd (mm)" dataDxfId="18"/>
    <tableColumn id="11" name="UFOV höjd (mm)" dataDxfId="17"/>
    <tableColumn id="12" name="UFOV min " dataDxfId="16"/>
    <tableColumn id="13" name="UFOV max" dataDxfId="15"/>
    <tableColumn id="14" name="UFOV mean" dataDxfId="14"/>
    <tableColumn id="15" name="UFOV stdev" dataDxfId="13"/>
    <tableColumn id="16" name="UFOV IU (%)" dataDxfId="12"/>
    <tableColumn id="17" name="UFOV DUx (%)" dataDxfId="11"/>
    <tableColumn id="18" name="UFOV DUy (%)" dataDxfId="10"/>
    <tableColumn id="19" name="CFOV bredd (mm)" dataDxfId="9"/>
    <tableColumn id="20" name="CFOV höjd (mm)" dataDxfId="8"/>
    <tableColumn id="21" name="CFOV min " dataDxfId="7"/>
    <tableColumn id="22" name="CFOV max" dataDxfId="6"/>
    <tableColumn id="23" name="CFOV mean" dataDxfId="5"/>
    <tableColumn id="24" name="CFOV stdev" dataDxfId="4"/>
    <tableColumn id="25" name="CFOV IU (%)" dataDxfId="3"/>
    <tableColumn id="26" name="CFOV DUx (%)" dataDxfId="2"/>
    <tableColumn id="27" name="CFOV DUy (%)" dataDxfId="1"/>
    <tableColumn id="30" name="Känslighet (cps/MBq)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DetectorTable2" displayName="DetectorTable2" ref="B5:AD6" totalsRowShown="0">
  <autoFilter ref="B5:AD6"/>
  <tableColumns count="29">
    <tableColumn id="28" name="Station Name"/>
    <tableColumn id="1" name="Datum"/>
    <tableColumn id="2" name="Tid"/>
    <tableColumn id="3" name="Kollimator"/>
    <tableColumn id="4" name="Ewin low (keV)"/>
    <tableColumn id="5" name="Ewin high (keV)"/>
    <tableColumn id="6" name="Seriebeskrivning"/>
    <tableColumn id="7" name="Insamlade pulser"/>
    <tableColumn id="8" name="Mättid (s)"/>
    <tableColumn id="9" name="Pixelstorlek (mm)"/>
    <tableColumn id="10" name="UFOV bredd (mm)"/>
    <tableColumn id="11" name="UFOV höjd (mm)"/>
    <tableColumn id="12" name="UFOV min "/>
    <tableColumn id="13" name="UFOV max"/>
    <tableColumn id="14" name="UFOV mean"/>
    <tableColumn id="15" name="UFOV stdev"/>
    <tableColumn id="16" name="UFOV IU (%)"/>
    <tableColumn id="17" name="UFOV DUx (%)"/>
    <tableColumn id="18" name="UFOV DUy (%)"/>
    <tableColumn id="19" name="CFOV bredd (mm)"/>
    <tableColumn id="20" name="CFOV höjd (mm)"/>
    <tableColumn id="21" name="CFOV min "/>
    <tableColumn id="22" name="CFOV max"/>
    <tableColumn id="23" name="CFOV mean"/>
    <tableColumn id="24" name="CFOV stdev"/>
    <tableColumn id="25" name="CFOV IU (%)"/>
    <tableColumn id="26" name="CFOV DUx (%)"/>
    <tableColumn id="27" name="CFOV DUy (%)"/>
    <tableColumn id="29" name="Känslighet (cps/MBq)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B1:U61"/>
  <sheetViews>
    <sheetView showGridLines="0" zoomScale="85" zoomScaleNormal="85" workbookViewId="0">
      <selection activeCell="D20" sqref="D20:E20"/>
    </sheetView>
  </sheetViews>
  <sheetFormatPr defaultRowHeight="15" x14ac:dyDescent="0.25"/>
  <cols>
    <col min="1" max="1" width="4.85546875" customWidth="1"/>
    <col min="2" max="2" width="2.85546875" customWidth="1"/>
    <col min="3" max="3" width="32.85546875" customWidth="1"/>
    <col min="4" max="5" width="18.42578125" customWidth="1"/>
    <col min="6" max="6" width="5.28515625" customWidth="1"/>
    <col min="7" max="8" width="18.42578125" customWidth="1"/>
    <col min="15" max="15" width="12" customWidth="1"/>
    <col min="16" max="16" width="32.28515625" customWidth="1"/>
    <col min="17" max="17" width="15.140625" customWidth="1"/>
    <col min="18" max="18" width="13.28515625" customWidth="1"/>
    <col min="19" max="19" width="2.5703125" customWidth="1"/>
    <col min="20" max="20" width="2.42578125" customWidth="1"/>
    <col min="21" max="21" width="14.85546875" customWidth="1"/>
  </cols>
  <sheetData>
    <row r="1" spans="2:21" ht="15.75" thickBot="1" x14ac:dyDescent="0.3"/>
    <row r="2" spans="2:21" ht="15" customHeight="1" x14ac:dyDescent="0.25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4"/>
    </row>
    <row r="3" spans="2:21" ht="15" customHeight="1" x14ac:dyDescent="0.25">
      <c r="B3" s="5"/>
      <c r="C3" s="35" t="s">
        <v>35</v>
      </c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7"/>
    </row>
    <row r="4" spans="2:21" ht="24.75" customHeight="1" x14ac:dyDescent="0.25">
      <c r="B4" s="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7"/>
    </row>
    <row r="5" spans="2:21" x14ac:dyDescent="0.25">
      <c r="B5" s="5"/>
      <c r="I5" s="6"/>
      <c r="J5" s="6"/>
      <c r="K5" s="6"/>
      <c r="L5" s="6"/>
      <c r="M5" s="6"/>
      <c r="N5" s="6"/>
      <c r="O5" s="6"/>
      <c r="P5" s="6"/>
      <c r="Q5" s="6"/>
      <c r="R5" s="6"/>
      <c r="S5" s="7"/>
    </row>
    <row r="6" spans="2:21" ht="18" customHeight="1" x14ac:dyDescent="0.25">
      <c r="B6" s="5"/>
      <c r="C6" s="11" t="s">
        <v>32</v>
      </c>
      <c r="D6" s="38" t="s">
        <v>43</v>
      </c>
      <c r="E6" s="38"/>
      <c r="F6" s="6"/>
      <c r="G6" s="6"/>
      <c r="H6" s="6"/>
      <c r="I6" s="6"/>
      <c r="J6" s="6"/>
      <c r="K6" s="6"/>
      <c r="L6" s="6"/>
      <c r="M6" s="6"/>
      <c r="N6" s="6"/>
      <c r="O6" s="6"/>
      <c r="Q6" s="11"/>
      <c r="R6" s="11"/>
      <c r="S6" s="7"/>
    </row>
    <row r="7" spans="2:21" ht="18" customHeight="1" x14ac:dyDescent="0.3">
      <c r="B7" s="5"/>
      <c r="C7" s="11" t="s">
        <v>33</v>
      </c>
      <c r="D7" s="39">
        <v>42380</v>
      </c>
      <c r="E7" s="39"/>
      <c r="F7" s="6"/>
      <c r="G7" s="6"/>
      <c r="H7" s="6"/>
      <c r="I7" s="6"/>
      <c r="J7" s="6"/>
      <c r="K7" s="6"/>
      <c r="L7" s="6"/>
      <c r="M7" s="6"/>
      <c r="N7" s="6"/>
      <c r="O7" s="6"/>
      <c r="Q7" s="11"/>
      <c r="R7" s="11"/>
      <c r="S7" s="7"/>
      <c r="T7" s="1"/>
      <c r="U7" s="1"/>
    </row>
    <row r="8" spans="2:21" ht="18" customHeight="1" x14ac:dyDescent="0.3">
      <c r="B8" s="5"/>
      <c r="C8" s="11" t="s">
        <v>34</v>
      </c>
      <c r="D8" s="36">
        <v>0.30767361111111108</v>
      </c>
      <c r="E8" s="36"/>
      <c r="F8" s="6"/>
      <c r="G8" s="6"/>
      <c r="H8" s="6"/>
      <c r="J8" s="6"/>
      <c r="K8" s="6"/>
      <c r="L8" s="6"/>
      <c r="M8" s="6"/>
      <c r="N8" s="6"/>
      <c r="O8" s="6"/>
      <c r="Q8" s="11"/>
      <c r="R8" s="11"/>
      <c r="S8" s="7"/>
      <c r="T8" s="1"/>
      <c r="U8" s="1"/>
    </row>
    <row r="9" spans="2:21" ht="18" customHeight="1" x14ac:dyDescent="0.3">
      <c r="B9" s="5"/>
      <c r="C9" s="11" t="s">
        <v>53</v>
      </c>
      <c r="D9" s="34" t="s">
        <v>44</v>
      </c>
      <c r="E9" s="34"/>
      <c r="F9" s="6"/>
      <c r="G9" s="6"/>
      <c r="H9" s="6"/>
      <c r="J9" s="6"/>
      <c r="K9" s="6"/>
      <c r="L9" s="6"/>
      <c r="M9" s="6"/>
      <c r="N9" s="6"/>
      <c r="O9" s="6"/>
      <c r="Q9" s="11"/>
      <c r="R9" s="11"/>
      <c r="S9" s="7"/>
      <c r="T9" s="1"/>
      <c r="U9" s="1"/>
    </row>
    <row r="10" spans="2:21" ht="18" customHeight="1" thickBot="1" x14ac:dyDescent="0.35">
      <c r="B10" s="5"/>
      <c r="C10" s="9"/>
      <c r="D10" s="9"/>
      <c r="E10" s="9"/>
      <c r="F10" s="9"/>
      <c r="G10" s="9"/>
      <c r="H10" s="9"/>
      <c r="J10" s="6"/>
      <c r="K10" s="6"/>
      <c r="L10" s="6"/>
      <c r="M10" s="6"/>
      <c r="N10" s="6"/>
      <c r="O10" s="6"/>
      <c r="P10" s="11"/>
      <c r="Q10" s="11"/>
      <c r="R10" s="11"/>
      <c r="S10" s="7"/>
      <c r="T10" s="1"/>
      <c r="U10" s="1"/>
    </row>
    <row r="11" spans="2:21" ht="24.75" customHeight="1" x14ac:dyDescent="0.3">
      <c r="B11" s="5"/>
      <c r="C11" s="13"/>
      <c r="D11" s="37" t="s">
        <v>30</v>
      </c>
      <c r="E11" s="37"/>
      <c r="F11" s="29"/>
      <c r="G11" s="37" t="s">
        <v>31</v>
      </c>
      <c r="H11" s="37"/>
      <c r="I11" s="11"/>
      <c r="J11" s="6"/>
      <c r="K11" s="6"/>
      <c r="L11" s="6"/>
      <c r="M11" s="6"/>
      <c r="N11" s="6"/>
      <c r="O11" s="6"/>
      <c r="P11" s="11"/>
      <c r="Q11" s="11"/>
      <c r="R11" s="11"/>
      <c r="S11" s="7"/>
      <c r="T11" s="1"/>
      <c r="U11" s="1"/>
    </row>
    <row r="12" spans="2:21" ht="18" customHeight="1" x14ac:dyDescent="0.3">
      <c r="B12" s="5"/>
      <c r="C12" s="14"/>
      <c r="D12" s="14" t="s">
        <v>28</v>
      </c>
      <c r="E12" s="14" t="s">
        <v>29</v>
      </c>
      <c r="F12" s="15"/>
      <c r="G12" s="14" t="s">
        <v>28</v>
      </c>
      <c r="H12" s="14" t="s">
        <v>29</v>
      </c>
      <c r="I12" s="11"/>
      <c r="J12" s="6"/>
      <c r="K12" s="6"/>
      <c r="L12" s="6"/>
      <c r="M12" s="6"/>
      <c r="N12" s="6"/>
      <c r="O12" s="6"/>
      <c r="S12" s="7"/>
      <c r="T12" s="1"/>
      <c r="U12" s="1"/>
    </row>
    <row r="13" spans="2:21" ht="18" customHeight="1" x14ac:dyDescent="0.3">
      <c r="B13" s="5"/>
      <c r="C13" s="11"/>
      <c r="D13" s="11"/>
      <c r="E13" s="11"/>
      <c r="F13" s="6"/>
      <c r="G13" s="11"/>
      <c r="H13" s="11"/>
      <c r="I13" s="11"/>
      <c r="J13" s="6"/>
      <c r="K13" s="6"/>
      <c r="L13" s="6"/>
      <c r="M13" s="6"/>
      <c r="N13" s="6"/>
      <c r="O13" s="6"/>
      <c r="S13" s="7"/>
      <c r="T13" s="1"/>
      <c r="U13" s="1"/>
    </row>
    <row r="14" spans="2:21" ht="18" customHeight="1" x14ac:dyDescent="0.25">
      <c r="B14" s="5"/>
      <c r="C14" s="11" t="s">
        <v>50</v>
      </c>
      <c r="D14" s="27">
        <v>8.2110000000000003</v>
      </c>
      <c r="E14" s="27">
        <v>6.4049999999999994</v>
      </c>
      <c r="F14" s="28"/>
      <c r="G14" s="27">
        <v>13.68</v>
      </c>
      <c r="H14" s="27">
        <v>5.9990000000000006</v>
      </c>
      <c r="I14" s="11"/>
      <c r="J14" s="6"/>
      <c r="K14" s="6"/>
      <c r="L14" s="6"/>
      <c r="M14" s="6"/>
      <c r="N14" s="6"/>
      <c r="O14" s="6"/>
      <c r="S14" s="7"/>
    </row>
    <row r="15" spans="2:21" ht="18" customHeight="1" x14ac:dyDescent="0.25">
      <c r="B15" s="5"/>
      <c r="C15" s="11" t="s">
        <v>51</v>
      </c>
      <c r="D15" s="27">
        <v>4.8259999999999996</v>
      </c>
      <c r="E15" s="27">
        <v>3.6790000000000003</v>
      </c>
      <c r="F15" s="28"/>
      <c r="G15" s="27">
        <v>7.3389999999999995</v>
      </c>
      <c r="H15" s="27">
        <v>3.9050000000000002</v>
      </c>
      <c r="I15" s="11"/>
      <c r="J15" s="6"/>
      <c r="K15" s="6"/>
      <c r="L15" s="6"/>
      <c r="M15" s="6"/>
      <c r="N15" s="6"/>
      <c r="O15" s="6"/>
      <c r="S15" s="7"/>
    </row>
    <row r="16" spans="2:21" ht="18" customHeight="1" x14ac:dyDescent="0.25">
      <c r="B16" s="5"/>
      <c r="C16" s="11" t="s">
        <v>52</v>
      </c>
      <c r="D16" s="27">
        <v>4.4479999999999995</v>
      </c>
      <c r="E16" s="27">
        <v>4.4479999999999995</v>
      </c>
      <c r="F16" s="28"/>
      <c r="G16" s="27">
        <v>7.0309999999999997</v>
      </c>
      <c r="H16" s="27">
        <v>3.7690000000000001</v>
      </c>
      <c r="I16" s="11"/>
      <c r="J16" s="6"/>
      <c r="K16" s="6"/>
      <c r="L16" s="6"/>
      <c r="M16" s="6"/>
      <c r="N16" s="6"/>
      <c r="O16" s="6"/>
      <c r="S16" s="7"/>
    </row>
    <row r="17" spans="2:21" ht="18" customHeight="1" x14ac:dyDescent="0.25">
      <c r="B17" s="5"/>
      <c r="C17" s="11"/>
      <c r="D17" s="11"/>
      <c r="E17" s="11"/>
      <c r="F17" s="6"/>
      <c r="G17" s="11"/>
      <c r="H17" s="11"/>
      <c r="I17" s="11"/>
      <c r="J17" s="6"/>
      <c r="K17" s="6"/>
      <c r="L17" s="6"/>
      <c r="M17" s="6"/>
      <c r="N17" s="6"/>
      <c r="O17" s="6"/>
      <c r="S17" s="7"/>
    </row>
    <row r="18" spans="2:21" ht="18" customHeight="1" x14ac:dyDescent="0.25">
      <c r="B18" s="5"/>
      <c r="C18" s="11" t="s">
        <v>49</v>
      </c>
      <c r="D18" s="40">
        <v>4.0000010000000001</v>
      </c>
      <c r="E18" s="40"/>
      <c r="F18" s="16"/>
      <c r="G18" s="40">
        <v>4.0000010000000001</v>
      </c>
      <c r="H18" s="40"/>
      <c r="I18" s="11"/>
      <c r="J18" s="6"/>
      <c r="K18" s="6"/>
      <c r="L18" s="6"/>
      <c r="M18" s="6"/>
      <c r="N18" s="6"/>
      <c r="O18" s="6"/>
      <c r="S18" s="7"/>
    </row>
    <row r="19" spans="2:21" ht="18" customHeight="1" x14ac:dyDescent="0.25">
      <c r="B19" s="5"/>
      <c r="C19" s="11" t="s">
        <v>36</v>
      </c>
      <c r="D19" s="41">
        <v>1742</v>
      </c>
      <c r="E19" s="41"/>
      <c r="F19" s="33"/>
      <c r="G19" s="41">
        <v>1685</v>
      </c>
      <c r="H19" s="41"/>
      <c r="I19" s="6"/>
      <c r="J19" s="6"/>
      <c r="K19" s="6"/>
      <c r="L19" s="6"/>
      <c r="M19" s="6"/>
      <c r="N19" s="6"/>
      <c r="O19" s="6"/>
      <c r="S19" s="7"/>
    </row>
    <row r="20" spans="2:21" ht="18" customHeight="1" x14ac:dyDescent="0.25">
      <c r="B20" s="5"/>
      <c r="C20" s="11" t="s">
        <v>37</v>
      </c>
      <c r="D20" s="42">
        <v>6.0138728816983118</v>
      </c>
      <c r="E20" s="42"/>
      <c r="F20" s="28"/>
      <c r="G20" s="42">
        <v>6.217309531108878</v>
      </c>
      <c r="H20" s="42"/>
      <c r="I20" s="6"/>
      <c r="J20" s="6"/>
      <c r="K20" s="6"/>
      <c r="L20" s="6"/>
      <c r="M20" s="6"/>
      <c r="N20" s="6"/>
      <c r="O20" s="6"/>
      <c r="S20" s="7"/>
    </row>
    <row r="21" spans="2:21" ht="18" customHeight="1" thickBot="1" x14ac:dyDescent="0.3">
      <c r="B21" s="5"/>
      <c r="C21" s="9"/>
      <c r="D21" s="9"/>
      <c r="E21" s="9"/>
      <c r="F21" s="9"/>
      <c r="G21" s="9"/>
      <c r="H21" s="9"/>
      <c r="I21" s="6"/>
      <c r="J21" s="6"/>
      <c r="K21" s="6"/>
      <c r="L21" s="6"/>
      <c r="M21" s="6"/>
      <c r="N21" s="6"/>
      <c r="O21" s="6"/>
      <c r="P21" s="11"/>
      <c r="Q21" s="11"/>
      <c r="R21" s="11"/>
      <c r="S21" s="7"/>
    </row>
    <row r="22" spans="2:21" ht="18" customHeight="1" x14ac:dyDescent="0.25">
      <c r="B22" s="5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12"/>
      <c r="Q22" s="12"/>
      <c r="R22" s="12"/>
      <c r="S22" s="7"/>
    </row>
    <row r="23" spans="2:21" ht="18" customHeight="1" x14ac:dyDescent="0.25">
      <c r="B23" s="5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12"/>
      <c r="Q23" s="12"/>
      <c r="R23" s="12"/>
      <c r="S23" s="7"/>
    </row>
    <row r="24" spans="2:21" ht="18" customHeight="1" x14ac:dyDescent="0.25">
      <c r="B24" s="5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S24" s="7"/>
    </row>
    <row r="25" spans="2:21" ht="18" customHeight="1" x14ac:dyDescent="0.3">
      <c r="B25" s="5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S25" s="7"/>
      <c r="T25" s="1"/>
      <c r="U25" s="1"/>
    </row>
    <row r="26" spans="2:21" ht="18" customHeight="1" x14ac:dyDescent="0.3">
      <c r="B26" s="5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S26" s="7"/>
      <c r="T26" s="1"/>
      <c r="U26" s="1"/>
    </row>
    <row r="27" spans="2:21" ht="18" customHeight="1" x14ac:dyDescent="0.3">
      <c r="B27" s="5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S27" s="7"/>
      <c r="T27" s="1"/>
      <c r="U27" s="1"/>
    </row>
    <row r="28" spans="2:21" ht="18" customHeight="1" x14ac:dyDescent="0.3">
      <c r="B28" s="5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S28" s="7"/>
      <c r="T28" s="1"/>
      <c r="U28" s="1"/>
    </row>
    <row r="29" spans="2:21" ht="18" customHeight="1" x14ac:dyDescent="0.3">
      <c r="B29" s="5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S29" s="7"/>
      <c r="T29" s="1"/>
      <c r="U29" s="1"/>
    </row>
    <row r="30" spans="2:21" ht="18" customHeight="1" x14ac:dyDescent="0.3">
      <c r="B30" s="5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S30" s="7"/>
      <c r="T30" s="1"/>
      <c r="U30" s="1"/>
    </row>
    <row r="31" spans="2:21" ht="18" customHeight="1" x14ac:dyDescent="0.3">
      <c r="B31" s="5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S31" s="7"/>
      <c r="T31" s="1"/>
      <c r="U31" s="1"/>
    </row>
    <row r="32" spans="2:21" ht="18" customHeight="1" x14ac:dyDescent="0.25">
      <c r="B32" s="5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S32" s="7"/>
    </row>
    <row r="33" spans="2:19" ht="18" customHeight="1" x14ac:dyDescent="0.25">
      <c r="B33" s="5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7"/>
    </row>
    <row r="34" spans="2:19" ht="18" customHeight="1" x14ac:dyDescent="0.25">
      <c r="B34" s="5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7"/>
    </row>
    <row r="35" spans="2:19" x14ac:dyDescent="0.25">
      <c r="B35" s="5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7"/>
    </row>
    <row r="36" spans="2:19" x14ac:dyDescent="0.25">
      <c r="B36" s="5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7"/>
    </row>
    <row r="37" spans="2:19" x14ac:dyDescent="0.25">
      <c r="B37" s="5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7"/>
    </row>
    <row r="38" spans="2:19" x14ac:dyDescent="0.25">
      <c r="B38" s="5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7"/>
    </row>
    <row r="39" spans="2:19" ht="18" customHeight="1" x14ac:dyDescent="0.25">
      <c r="B39" s="5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7"/>
    </row>
    <row r="40" spans="2:19" x14ac:dyDescent="0.25">
      <c r="B40" s="5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7"/>
    </row>
    <row r="41" spans="2:19" x14ac:dyDescent="0.25">
      <c r="B41" s="5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7"/>
    </row>
    <row r="42" spans="2:19" x14ac:dyDescent="0.25">
      <c r="B42" s="5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7"/>
    </row>
    <row r="43" spans="2:19" x14ac:dyDescent="0.25">
      <c r="B43" s="5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7"/>
    </row>
    <row r="44" spans="2:19" x14ac:dyDescent="0.25">
      <c r="B44" s="5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7"/>
    </row>
    <row r="45" spans="2:19" x14ac:dyDescent="0.25">
      <c r="B45" s="5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7"/>
    </row>
    <row r="46" spans="2:19" x14ac:dyDescent="0.25">
      <c r="B46" s="5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7"/>
    </row>
    <row r="47" spans="2:19" x14ac:dyDescent="0.25">
      <c r="B47" s="5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7"/>
    </row>
    <row r="48" spans="2:19" x14ac:dyDescent="0.25">
      <c r="B48" s="5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7"/>
    </row>
    <row r="49" spans="2:19" x14ac:dyDescent="0.25">
      <c r="B49" s="5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7"/>
    </row>
    <row r="50" spans="2:19" x14ac:dyDescent="0.25">
      <c r="B50" s="5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7"/>
    </row>
    <row r="51" spans="2:19" x14ac:dyDescent="0.25">
      <c r="B51" s="5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7"/>
    </row>
    <row r="52" spans="2:19" x14ac:dyDescent="0.25">
      <c r="B52" s="5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7"/>
    </row>
    <row r="53" spans="2:19" x14ac:dyDescent="0.25">
      <c r="B53" s="5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7"/>
    </row>
    <row r="54" spans="2:19" x14ac:dyDescent="0.25">
      <c r="B54" s="5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7"/>
    </row>
    <row r="55" spans="2:19" x14ac:dyDescent="0.25">
      <c r="B55" s="5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7"/>
    </row>
    <row r="56" spans="2:19" x14ac:dyDescent="0.25">
      <c r="B56" s="5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7"/>
    </row>
    <row r="57" spans="2:19" x14ac:dyDescent="0.25">
      <c r="B57" s="5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7"/>
    </row>
    <row r="58" spans="2:19" x14ac:dyDescent="0.25">
      <c r="B58" s="5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7"/>
    </row>
    <row r="59" spans="2:19" ht="15.75" thickBot="1" x14ac:dyDescent="0.3">
      <c r="B59" s="8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10"/>
    </row>
    <row r="61" spans="2:19" ht="12" customHeight="1" x14ac:dyDescent="0.25"/>
  </sheetData>
  <mergeCells count="12">
    <mergeCell ref="D18:E18"/>
    <mergeCell ref="D19:E19"/>
    <mergeCell ref="D20:E20"/>
    <mergeCell ref="G18:H18"/>
    <mergeCell ref="G19:H19"/>
    <mergeCell ref="G20:H20"/>
    <mergeCell ref="C3:R4"/>
    <mergeCell ref="D8:E8"/>
    <mergeCell ref="D11:E11"/>
    <mergeCell ref="G11:H11"/>
    <mergeCell ref="D6:E6"/>
    <mergeCell ref="D7:E7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B5:AD6"/>
  <sheetViews>
    <sheetView showGridLines="0" tabSelected="1" zoomScale="70" zoomScaleNormal="70" workbookViewId="0">
      <selection activeCell="G43" sqref="G43"/>
    </sheetView>
  </sheetViews>
  <sheetFormatPr defaultRowHeight="15" x14ac:dyDescent="0.25"/>
  <cols>
    <col min="2" max="2" width="24" customWidth="1"/>
    <col min="3" max="3" width="14" customWidth="1"/>
    <col min="4" max="4" width="15.140625" customWidth="1"/>
    <col min="5" max="5" width="15.7109375" customWidth="1"/>
    <col min="6" max="6" width="15.85546875" customWidth="1"/>
    <col min="7" max="7" width="16.28515625" customWidth="1"/>
    <col min="8" max="8" width="17" customWidth="1"/>
    <col min="9" max="9" width="23.140625" customWidth="1"/>
    <col min="10" max="10" width="14.5703125" customWidth="1"/>
    <col min="11" max="11" width="23.7109375" customWidth="1"/>
    <col min="12" max="12" width="17.28515625" customWidth="1"/>
    <col min="13" max="13" width="13.7109375" customWidth="1"/>
    <col min="14" max="14" width="13.5703125" customWidth="1"/>
    <col min="15" max="19" width="15.7109375" customWidth="1"/>
    <col min="20" max="20" width="18.140625" customWidth="1"/>
    <col min="21" max="21" width="17" customWidth="1"/>
    <col min="22" max="23" width="15.7109375" customWidth="1"/>
    <col min="24" max="24" width="13.42578125" customWidth="1"/>
    <col min="25" max="25" width="17.28515625" customWidth="1"/>
    <col min="26" max="26" width="13.28515625" customWidth="1"/>
    <col min="27" max="27" width="18.85546875" customWidth="1"/>
    <col min="28" max="29" width="20.140625" customWidth="1"/>
    <col min="30" max="30" width="30.28515625" customWidth="1"/>
  </cols>
  <sheetData>
    <row r="5" spans="2:30" x14ac:dyDescent="0.25">
      <c r="B5" s="18" t="s">
        <v>0</v>
      </c>
      <c r="C5" s="18" t="s">
        <v>1</v>
      </c>
      <c r="D5" s="18" t="s">
        <v>2</v>
      </c>
      <c r="E5" s="18" t="s">
        <v>3</v>
      </c>
      <c r="F5" s="18" t="s">
        <v>4</v>
      </c>
      <c r="G5" s="18" t="s">
        <v>5</v>
      </c>
      <c r="H5" s="18" t="s">
        <v>6</v>
      </c>
      <c r="I5" s="18" t="s">
        <v>7</v>
      </c>
      <c r="J5" s="18" t="s">
        <v>8</v>
      </c>
      <c r="K5" s="18" t="s">
        <v>9</v>
      </c>
      <c r="L5" s="18" t="s">
        <v>10</v>
      </c>
      <c r="M5" s="18" t="s">
        <v>11</v>
      </c>
      <c r="N5" s="18" t="s">
        <v>12</v>
      </c>
      <c r="O5" s="18" t="s">
        <v>13</v>
      </c>
      <c r="P5" s="18" t="s">
        <v>14</v>
      </c>
      <c r="Q5" s="18" t="s">
        <v>15</v>
      </c>
      <c r="R5" s="18" t="s">
        <v>16</v>
      </c>
      <c r="S5" s="18" t="s">
        <v>17</v>
      </c>
      <c r="T5" s="18" t="s">
        <v>18</v>
      </c>
      <c r="U5" s="18" t="s">
        <v>19</v>
      </c>
      <c r="V5" s="18" t="s">
        <v>20</v>
      </c>
      <c r="W5" s="18" t="s">
        <v>21</v>
      </c>
      <c r="X5" s="18" t="s">
        <v>22</v>
      </c>
      <c r="Y5" s="18" t="s">
        <v>23</v>
      </c>
      <c r="Z5" s="18" t="s">
        <v>24</v>
      </c>
      <c r="AA5" s="18" t="s">
        <v>25</v>
      </c>
      <c r="AB5" s="18" t="s">
        <v>26</v>
      </c>
      <c r="AC5" s="18" t="s">
        <v>27</v>
      </c>
      <c r="AD5" s="18" t="s">
        <v>38</v>
      </c>
    </row>
    <row r="6" spans="2:30" x14ac:dyDescent="0.25">
      <c r="B6" s="18" t="s">
        <v>43</v>
      </c>
      <c r="C6" s="22">
        <v>42380</v>
      </c>
      <c r="D6" s="19">
        <v>0.30767361111111108</v>
      </c>
      <c r="E6" s="18" t="s">
        <v>44</v>
      </c>
      <c r="F6" s="18">
        <v>109.8</v>
      </c>
      <c r="G6" s="18">
        <v>134.19999999999999</v>
      </c>
      <c r="H6" s="18" t="s">
        <v>45</v>
      </c>
      <c r="I6" s="18">
        <v>4000001</v>
      </c>
      <c r="J6" s="18">
        <v>1742</v>
      </c>
      <c r="K6" s="18">
        <v>6.4290000000000003</v>
      </c>
      <c r="L6" s="18">
        <v>521</v>
      </c>
      <c r="M6" s="18">
        <v>379</v>
      </c>
      <c r="N6" s="18">
        <v>703</v>
      </c>
      <c r="O6" s="18">
        <v>829</v>
      </c>
      <c r="P6" s="25">
        <v>782.63</v>
      </c>
      <c r="Q6" s="24">
        <v>18.100999999999999</v>
      </c>
      <c r="R6" s="26">
        <v>8.2110000000000002E-2</v>
      </c>
      <c r="S6" s="26">
        <v>4.8259999999999997E-2</v>
      </c>
      <c r="T6" s="26">
        <v>4.4479999999999999E-2</v>
      </c>
      <c r="U6" s="18">
        <v>391</v>
      </c>
      <c r="V6" s="18">
        <v>284</v>
      </c>
      <c r="W6" s="18">
        <v>729</v>
      </c>
      <c r="X6" s="18">
        <v>829</v>
      </c>
      <c r="Y6" s="18">
        <v>789.89</v>
      </c>
      <c r="Z6" s="18">
        <v>14.273</v>
      </c>
      <c r="AA6" s="26">
        <v>6.4049999999999996E-2</v>
      </c>
      <c r="AB6" s="26">
        <v>3.6790000000000003E-2</v>
      </c>
      <c r="AC6" s="26">
        <v>4.4479999999999999E-2</v>
      </c>
      <c r="AD6" s="24">
        <v>6.0138728816983118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B5:AD6"/>
  <sheetViews>
    <sheetView showGridLines="0" zoomScale="70" zoomScaleNormal="70" workbookViewId="0">
      <selection activeCell="H30" sqref="H30"/>
    </sheetView>
  </sheetViews>
  <sheetFormatPr defaultRowHeight="15" x14ac:dyDescent="0.25"/>
  <cols>
    <col min="2" max="2" width="15.7109375" customWidth="1"/>
    <col min="3" max="3" width="14" customWidth="1"/>
    <col min="4" max="4" width="15.140625" customWidth="1"/>
    <col min="5" max="5" width="15.7109375" customWidth="1"/>
    <col min="6" max="6" width="9.5703125" customWidth="1"/>
    <col min="7" max="7" width="13" customWidth="1"/>
    <col min="8" max="8" width="17" customWidth="1"/>
    <col min="9" max="9" width="17.42578125" customWidth="1"/>
    <col min="10" max="10" width="13.42578125" customWidth="1"/>
    <col min="11" max="11" width="18.140625" customWidth="1"/>
    <col min="12" max="12" width="18.42578125" customWidth="1"/>
    <col min="13" max="13" width="17.28515625" customWidth="1"/>
    <col min="14" max="14" width="13.7109375" customWidth="1"/>
    <col min="15" max="15" width="13.5703125" customWidth="1"/>
    <col min="16" max="20" width="15.7109375" customWidth="1"/>
    <col min="21" max="21" width="18.140625" customWidth="1"/>
    <col min="22" max="22" width="17" customWidth="1"/>
    <col min="23" max="29" width="15.7109375" customWidth="1"/>
    <col min="30" max="30" width="23" customWidth="1"/>
  </cols>
  <sheetData>
    <row r="5" spans="2:30" x14ac:dyDescent="0.25">
      <c r="B5" t="s">
        <v>0</v>
      </c>
      <c r="C5" t="s">
        <v>1</v>
      </c>
      <c r="D5" t="s">
        <v>2</v>
      </c>
      <c r="E5" t="s">
        <v>3</v>
      </c>
      <c r="F5" t="s">
        <v>4</v>
      </c>
      <c r="G5" t="s">
        <v>5</v>
      </c>
      <c r="H5" t="s">
        <v>6</v>
      </c>
      <c r="I5" t="s">
        <v>7</v>
      </c>
      <c r="J5" t="s">
        <v>8</v>
      </c>
      <c r="K5" t="s">
        <v>9</v>
      </c>
      <c r="L5" t="s">
        <v>10</v>
      </c>
      <c r="M5" t="s">
        <v>11</v>
      </c>
      <c r="N5" t="s">
        <v>12</v>
      </c>
      <c r="O5" t="s">
        <v>13</v>
      </c>
      <c r="P5" t="s">
        <v>14</v>
      </c>
      <c r="Q5" t="s">
        <v>15</v>
      </c>
      <c r="R5" t="s">
        <v>16</v>
      </c>
      <c r="S5" t="s">
        <v>17</v>
      </c>
      <c r="T5" t="s">
        <v>18</v>
      </c>
      <c r="U5" t="s">
        <v>19</v>
      </c>
      <c r="V5" t="s">
        <v>20</v>
      </c>
      <c r="W5" t="s">
        <v>21</v>
      </c>
      <c r="X5" t="s">
        <v>22</v>
      </c>
      <c r="Y5" t="s">
        <v>23</v>
      </c>
      <c r="Z5" t="s">
        <v>24</v>
      </c>
      <c r="AA5" t="s">
        <v>25</v>
      </c>
      <c r="AB5" t="s">
        <v>26</v>
      </c>
      <c r="AC5" t="s">
        <v>27</v>
      </c>
      <c r="AD5" t="s">
        <v>38</v>
      </c>
    </row>
    <row r="6" spans="2:30" x14ac:dyDescent="0.25">
      <c r="B6" t="s">
        <v>43</v>
      </c>
      <c r="C6" s="23">
        <v>42380</v>
      </c>
      <c r="D6" s="17">
        <v>0.30767361111111108</v>
      </c>
      <c r="E6" t="s">
        <v>44</v>
      </c>
      <c r="F6">
        <v>109.8</v>
      </c>
      <c r="G6">
        <v>134.19999999999999</v>
      </c>
      <c r="H6" t="s">
        <v>46</v>
      </c>
      <c r="I6">
        <v>4000001</v>
      </c>
      <c r="J6">
        <v>1685</v>
      </c>
      <c r="K6">
        <v>6.4290000000000003</v>
      </c>
      <c r="L6">
        <v>521</v>
      </c>
      <c r="M6">
        <v>379</v>
      </c>
      <c r="N6">
        <v>636</v>
      </c>
      <c r="O6">
        <v>837</v>
      </c>
      <c r="P6" s="31">
        <v>779.89300000000003</v>
      </c>
      <c r="Q6" s="31">
        <v>21.745999999999999</v>
      </c>
      <c r="R6" s="30">
        <v>0.1368</v>
      </c>
      <c r="S6" s="30">
        <v>7.3389999999999997E-2</v>
      </c>
      <c r="T6" s="30">
        <v>7.0309999999999997E-2</v>
      </c>
      <c r="U6">
        <v>391</v>
      </c>
      <c r="V6">
        <v>284</v>
      </c>
      <c r="W6">
        <v>742</v>
      </c>
      <c r="X6">
        <v>837</v>
      </c>
      <c r="Y6">
        <v>790.09100000000001</v>
      </c>
      <c r="Z6">
        <v>13.724</v>
      </c>
      <c r="AA6" s="30">
        <v>5.9990000000000002E-2</v>
      </c>
      <c r="AB6" s="30">
        <v>3.9050000000000001E-2</v>
      </c>
      <c r="AC6" s="30">
        <v>3.7690000000000001E-2</v>
      </c>
      <c r="AD6" s="32">
        <v>6.217309531108878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1:D8"/>
  <sheetViews>
    <sheetView showGridLines="0" zoomScale="130" zoomScaleNormal="130" workbookViewId="0">
      <selection activeCell="Q11" sqref="Q11"/>
    </sheetView>
  </sheetViews>
  <sheetFormatPr defaultRowHeight="15" x14ac:dyDescent="0.25"/>
  <cols>
    <col min="2" max="2" width="2.5703125" customWidth="1"/>
    <col min="3" max="3" width="17.28515625" customWidth="1"/>
    <col min="4" max="4" width="18.7109375" customWidth="1"/>
  </cols>
  <sheetData>
    <row r="1" spans="2:4" ht="12.75" customHeight="1" thickBot="1" x14ac:dyDescent="0.3"/>
    <row r="2" spans="2:4" ht="6.75" customHeight="1" x14ac:dyDescent="0.25">
      <c r="B2" s="2"/>
      <c r="C2" s="3"/>
      <c r="D2" s="4"/>
    </row>
    <row r="3" spans="2:4" x14ac:dyDescent="0.25">
      <c r="B3" s="5"/>
      <c r="C3" s="6" t="s">
        <v>42</v>
      </c>
      <c r="D3" s="20"/>
    </row>
    <row r="4" spans="2:4" x14ac:dyDescent="0.25">
      <c r="B4" s="5"/>
      <c r="C4" s="6" t="s">
        <v>40</v>
      </c>
      <c r="D4" s="20" t="s">
        <v>41</v>
      </c>
    </row>
    <row r="5" spans="2:4" x14ac:dyDescent="0.25">
      <c r="B5" s="5"/>
      <c r="C5" s="6" t="s">
        <v>47</v>
      </c>
      <c r="D5" s="20">
        <v>271.74</v>
      </c>
    </row>
    <row r="6" spans="2:4" x14ac:dyDescent="0.25">
      <c r="B6" s="5"/>
      <c r="C6" s="6" t="s">
        <v>48</v>
      </c>
      <c r="D6" s="20">
        <v>408</v>
      </c>
    </row>
    <row r="7" spans="2:4" x14ac:dyDescent="0.25">
      <c r="B7" s="5"/>
      <c r="C7" s="6" t="s">
        <v>39</v>
      </c>
      <c r="D7" s="21">
        <v>42354</v>
      </c>
    </row>
    <row r="8" spans="2:4" ht="6" customHeight="1" thickBot="1" x14ac:dyDescent="0.3">
      <c r="B8" s="8"/>
      <c r="C8" s="9"/>
      <c r="D8" s="10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4</vt:i4>
      </vt:variant>
    </vt:vector>
  </HeadingPairs>
  <TitlesOfParts>
    <vt:vector size="4" baseType="lpstr">
      <vt:lpstr>Senaste kontroll</vt:lpstr>
      <vt:lpstr>Detektor 1</vt:lpstr>
      <vt:lpstr>Detektor 2</vt:lpstr>
      <vt:lpstr>Plankälla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Gustav Brolin</cp:lastModifiedBy>
  <dcterms:created xsi:type="dcterms:W3CDTF">2006-09-16T00:00:00Z</dcterms:created>
  <dcterms:modified xsi:type="dcterms:W3CDTF">2016-01-15T15:56:51Z</dcterms:modified>
</cp:coreProperties>
</file>