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65" windowWidth="14805" windowHeight="7950" activeTab="3"/>
  </bookViews>
  <sheets>
    <sheet name="Senaste kontroll" sheetId="1" r:id="rId1"/>
    <sheet name="Detektor 1" sheetId="2" r:id="rId2"/>
    <sheet name="Detektor 2" sheetId="4" r:id="rId3"/>
    <sheet name="Övrigt" sheetId="5" r:id="rId4"/>
  </sheets>
  <calcPr calcId="145621"/>
</workbook>
</file>

<file path=xl/calcChain.xml><?xml version="1.0" encoding="utf-8"?>
<calcChain xmlns="http://schemas.openxmlformats.org/spreadsheetml/2006/main">
  <c r="G25" i="5" l="1"/>
  <c r="G22" i="5"/>
  <c r="G19" i="5"/>
  <c r="H19" i="5" l="1"/>
  <c r="H18" i="5"/>
  <c r="H25" i="5"/>
  <c r="H24" i="5"/>
  <c r="H22" i="5"/>
  <c r="H21" i="5"/>
  <c r="G24" i="5"/>
  <c r="G21" i="5"/>
  <c r="G18" i="5"/>
</calcChain>
</file>

<file path=xl/sharedStrings.xml><?xml version="1.0" encoding="utf-8"?>
<sst xmlns="http://schemas.openxmlformats.org/spreadsheetml/2006/main" count="256" uniqueCount="61">
  <si>
    <t>Station Name</t>
  </si>
  <si>
    <t>Datum</t>
  </si>
  <si>
    <t>Tid</t>
  </si>
  <si>
    <t>Kollimator</t>
  </si>
  <si>
    <t>Ewin low (keV)</t>
  </si>
  <si>
    <t>Ewin high (keV)</t>
  </si>
  <si>
    <t>Seriebeskrivning</t>
  </si>
  <si>
    <t>Insamlade pulser</t>
  </si>
  <si>
    <t>Mättid (s)</t>
  </si>
  <si>
    <t>Pixelstorlek (mm)</t>
  </si>
  <si>
    <t>UFOV bredd (mm)</t>
  </si>
  <si>
    <t>UFOV höjd (mm)</t>
  </si>
  <si>
    <t xml:space="preserve">UFOV min </t>
  </si>
  <si>
    <t>UFOV max</t>
  </si>
  <si>
    <t>UFOV mean</t>
  </si>
  <si>
    <t>UFOV stdev</t>
  </si>
  <si>
    <t>UFOV IU (%)</t>
  </si>
  <si>
    <t>UFOV DUx (%)</t>
  </si>
  <si>
    <t>UFOV DUy (%)</t>
  </si>
  <si>
    <t>CFOV bredd (mm)</t>
  </si>
  <si>
    <t>CFOV höjd (mm)</t>
  </si>
  <si>
    <t xml:space="preserve">CFOV min </t>
  </si>
  <si>
    <t>CFOV max</t>
  </si>
  <si>
    <t>CFOV mean</t>
  </si>
  <si>
    <t>CFOV stdev</t>
  </si>
  <si>
    <t>CFOV IU (%)</t>
  </si>
  <si>
    <t>CFOV DUx (%)</t>
  </si>
  <si>
    <t>CFOV DUy (%)</t>
  </si>
  <si>
    <t>UFOV</t>
  </si>
  <si>
    <t>CFOV</t>
  </si>
  <si>
    <t>Detektor 1</t>
  </si>
  <si>
    <t>Detektor 2</t>
  </si>
  <si>
    <t>Station Name:</t>
  </si>
  <si>
    <t>Datum:</t>
  </si>
  <si>
    <t>Tid:</t>
  </si>
  <si>
    <t>Insamlingstid (s):</t>
  </si>
  <si>
    <t>Känslighet (cps/MBq):</t>
  </si>
  <si>
    <t>Känslighet (cps/MBq)</t>
  </si>
  <si>
    <t>Referensdatum</t>
  </si>
  <si>
    <t>Isotop</t>
  </si>
  <si>
    <t>Co-57</t>
  </si>
  <si>
    <t>MFT-ID</t>
  </si>
  <si>
    <t>Halveringstid (d)</t>
  </si>
  <si>
    <t>Aktivitet (MBq)</t>
  </si>
  <si>
    <t>Pulsantal (Mcounts):</t>
  </si>
  <si>
    <t xml:space="preserve">IU </t>
  </si>
  <si>
    <t xml:space="preserve">DU x </t>
  </si>
  <si>
    <t xml:space="preserve">DU y </t>
  </si>
  <si>
    <t>millen</t>
  </si>
  <si>
    <t>LEGP</t>
  </si>
  <si>
    <t>FLOODS co57</t>
  </si>
  <si>
    <t>Kollimator:</t>
  </si>
  <si>
    <t>MFT 201506-1</t>
  </si>
  <si>
    <t>Mailmottagare (separeras med semikolon)</t>
  </si>
  <si>
    <t>Station Name (används för identifikation av bilder och resultatfiler)</t>
  </si>
  <si>
    <t>GE Millenium MPS, Klinisk fysiologi</t>
  </si>
  <si>
    <t>Gränsvärden</t>
  </si>
  <si>
    <t>Kommentar</t>
  </si>
  <si>
    <t>Kördes oavsiktligen med LEHR</t>
  </si>
  <si>
    <t>LEHR</t>
  </si>
  <si>
    <t>gustav.brolin@kronoberg.se; jan-ove.christoffersson@kronoberg.se; sofia.akerberg@kronoberg.se; cfys19.clv@kronoberg.se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</si>
</sst>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hh:mm;@"/>
    <numFmt numFmtId="167" formatCode="0.0000E+00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4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ourier New"/>
      <family val="3"/>
    </font>
    <font>
      <sz val="11"/>
      <color theme="1"/>
      <name val="Courier New"/>
      <family val="3"/>
    </font>
    <font>
      <b/>
      <sz val="20"/>
      <color rgb="FF3F3F3F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10" applyNumberFormat="0" applyAlignment="0" applyProtection="0"/>
  </cellStyleXfs>
  <cellXfs count="54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 applyBorder="1"/>
    <xf numFmtId="0" fontId="3" fillId="0" borderId="0" xfId="0" applyFont="1"/>
    <xf numFmtId="0" fontId="0" fillId="0" borderId="1" xfId="0" applyBorder="1"/>
    <xf numFmtId="19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0" fontId="4" fillId="0" borderId="0" xfId="0" applyFont="1" applyBorder="1"/>
    <xf numFmtId="0" fontId="0" fillId="0" borderId="0" xfId="0" applyProtection="1">
      <protection locked="0"/>
    </xf>
    <xf numFmtId="0" fontId="0" fillId="0" borderId="6" xfId="0" applyBorder="1" applyAlignment="1" applyProtection="1">
      <alignment horizontal="left"/>
      <protection locked="0"/>
    </xf>
    <xf numFmtId="14" fontId="0" fillId="0" borderId="6" xfId="0" applyNumberFormat="1" applyBorder="1" applyAlignment="1" applyProtection="1">
      <alignment horizontal="left"/>
      <protection locked="0"/>
    </xf>
    <xf numFmtId="0" fontId="5" fillId="0" borderId="0" xfId="0" applyFont="1" applyBorder="1"/>
    <xf numFmtId="0" fontId="6" fillId="0" borderId="0" xfId="0" applyFont="1" applyBorder="1"/>
    <xf numFmtId="166" fontId="5" fillId="0" borderId="0" xfId="0" applyNumberFormat="1" applyFont="1" applyBorder="1" applyAlignment="1">
      <alignment horizontal="left"/>
    </xf>
    <xf numFmtId="0" fontId="6" fillId="0" borderId="8" xfId="0" applyFont="1" applyBorder="1"/>
    <xf numFmtId="0" fontId="6" fillId="0" borderId="1" xfId="0" applyFont="1" applyBorder="1"/>
    <xf numFmtId="0" fontId="5" fillId="0" borderId="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167" fontId="0" fillId="0" borderId="0" xfId="0" applyNumberFormat="1" applyAlignment="1">
      <alignment horizontal="left"/>
    </xf>
    <xf numFmtId="2" fontId="0" fillId="0" borderId="0" xfId="0" applyNumberFormat="1"/>
    <xf numFmtId="2" fontId="0" fillId="0" borderId="0" xfId="0" applyNumberFormat="1" applyProtection="1">
      <protection locked="0"/>
    </xf>
    <xf numFmtId="165" fontId="5" fillId="0" borderId="0" xfId="0" applyNumberFormat="1" applyFont="1" applyBorder="1" applyAlignment="1">
      <alignment horizontal="left"/>
    </xf>
    <xf numFmtId="1" fontId="5" fillId="0" borderId="0" xfId="0" applyNumberFormat="1" applyFont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1" fontId="5" fillId="0" borderId="0" xfId="0" applyNumberFormat="1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7" fillId="2" borderId="10" xfId="1" applyFont="1" applyAlignment="1">
      <alignment horizontal="center" vertical="center"/>
    </xf>
    <xf numFmtId="166" fontId="5" fillId="0" borderId="0" xfId="0" applyNumberFormat="1" applyFont="1" applyBorder="1" applyAlignment="1">
      <alignment horizontal="left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left"/>
    </xf>
    <xf numFmtId="14" fontId="5" fillId="0" borderId="0" xfId="0" applyNumberFormat="1" applyFont="1" applyBorder="1" applyAlignment="1">
      <alignment horizontal="left"/>
    </xf>
  </cellXfs>
  <cellStyles count="2">
    <cellStyle name="Normal" xfId="0" builtinId="0"/>
    <cellStyle name="Utdata" xfId="1" builtinId="21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0E+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hh:mm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Uniformitet UFOV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 IU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IU (Månadstrend)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1'!$C$6:$C$59</c:f>
              <c:numCache>
                <c:formatCode>m/d/yyyy</c:formatCode>
                <c:ptCount val="54"/>
                <c:pt idx="0">
                  <c:v>42376</c:v>
                </c:pt>
                <c:pt idx="1">
                  <c:v>42377</c:v>
                </c:pt>
                <c:pt idx="2">
                  <c:v>42384</c:v>
                </c:pt>
                <c:pt idx="3">
                  <c:v>42388</c:v>
                </c:pt>
                <c:pt idx="4">
                  <c:v>42391</c:v>
                </c:pt>
                <c:pt idx="5">
                  <c:v>42405</c:v>
                </c:pt>
                <c:pt idx="6">
                  <c:v>42436</c:v>
                </c:pt>
                <c:pt idx="7">
                  <c:v>42436</c:v>
                </c:pt>
                <c:pt idx="8">
                  <c:v>42437</c:v>
                </c:pt>
                <c:pt idx="9">
                  <c:v>42439</c:v>
                </c:pt>
                <c:pt idx="10">
                  <c:v>42444</c:v>
                </c:pt>
                <c:pt idx="11">
                  <c:v>42447</c:v>
                </c:pt>
                <c:pt idx="12">
                  <c:v>42461</c:v>
                </c:pt>
                <c:pt idx="13">
                  <c:v>42468</c:v>
                </c:pt>
                <c:pt idx="14">
                  <c:v>42482</c:v>
                </c:pt>
                <c:pt idx="15">
                  <c:v>42486</c:v>
                </c:pt>
                <c:pt idx="16">
                  <c:v>42489</c:v>
                </c:pt>
                <c:pt idx="17">
                  <c:v>42500</c:v>
                </c:pt>
                <c:pt idx="18">
                  <c:v>42503</c:v>
                </c:pt>
                <c:pt idx="19">
                  <c:v>42510</c:v>
                </c:pt>
                <c:pt idx="20">
                  <c:v>42517</c:v>
                </c:pt>
                <c:pt idx="21">
                  <c:v>42524</c:v>
                </c:pt>
                <c:pt idx="22">
                  <c:v>42528</c:v>
                </c:pt>
                <c:pt idx="23">
                  <c:v>42535</c:v>
                </c:pt>
                <c:pt idx="24">
                  <c:v>42538</c:v>
                </c:pt>
                <c:pt idx="25">
                  <c:v>42542</c:v>
                </c:pt>
                <c:pt idx="26">
                  <c:v>42551</c:v>
                </c:pt>
                <c:pt idx="27">
                  <c:v>42552</c:v>
                </c:pt>
                <c:pt idx="28">
                  <c:v>42559</c:v>
                </c:pt>
                <c:pt idx="29">
                  <c:v>42564</c:v>
                </c:pt>
                <c:pt idx="30">
                  <c:v>42564</c:v>
                </c:pt>
                <c:pt idx="31">
                  <c:v>42566</c:v>
                </c:pt>
                <c:pt idx="32">
                  <c:v>42578</c:v>
                </c:pt>
                <c:pt idx="33">
                  <c:v>42584</c:v>
                </c:pt>
                <c:pt idx="34">
                  <c:v>42591</c:v>
                </c:pt>
                <c:pt idx="35">
                  <c:v>42593</c:v>
                </c:pt>
                <c:pt idx="36">
                  <c:v>42601</c:v>
                </c:pt>
                <c:pt idx="37">
                  <c:v>42605</c:v>
                </c:pt>
                <c:pt idx="38">
                  <c:v>42608</c:v>
                </c:pt>
                <c:pt idx="39">
                  <c:v>42629</c:v>
                </c:pt>
                <c:pt idx="40">
                  <c:v>42635</c:v>
                </c:pt>
                <c:pt idx="41">
                  <c:v>42647</c:v>
                </c:pt>
                <c:pt idx="42">
                  <c:v>42650</c:v>
                </c:pt>
                <c:pt idx="43">
                  <c:v>42654</c:v>
                </c:pt>
                <c:pt idx="44">
                  <c:v>42657</c:v>
                </c:pt>
                <c:pt idx="45">
                  <c:v>42664</c:v>
                </c:pt>
                <c:pt idx="46">
                  <c:v>42668</c:v>
                </c:pt>
                <c:pt idx="47">
                  <c:v>42671</c:v>
                </c:pt>
                <c:pt idx="48">
                  <c:v>42675</c:v>
                </c:pt>
                <c:pt idx="49">
                  <c:v>42685</c:v>
                </c:pt>
                <c:pt idx="50">
                  <c:v>42699</c:v>
                </c:pt>
                <c:pt idx="51">
                  <c:v>42703</c:v>
                </c:pt>
                <c:pt idx="52">
                  <c:v>42706</c:v>
                </c:pt>
                <c:pt idx="53">
                  <c:v>42712</c:v>
                </c:pt>
              </c:numCache>
            </c:numRef>
          </c:xVal>
          <c:yVal>
            <c:numRef>
              <c:f>'Detektor 1'!$R$6:$R$59</c:f>
              <c:numCache>
                <c:formatCode>0.00%</c:formatCode>
                <c:ptCount val="54"/>
                <c:pt idx="0">
                  <c:v>9.6979999999999997E-2</c:v>
                </c:pt>
                <c:pt idx="1">
                  <c:v>9.6159999999999995E-2</c:v>
                </c:pt>
                <c:pt idx="2">
                  <c:v>8.7069999999999995E-2</c:v>
                </c:pt>
                <c:pt idx="3">
                  <c:v>9.0149999999999994E-2</c:v>
                </c:pt>
                <c:pt idx="4">
                  <c:v>7.5840000000000005E-2</c:v>
                </c:pt>
                <c:pt idx="5">
                  <c:v>9.7850000000000006E-2</c:v>
                </c:pt>
                <c:pt idx="6">
                  <c:v>7.3760000000000006E-2</c:v>
                </c:pt>
                <c:pt idx="7">
                  <c:v>7.0730000000000001E-2</c:v>
                </c:pt>
                <c:pt idx="8">
                  <c:v>8.0259999999999998E-2</c:v>
                </c:pt>
                <c:pt idx="9">
                  <c:v>7.5249999999999997E-2</c:v>
                </c:pt>
                <c:pt idx="10">
                  <c:v>8.5589999999999999E-2</c:v>
                </c:pt>
                <c:pt idx="11">
                  <c:v>8.0390000000000003E-2</c:v>
                </c:pt>
                <c:pt idx="12">
                  <c:v>7.8520000000000006E-2</c:v>
                </c:pt>
                <c:pt idx="13">
                  <c:v>7.2429999999999994E-2</c:v>
                </c:pt>
                <c:pt idx="14">
                  <c:v>7.5209999999999999E-2</c:v>
                </c:pt>
                <c:pt idx="15">
                  <c:v>7.1650000000000005E-2</c:v>
                </c:pt>
                <c:pt idx="16">
                  <c:v>7.2739999999999999E-2</c:v>
                </c:pt>
                <c:pt idx="17">
                  <c:v>6.8659999999999999E-2</c:v>
                </c:pt>
                <c:pt idx="18">
                  <c:v>7.424E-2</c:v>
                </c:pt>
                <c:pt idx="19">
                  <c:v>7.485E-2</c:v>
                </c:pt>
                <c:pt idx="20">
                  <c:v>7.2849999999999998E-2</c:v>
                </c:pt>
                <c:pt idx="21">
                  <c:v>7.2169999999999998E-2</c:v>
                </c:pt>
                <c:pt idx="22">
                  <c:v>7.9880000000000007E-2</c:v>
                </c:pt>
                <c:pt idx="23">
                  <c:v>7.757E-2</c:v>
                </c:pt>
                <c:pt idx="24">
                  <c:v>6.3399999999999998E-2</c:v>
                </c:pt>
                <c:pt idx="25">
                  <c:v>6.7000000000000004E-2</c:v>
                </c:pt>
                <c:pt idx="26">
                  <c:v>7.5359999999999996E-2</c:v>
                </c:pt>
                <c:pt idx="27">
                  <c:v>7.0400000000000004E-2</c:v>
                </c:pt>
                <c:pt idx="28">
                  <c:v>6.6820000000000004E-2</c:v>
                </c:pt>
                <c:pt idx="29">
                  <c:v>7.2270000000000001E-2</c:v>
                </c:pt>
                <c:pt idx="30">
                  <c:v>7.2270000000000001E-2</c:v>
                </c:pt>
                <c:pt idx="31">
                  <c:v>8.4449999999999997E-2</c:v>
                </c:pt>
                <c:pt idx="32">
                  <c:v>7.2940000000000005E-2</c:v>
                </c:pt>
                <c:pt idx="33">
                  <c:v>7.1179999999999993E-2</c:v>
                </c:pt>
                <c:pt idx="34">
                  <c:v>8.3699999999999997E-2</c:v>
                </c:pt>
                <c:pt idx="35">
                  <c:v>8.3239999999999995E-2</c:v>
                </c:pt>
                <c:pt idx="36">
                  <c:v>6.7100000000000007E-2</c:v>
                </c:pt>
                <c:pt idx="37">
                  <c:v>8.6550000000000002E-2</c:v>
                </c:pt>
                <c:pt idx="38">
                  <c:v>7.1900000000000006E-2</c:v>
                </c:pt>
                <c:pt idx="39">
                  <c:v>7.2349999999999998E-2</c:v>
                </c:pt>
                <c:pt idx="40">
                  <c:v>7.3929999999999996E-2</c:v>
                </c:pt>
                <c:pt idx="41">
                  <c:v>7.7710000000000001E-2</c:v>
                </c:pt>
                <c:pt idx="42">
                  <c:v>7.4709999999999999E-2</c:v>
                </c:pt>
                <c:pt idx="43">
                  <c:v>8.0159999999999995E-2</c:v>
                </c:pt>
                <c:pt idx="44">
                  <c:v>7.1879999999999999E-2</c:v>
                </c:pt>
                <c:pt idx="45">
                  <c:v>6.336E-2</c:v>
                </c:pt>
                <c:pt idx="46">
                  <c:v>7.3950000000000002E-2</c:v>
                </c:pt>
                <c:pt idx="47">
                  <c:v>7.0970000000000005E-2</c:v>
                </c:pt>
                <c:pt idx="48">
                  <c:v>6.4390000000000003E-2</c:v>
                </c:pt>
                <c:pt idx="49">
                  <c:v>7.4440000000000006E-2</c:v>
                </c:pt>
                <c:pt idx="50">
                  <c:v>7.0540000000000005E-2</c:v>
                </c:pt>
                <c:pt idx="51">
                  <c:v>6.5920000000000006E-2</c:v>
                </c:pt>
                <c:pt idx="52">
                  <c:v>6.8129999999999996E-2</c:v>
                </c:pt>
                <c:pt idx="53">
                  <c:v>7.2040000000000007E-2</c:v>
                </c:pt>
              </c:numCache>
            </c:numRef>
          </c:yVal>
          <c:smooth val="0"/>
        </c:ser>
        <c:ser>
          <c:idx val="1"/>
          <c:order val="1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Övrigt!$G$18:$G$19</c:f>
              <c:numCache>
                <c:formatCode>m/d/yyyy</c:formatCode>
                <c:ptCount val="2"/>
                <c:pt idx="0">
                  <c:v>42376</c:v>
                </c:pt>
                <c:pt idx="1">
                  <c:v>42712</c:v>
                </c:pt>
              </c:numCache>
            </c:numRef>
          </c:xVal>
          <c:yVal>
            <c:numRef>
              <c:f>Övrigt!$H$18:$H$19</c:f>
              <c:numCache>
                <c:formatCode>0.00</c:formatCode>
                <c:ptCount val="2"/>
                <c:pt idx="0">
                  <c:v>0.1</c:v>
                </c:pt>
                <c:pt idx="1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46112"/>
        <c:axId val="89136128"/>
      </c:scatterChart>
      <c:valAx>
        <c:axId val="89546112"/>
        <c:scaling>
          <c:orientation val="minMax"/>
          <c:min val="4237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89136128"/>
        <c:crosses val="autoZero"/>
        <c:crossBetween val="midCat"/>
      </c:valAx>
      <c:valAx>
        <c:axId val="89136128"/>
        <c:scaling>
          <c:orientation val="minMax"/>
          <c:max val="0.14000000000000001"/>
        </c:scaling>
        <c:delete val="0"/>
        <c:axPos val="l"/>
        <c:numFmt formatCode="0.0%" sourceLinked="0"/>
        <c:majorTickMark val="out"/>
        <c:minorTickMark val="none"/>
        <c:tickLblPos val="nextTo"/>
        <c:crossAx val="89546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Uniformitet CFOV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 IU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IU (Månadstrend)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1'!$C$6:$C$59</c:f>
              <c:numCache>
                <c:formatCode>m/d/yyyy</c:formatCode>
                <c:ptCount val="54"/>
                <c:pt idx="0">
                  <c:v>42376</c:v>
                </c:pt>
                <c:pt idx="1">
                  <c:v>42377</c:v>
                </c:pt>
                <c:pt idx="2">
                  <c:v>42384</c:v>
                </c:pt>
                <c:pt idx="3">
                  <c:v>42388</c:v>
                </c:pt>
                <c:pt idx="4">
                  <c:v>42391</c:v>
                </c:pt>
                <c:pt idx="5">
                  <c:v>42405</c:v>
                </c:pt>
                <c:pt idx="6">
                  <c:v>42436</c:v>
                </c:pt>
                <c:pt idx="7">
                  <c:v>42436</c:v>
                </c:pt>
                <c:pt idx="8">
                  <c:v>42437</c:v>
                </c:pt>
                <c:pt idx="9">
                  <c:v>42439</c:v>
                </c:pt>
                <c:pt idx="10">
                  <c:v>42444</c:v>
                </c:pt>
                <c:pt idx="11">
                  <c:v>42447</c:v>
                </c:pt>
                <c:pt idx="12">
                  <c:v>42461</c:v>
                </c:pt>
                <c:pt idx="13">
                  <c:v>42468</c:v>
                </c:pt>
                <c:pt idx="14">
                  <c:v>42482</c:v>
                </c:pt>
                <c:pt idx="15">
                  <c:v>42486</c:v>
                </c:pt>
                <c:pt idx="16">
                  <c:v>42489</c:v>
                </c:pt>
                <c:pt idx="17">
                  <c:v>42500</c:v>
                </c:pt>
                <c:pt idx="18">
                  <c:v>42503</c:v>
                </c:pt>
                <c:pt idx="19">
                  <c:v>42510</c:v>
                </c:pt>
                <c:pt idx="20">
                  <c:v>42517</c:v>
                </c:pt>
                <c:pt idx="21">
                  <c:v>42524</c:v>
                </c:pt>
                <c:pt idx="22">
                  <c:v>42528</c:v>
                </c:pt>
                <c:pt idx="23">
                  <c:v>42535</c:v>
                </c:pt>
                <c:pt idx="24">
                  <c:v>42538</c:v>
                </c:pt>
                <c:pt idx="25">
                  <c:v>42542</c:v>
                </c:pt>
                <c:pt idx="26">
                  <c:v>42551</c:v>
                </c:pt>
                <c:pt idx="27">
                  <c:v>42552</c:v>
                </c:pt>
                <c:pt idx="28">
                  <c:v>42559</c:v>
                </c:pt>
                <c:pt idx="29">
                  <c:v>42564</c:v>
                </c:pt>
                <c:pt idx="30">
                  <c:v>42564</c:v>
                </c:pt>
                <c:pt idx="31">
                  <c:v>42566</c:v>
                </c:pt>
                <c:pt idx="32">
                  <c:v>42578</c:v>
                </c:pt>
                <c:pt idx="33">
                  <c:v>42584</c:v>
                </c:pt>
                <c:pt idx="34">
                  <c:v>42591</c:v>
                </c:pt>
                <c:pt idx="35">
                  <c:v>42593</c:v>
                </c:pt>
                <c:pt idx="36">
                  <c:v>42601</c:v>
                </c:pt>
                <c:pt idx="37">
                  <c:v>42605</c:v>
                </c:pt>
                <c:pt idx="38">
                  <c:v>42608</c:v>
                </c:pt>
                <c:pt idx="39">
                  <c:v>42629</c:v>
                </c:pt>
                <c:pt idx="40">
                  <c:v>42635</c:v>
                </c:pt>
                <c:pt idx="41">
                  <c:v>42647</c:v>
                </c:pt>
                <c:pt idx="42">
                  <c:v>42650</c:v>
                </c:pt>
                <c:pt idx="43">
                  <c:v>42654</c:v>
                </c:pt>
                <c:pt idx="44">
                  <c:v>42657</c:v>
                </c:pt>
                <c:pt idx="45">
                  <c:v>42664</c:v>
                </c:pt>
                <c:pt idx="46">
                  <c:v>42668</c:v>
                </c:pt>
                <c:pt idx="47">
                  <c:v>42671</c:v>
                </c:pt>
                <c:pt idx="48">
                  <c:v>42675</c:v>
                </c:pt>
                <c:pt idx="49">
                  <c:v>42685</c:v>
                </c:pt>
                <c:pt idx="50">
                  <c:v>42699</c:v>
                </c:pt>
                <c:pt idx="51">
                  <c:v>42703</c:v>
                </c:pt>
                <c:pt idx="52">
                  <c:v>42706</c:v>
                </c:pt>
                <c:pt idx="53">
                  <c:v>42712</c:v>
                </c:pt>
              </c:numCache>
            </c:numRef>
          </c:xVal>
          <c:yVal>
            <c:numRef>
              <c:f>'Detektor 1'!$AA$6:$AA$59</c:f>
              <c:numCache>
                <c:formatCode>0.00%</c:formatCode>
                <c:ptCount val="54"/>
                <c:pt idx="0">
                  <c:v>8.4589999999999999E-2</c:v>
                </c:pt>
                <c:pt idx="1">
                  <c:v>0.08</c:v>
                </c:pt>
                <c:pt idx="2">
                  <c:v>7.5679999999999997E-2</c:v>
                </c:pt>
                <c:pt idx="3">
                  <c:v>6.5060000000000007E-2</c:v>
                </c:pt>
                <c:pt idx="4">
                  <c:v>7.3209999999999997E-2</c:v>
                </c:pt>
                <c:pt idx="5">
                  <c:v>8.3790000000000003E-2</c:v>
                </c:pt>
                <c:pt idx="6">
                  <c:v>4.7849999999999997E-2</c:v>
                </c:pt>
                <c:pt idx="7">
                  <c:v>5.2859999999999997E-2</c:v>
                </c:pt>
                <c:pt idx="8">
                  <c:v>4.6030000000000001E-2</c:v>
                </c:pt>
                <c:pt idx="9">
                  <c:v>5.6809999999999999E-2</c:v>
                </c:pt>
                <c:pt idx="10">
                  <c:v>5.5599999999999997E-2</c:v>
                </c:pt>
                <c:pt idx="11">
                  <c:v>4.9790000000000001E-2</c:v>
                </c:pt>
                <c:pt idx="12">
                  <c:v>5.3469999999999997E-2</c:v>
                </c:pt>
                <c:pt idx="13">
                  <c:v>6.0609999999999997E-2</c:v>
                </c:pt>
                <c:pt idx="14">
                  <c:v>5.1299999999999998E-2</c:v>
                </c:pt>
                <c:pt idx="15">
                  <c:v>4.7750000000000001E-2</c:v>
                </c:pt>
                <c:pt idx="16">
                  <c:v>5.5919999999999997E-2</c:v>
                </c:pt>
                <c:pt idx="17">
                  <c:v>5.2729999999999999E-2</c:v>
                </c:pt>
                <c:pt idx="18">
                  <c:v>5.1909999999999998E-2</c:v>
                </c:pt>
                <c:pt idx="19">
                  <c:v>5.7160000000000002E-2</c:v>
                </c:pt>
                <c:pt idx="20">
                  <c:v>5.2109999999999997E-2</c:v>
                </c:pt>
                <c:pt idx="21">
                  <c:v>4.7120000000000002E-2</c:v>
                </c:pt>
                <c:pt idx="22">
                  <c:v>6.0519999999999997E-2</c:v>
                </c:pt>
                <c:pt idx="23">
                  <c:v>5.2859999999999997E-2</c:v>
                </c:pt>
                <c:pt idx="24">
                  <c:v>5.2240000000000002E-2</c:v>
                </c:pt>
                <c:pt idx="25">
                  <c:v>5.4440000000000002E-2</c:v>
                </c:pt>
                <c:pt idx="26">
                  <c:v>6.0979999999999999E-2</c:v>
                </c:pt>
                <c:pt idx="27">
                  <c:v>5.0450000000000002E-2</c:v>
                </c:pt>
                <c:pt idx="28">
                  <c:v>5.1220000000000002E-2</c:v>
                </c:pt>
                <c:pt idx="29">
                  <c:v>5.3519999999999998E-2</c:v>
                </c:pt>
                <c:pt idx="30">
                  <c:v>5.3519999999999998E-2</c:v>
                </c:pt>
                <c:pt idx="31">
                  <c:v>5.6610000000000001E-2</c:v>
                </c:pt>
                <c:pt idx="32">
                  <c:v>5.4420000000000003E-2</c:v>
                </c:pt>
                <c:pt idx="33">
                  <c:v>4.4049999999999999E-2</c:v>
                </c:pt>
                <c:pt idx="34">
                  <c:v>5.9830000000000001E-2</c:v>
                </c:pt>
                <c:pt idx="35">
                  <c:v>6.3560000000000005E-2</c:v>
                </c:pt>
                <c:pt idx="36">
                  <c:v>5.8930000000000003E-2</c:v>
                </c:pt>
                <c:pt idx="37">
                  <c:v>5.8950000000000002E-2</c:v>
                </c:pt>
                <c:pt idx="38">
                  <c:v>5.0509999999999999E-2</c:v>
                </c:pt>
                <c:pt idx="39">
                  <c:v>5.5129999999999998E-2</c:v>
                </c:pt>
                <c:pt idx="40">
                  <c:v>6.1830000000000003E-2</c:v>
                </c:pt>
                <c:pt idx="41">
                  <c:v>5.0939999999999999E-2</c:v>
                </c:pt>
                <c:pt idx="42">
                  <c:v>6.4670000000000005E-2</c:v>
                </c:pt>
                <c:pt idx="43">
                  <c:v>4.9779999999999998E-2</c:v>
                </c:pt>
                <c:pt idx="44">
                  <c:v>5.1069999999999997E-2</c:v>
                </c:pt>
                <c:pt idx="45">
                  <c:v>4.743E-2</c:v>
                </c:pt>
                <c:pt idx="46">
                  <c:v>5.0750000000000003E-2</c:v>
                </c:pt>
                <c:pt idx="47">
                  <c:v>5.0950000000000002E-2</c:v>
                </c:pt>
                <c:pt idx="48">
                  <c:v>5.0380000000000001E-2</c:v>
                </c:pt>
                <c:pt idx="49">
                  <c:v>5.9769999999999997E-2</c:v>
                </c:pt>
                <c:pt idx="50">
                  <c:v>5.1409999999999997E-2</c:v>
                </c:pt>
                <c:pt idx="51">
                  <c:v>5.6120000000000003E-2</c:v>
                </c:pt>
                <c:pt idx="52">
                  <c:v>4.5289999999999997E-2</c:v>
                </c:pt>
                <c:pt idx="53">
                  <c:v>4.3229999999999998E-2</c:v>
                </c:pt>
              </c:numCache>
            </c:numRef>
          </c:yVal>
          <c:smooth val="0"/>
        </c:ser>
        <c:ser>
          <c:idx val="1"/>
          <c:order val="1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Övrigt!$G$21:$G$22</c:f>
              <c:numCache>
                <c:formatCode>m/d/yyyy</c:formatCode>
                <c:ptCount val="2"/>
                <c:pt idx="0">
                  <c:v>42376</c:v>
                </c:pt>
                <c:pt idx="1">
                  <c:v>42712</c:v>
                </c:pt>
              </c:numCache>
            </c:numRef>
          </c:xVal>
          <c:yVal>
            <c:numRef>
              <c:f>Övrigt!$H$21:$H$22</c:f>
              <c:numCache>
                <c:formatCode>General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2064"/>
        <c:axId val="92473600"/>
      </c:scatterChart>
      <c:valAx>
        <c:axId val="92472064"/>
        <c:scaling>
          <c:orientation val="minMax"/>
          <c:min val="4237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2473600"/>
        <c:crosses val="autoZero"/>
        <c:crossBetween val="midCat"/>
      </c:valAx>
      <c:valAx>
        <c:axId val="9247360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crossAx val="92472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Känslighet (cps/MBq)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2 (Månadstrend)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1'!$C$6:$C$59</c:f>
              <c:numCache>
                <c:formatCode>m/d/yyyy</c:formatCode>
                <c:ptCount val="54"/>
                <c:pt idx="0">
                  <c:v>42376</c:v>
                </c:pt>
                <c:pt idx="1">
                  <c:v>42377</c:v>
                </c:pt>
                <c:pt idx="2">
                  <c:v>42384</c:v>
                </c:pt>
                <c:pt idx="3">
                  <c:v>42388</c:v>
                </c:pt>
                <c:pt idx="4">
                  <c:v>42391</c:v>
                </c:pt>
                <c:pt idx="5">
                  <c:v>42405</c:v>
                </c:pt>
                <c:pt idx="6">
                  <c:v>42436</c:v>
                </c:pt>
                <c:pt idx="7">
                  <c:v>42436</c:v>
                </c:pt>
                <c:pt idx="8">
                  <c:v>42437</c:v>
                </c:pt>
                <c:pt idx="9">
                  <c:v>42439</c:v>
                </c:pt>
                <c:pt idx="10">
                  <c:v>42444</c:v>
                </c:pt>
                <c:pt idx="11">
                  <c:v>42447</c:v>
                </c:pt>
                <c:pt idx="12">
                  <c:v>42461</c:v>
                </c:pt>
                <c:pt idx="13">
                  <c:v>42468</c:v>
                </c:pt>
                <c:pt idx="14">
                  <c:v>42482</c:v>
                </c:pt>
                <c:pt idx="15">
                  <c:v>42486</c:v>
                </c:pt>
                <c:pt idx="16">
                  <c:v>42489</c:v>
                </c:pt>
                <c:pt idx="17">
                  <c:v>42500</c:v>
                </c:pt>
                <c:pt idx="18">
                  <c:v>42503</c:v>
                </c:pt>
                <c:pt idx="19">
                  <c:v>42510</c:v>
                </c:pt>
                <c:pt idx="20">
                  <c:v>42517</c:v>
                </c:pt>
                <c:pt idx="21">
                  <c:v>42524</c:v>
                </c:pt>
                <c:pt idx="22">
                  <c:v>42528</c:v>
                </c:pt>
                <c:pt idx="23">
                  <c:v>42535</c:v>
                </c:pt>
                <c:pt idx="24">
                  <c:v>42538</c:v>
                </c:pt>
                <c:pt idx="25">
                  <c:v>42542</c:v>
                </c:pt>
                <c:pt idx="26">
                  <c:v>42551</c:v>
                </c:pt>
                <c:pt idx="27">
                  <c:v>42552</c:v>
                </c:pt>
                <c:pt idx="28">
                  <c:v>42559</c:v>
                </c:pt>
                <c:pt idx="29">
                  <c:v>42564</c:v>
                </c:pt>
                <c:pt idx="30">
                  <c:v>42564</c:v>
                </c:pt>
                <c:pt idx="31">
                  <c:v>42566</c:v>
                </c:pt>
                <c:pt idx="32">
                  <c:v>42578</c:v>
                </c:pt>
                <c:pt idx="33">
                  <c:v>42584</c:v>
                </c:pt>
                <c:pt idx="34">
                  <c:v>42591</c:v>
                </c:pt>
                <c:pt idx="35">
                  <c:v>42593</c:v>
                </c:pt>
                <c:pt idx="36">
                  <c:v>42601</c:v>
                </c:pt>
                <c:pt idx="37">
                  <c:v>42605</c:v>
                </c:pt>
                <c:pt idx="38">
                  <c:v>42608</c:v>
                </c:pt>
                <c:pt idx="39">
                  <c:v>42629</c:v>
                </c:pt>
                <c:pt idx="40">
                  <c:v>42635</c:v>
                </c:pt>
                <c:pt idx="41">
                  <c:v>42647</c:v>
                </c:pt>
                <c:pt idx="42">
                  <c:v>42650</c:v>
                </c:pt>
                <c:pt idx="43">
                  <c:v>42654</c:v>
                </c:pt>
                <c:pt idx="44">
                  <c:v>42657</c:v>
                </c:pt>
                <c:pt idx="45">
                  <c:v>42664</c:v>
                </c:pt>
                <c:pt idx="46">
                  <c:v>42668</c:v>
                </c:pt>
                <c:pt idx="47">
                  <c:v>42671</c:v>
                </c:pt>
                <c:pt idx="48">
                  <c:v>42675</c:v>
                </c:pt>
                <c:pt idx="49">
                  <c:v>42685</c:v>
                </c:pt>
                <c:pt idx="50">
                  <c:v>42699</c:v>
                </c:pt>
                <c:pt idx="51">
                  <c:v>42703</c:v>
                </c:pt>
                <c:pt idx="52">
                  <c:v>42706</c:v>
                </c:pt>
                <c:pt idx="53">
                  <c:v>42712</c:v>
                </c:pt>
              </c:numCache>
            </c:numRef>
          </c:xVal>
          <c:yVal>
            <c:numRef>
              <c:f>'Detektor 1'!$AD$6:$AD$59</c:f>
              <c:numCache>
                <c:formatCode>0.0</c:formatCode>
                <c:ptCount val="54"/>
                <c:pt idx="0">
                  <c:v>86.517696324598006</c:v>
                </c:pt>
                <c:pt idx="1">
                  <c:v>86.738520506799915</c:v>
                </c:pt>
                <c:pt idx="2">
                  <c:v>86.58074069018555</c:v>
                </c:pt>
                <c:pt idx="3">
                  <c:v>86.904658890726751</c:v>
                </c:pt>
                <c:pt idx="4">
                  <c:v>87.011567783555293</c:v>
                </c:pt>
                <c:pt idx="5">
                  <c:v>86.834462255697176</c:v>
                </c:pt>
                <c:pt idx="6">
                  <c:v>88.004412750881244</c:v>
                </c:pt>
                <c:pt idx="7">
                  <c:v>88.004090073735128</c:v>
                </c:pt>
                <c:pt idx="8">
                  <c:v>87.721734245644029</c:v>
                </c:pt>
                <c:pt idx="9">
                  <c:v>88.170599974289686</c:v>
                </c:pt>
                <c:pt idx="10">
                  <c:v>87.788748313191405</c:v>
                </c:pt>
                <c:pt idx="11">
                  <c:v>87.965806560109996</c:v>
                </c:pt>
                <c:pt idx="12">
                  <c:v>88.191048328221697</c:v>
                </c:pt>
                <c:pt idx="13">
                  <c:v>88.339706751576827</c:v>
                </c:pt>
                <c:pt idx="14">
                  <c:v>88.248024139446215</c:v>
                </c:pt>
                <c:pt idx="15">
                  <c:v>88.243281849091218</c:v>
                </c:pt>
                <c:pt idx="16">
                  <c:v>88.470145021203464</c:v>
                </c:pt>
                <c:pt idx="17">
                  <c:v>88.297848533931599</c:v>
                </c:pt>
                <c:pt idx="18">
                  <c:v>88.540025396583175</c:v>
                </c:pt>
                <c:pt idx="19">
                  <c:v>88.401833393728552</c:v>
                </c:pt>
                <c:pt idx="20">
                  <c:v>88.714770992570536</c:v>
                </c:pt>
                <c:pt idx="21">
                  <c:v>88.632793823009948</c:v>
                </c:pt>
                <c:pt idx="22">
                  <c:v>88.716570856629858</c:v>
                </c:pt>
                <c:pt idx="23">
                  <c:v>88.680446871560278</c:v>
                </c:pt>
                <c:pt idx="24">
                  <c:v>88.559857062179859</c:v>
                </c:pt>
                <c:pt idx="25">
                  <c:v>88.672588383999511</c:v>
                </c:pt>
                <c:pt idx="26">
                  <c:v>88.759387014407963</c:v>
                </c:pt>
                <c:pt idx="27">
                  <c:v>88.986466706034207</c:v>
                </c:pt>
                <c:pt idx="28">
                  <c:v>89.040997211892588</c:v>
                </c:pt>
                <c:pt idx="29">
                  <c:v>89.042289046136219</c:v>
                </c:pt>
                <c:pt idx="30">
                  <c:v>89.042289046136219</c:v>
                </c:pt>
                <c:pt idx="31">
                  <c:v>89.121602949167567</c:v>
                </c:pt>
                <c:pt idx="32">
                  <c:v>89.266193184376633</c:v>
                </c:pt>
                <c:pt idx="33">
                  <c:v>89.186896503696317</c:v>
                </c:pt>
                <c:pt idx="34">
                  <c:v>55.683504074797732</c:v>
                </c:pt>
                <c:pt idx="35">
                  <c:v>55.830936546664333</c:v>
                </c:pt>
                <c:pt idx="36">
                  <c:v>89.198498779942199</c:v>
                </c:pt>
                <c:pt idx="37">
                  <c:v>55.784360735565642</c:v>
                </c:pt>
                <c:pt idx="38">
                  <c:v>89.429876766585963</c:v>
                </c:pt>
                <c:pt idx="39">
                  <c:v>89.278204041306424</c:v>
                </c:pt>
                <c:pt idx="40">
                  <c:v>89.373710597191206</c:v>
                </c:pt>
                <c:pt idx="41">
                  <c:v>89.311442717281906</c:v>
                </c:pt>
                <c:pt idx="42">
                  <c:v>89.385097435973435</c:v>
                </c:pt>
                <c:pt idx="43">
                  <c:v>89.389899543115391</c:v>
                </c:pt>
                <c:pt idx="44">
                  <c:v>89.47347814631793</c:v>
                </c:pt>
                <c:pt idx="45">
                  <c:v>89.294371675430511</c:v>
                </c:pt>
                <c:pt idx="46">
                  <c:v>89.331027470320308</c:v>
                </c:pt>
                <c:pt idx="47">
                  <c:v>89.436482938084694</c:v>
                </c:pt>
                <c:pt idx="48">
                  <c:v>89.487762695093863</c:v>
                </c:pt>
                <c:pt idx="49">
                  <c:v>89.511760747344667</c:v>
                </c:pt>
                <c:pt idx="50">
                  <c:v>89.422811928760808</c:v>
                </c:pt>
                <c:pt idx="51">
                  <c:v>89.533325429887654</c:v>
                </c:pt>
                <c:pt idx="52">
                  <c:v>89.422972604698231</c:v>
                </c:pt>
                <c:pt idx="53">
                  <c:v>89.482347471153091</c:v>
                </c:pt>
              </c:numCache>
            </c:numRef>
          </c:yVal>
          <c:smooth val="0"/>
        </c:ser>
        <c:ser>
          <c:idx val="1"/>
          <c:order val="1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Övrigt!$G$24:$G$25</c:f>
              <c:numCache>
                <c:formatCode>m/d/yyyy</c:formatCode>
                <c:ptCount val="2"/>
                <c:pt idx="0">
                  <c:v>42376</c:v>
                </c:pt>
                <c:pt idx="1">
                  <c:v>42712</c:v>
                </c:pt>
              </c:numCache>
            </c:numRef>
          </c:xVal>
          <c:yVal>
            <c:numRef>
              <c:f>Övrigt!$H$24:$H$25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2160"/>
        <c:axId val="92493696"/>
      </c:scatterChart>
      <c:valAx>
        <c:axId val="92492160"/>
        <c:scaling>
          <c:orientation val="minMax"/>
          <c:min val="4237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2493696"/>
        <c:crosses val="autoZero"/>
        <c:crossBetween val="midCat"/>
      </c:valAx>
      <c:valAx>
        <c:axId val="92493696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crossAx val="924921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560294</xdr:colOff>
      <xdr:row>6</xdr:row>
      <xdr:rowOff>168089</xdr:rowOff>
    </xdr:from>
    <xdr:to>
      <xdr:col>17</xdr:col>
      <xdr:colOff>729984</xdr:colOff>
      <xdr:row>22</xdr:row>
      <xdr:rowOff>20893</xdr:rowOff>
    </xdr:to>
    <xdr:graphicFrame macro="">
      <xdr:nvGraphicFramePr>
        <xdr:cNvPr id="6" name="Diagra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560294</xdr:colOff>
      <xdr:row>23</xdr:row>
      <xdr:rowOff>6285</xdr:rowOff>
    </xdr:from>
    <xdr:to>
      <xdr:col>17</xdr:col>
      <xdr:colOff>729984</xdr:colOff>
      <xdr:row>39</xdr:row>
      <xdr:rowOff>81846</xdr:rowOff>
    </xdr:to>
    <xdr:graphicFrame macro="">
      <xdr:nvGraphicFramePr>
        <xdr:cNvPr id="7" name="Diagra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560294</xdr:colOff>
      <xdr:row>40</xdr:row>
      <xdr:rowOff>100854</xdr:rowOff>
    </xdr:from>
    <xdr:to>
      <xdr:col>17</xdr:col>
      <xdr:colOff>729984</xdr:colOff>
      <xdr:row>57</xdr:row>
      <xdr:rowOff>73721</xdr:rowOff>
    </xdr:to>
    <xdr:graphicFrame macro="">
      <xdr:nvGraphicFramePr>
        <xdr:cNvPr id="8" name="Diagra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183029</xdr:colOff>
      <xdr:row>24</xdr:row>
      <xdr:rowOff>89648</xdr:rowOff>
    </xdr:from>
    <xdr:to>
      <xdr:col>8</xdr:col>
      <xdr:colOff>55394</xdr:colOff>
      <xdr:row>38</xdr:row>
      <xdr:rowOff>202043</xdr:rowOff>
    </xdr:to>
    <xdr:pic>
      <xdr:nvPicPr>
        <xdr:cNvPr id="2" name="screenShot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79" y="5604623"/>
          <a:ext cx="7825740" cy="31603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DetectorTable1" displayName="DetectorTable1" ref="B5:AE59" totalsRowShown="0" headerRowDxfId="34" dataDxfId="33">
  <autoFilter ref="B5:AE59"/>
  <tableColumns count="30">
    <tableColumn id="28" name="Station Name" dataDxfId="32"/>
    <tableColumn id="1" name="Datum" dataDxfId="31"/>
    <tableColumn id="2" name="Tid" dataDxfId="30"/>
    <tableColumn id="3" name="Kollimator" dataDxfId="29"/>
    <tableColumn id="4" name="Ewin low (keV)" dataDxfId="28"/>
    <tableColumn id="5" name="Ewin high (keV)" dataDxfId="27"/>
    <tableColumn id="6" name="Seriebeskrivning" dataDxfId="26"/>
    <tableColumn id="7" name="Insamlade pulser" dataDxfId="25"/>
    <tableColumn id="8" name="Mättid (s)" dataDxfId="24"/>
    <tableColumn id="9" name="Pixelstorlek (mm)" dataDxfId="23"/>
    <tableColumn id="10" name="UFOV bredd (mm)" dataDxfId="22"/>
    <tableColumn id="11" name="UFOV höjd (mm)" dataDxfId="21"/>
    <tableColumn id="12" name="UFOV min " dataDxfId="20"/>
    <tableColumn id="13" name="UFOV max" dataDxfId="19"/>
    <tableColumn id="14" name="UFOV mean" dataDxfId="18"/>
    <tableColumn id="15" name="UFOV stdev" dataDxfId="17"/>
    <tableColumn id="16" name="UFOV IU (%)" dataDxfId="16"/>
    <tableColumn id="17" name="UFOV DUx (%)" dataDxfId="15"/>
    <tableColumn id="18" name="UFOV DUy (%)" dataDxfId="14"/>
    <tableColumn id="19" name="CFOV bredd (mm)" dataDxfId="13"/>
    <tableColumn id="20" name="CFOV höjd (mm)" dataDxfId="12"/>
    <tableColumn id="21" name="CFOV min " dataDxfId="11"/>
    <tableColumn id="22" name="CFOV max" dataDxfId="10"/>
    <tableColumn id="23" name="CFOV mean" dataDxfId="9"/>
    <tableColumn id="24" name="CFOV stdev" dataDxfId="8"/>
    <tableColumn id="25" name="CFOV IU (%)" dataDxfId="7"/>
    <tableColumn id="26" name="CFOV DUx (%)" dataDxfId="6"/>
    <tableColumn id="27" name="CFOV DUy (%)" dataDxfId="5"/>
    <tableColumn id="30" name="Känslighet (cps/MBq)" dataDxfId="4"/>
    <tableColumn id="29" name="Kommentar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DetectorTable2" displayName="DetectorTable2" ref="B5:AD6" totalsRowShown="0">
  <autoFilter ref="B5:AD6"/>
  <tableColumns count="29">
    <tableColumn id="28" name="Station Name"/>
    <tableColumn id="1" name="Datum"/>
    <tableColumn id="2" name="Tid"/>
    <tableColumn id="3" name="Kollimator"/>
    <tableColumn id="4" name="Ewin low (keV)"/>
    <tableColumn id="5" name="Ewin high (keV)"/>
    <tableColumn id="6" name="Seriebeskrivning"/>
    <tableColumn id="7" name="Insamlade pulser"/>
    <tableColumn id="8" name="Mättid (s)"/>
    <tableColumn id="9" name="Pixelstorlek (mm)"/>
    <tableColumn id="10" name="UFOV bredd (mm)"/>
    <tableColumn id="11" name="UFOV höjd (mm)"/>
    <tableColumn id="12" name="UFOV min "/>
    <tableColumn id="13" name="UFOV max"/>
    <tableColumn id="14" name="UFOV mean"/>
    <tableColumn id="15" name="UFOV stdev"/>
    <tableColumn id="16" name="UFOV IU (%)"/>
    <tableColumn id="17" name="UFOV DUx (%)"/>
    <tableColumn id="18" name="UFOV DUy (%)"/>
    <tableColumn id="19" name="CFOV bredd (mm)"/>
    <tableColumn id="20" name="CFOV höjd (mm)"/>
    <tableColumn id="21" name="CFOV min "/>
    <tableColumn id="22" name="CFOV max"/>
    <tableColumn id="23" name="CFOV mean"/>
    <tableColumn id="24" name="CFOV stdev"/>
    <tableColumn id="25" name="CFOV IU (%)"/>
    <tableColumn id="26" name="CFOV DUx (%)"/>
    <tableColumn id="27" name="CFOV DUy (%)"/>
    <tableColumn id="29" name="Känslighet (cps/MBq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1:U61"/>
  <sheetViews>
    <sheetView showGridLines="0" zoomScale="85" zoomScaleNormal="85" workbookViewId="0">
      <selection activeCell="G52" sqref="G52"/>
    </sheetView>
  </sheetViews>
  <sheetFormatPr defaultRowHeight="15" x14ac:dyDescent="0.25"/>
  <cols>
    <col min="1" max="1" width="4.85546875" customWidth="1"/>
    <col min="2" max="2" width="2.85546875" customWidth="1"/>
    <col min="3" max="3" width="36.42578125" customWidth="1"/>
    <col min="4" max="4" width="19.42578125" customWidth="1"/>
    <col min="5" max="5" width="18.42578125" customWidth="1"/>
    <col min="6" max="6" width="5.28515625" customWidth="1"/>
    <col min="7" max="8" width="18.42578125" customWidth="1"/>
    <col min="15" max="15" width="12" customWidth="1"/>
    <col min="16" max="16" width="32.28515625" customWidth="1"/>
    <col min="17" max="17" width="15.140625" customWidth="1"/>
    <col min="18" max="18" width="13.28515625" customWidth="1"/>
    <col min="19" max="19" width="2.5703125" customWidth="1"/>
    <col min="20" max="20" width="2.42578125" customWidth="1"/>
    <col min="21" max="21" width="14.85546875" customWidth="1"/>
  </cols>
  <sheetData>
    <row r="1" spans="2:21" ht="15.75" thickBot="1" x14ac:dyDescent="0.3"/>
    <row r="2" spans="2:21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2:21" ht="15" customHeight="1" x14ac:dyDescent="0.25">
      <c r="B3" s="5"/>
      <c r="C3" s="49" t="s">
        <v>55</v>
      </c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7"/>
    </row>
    <row r="4" spans="2:21" ht="24.75" customHeight="1" x14ac:dyDescent="0.25">
      <c r="B4" s="5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7"/>
    </row>
    <row r="5" spans="2:21" x14ac:dyDescent="0.25">
      <c r="B5" s="5"/>
      <c r="I5" s="6"/>
      <c r="J5" s="6"/>
      <c r="K5" s="6"/>
      <c r="L5" s="6"/>
      <c r="M5" s="6"/>
      <c r="N5" s="6"/>
      <c r="O5" s="6"/>
      <c r="P5" s="6"/>
      <c r="Q5" s="6"/>
      <c r="R5" s="6"/>
      <c r="S5" s="7"/>
    </row>
    <row r="6" spans="2:21" ht="18" customHeight="1" x14ac:dyDescent="0.3">
      <c r="B6" s="5"/>
      <c r="C6" s="29" t="s">
        <v>32</v>
      </c>
      <c r="D6" s="52" t="s">
        <v>48</v>
      </c>
      <c r="E6" s="52"/>
      <c r="F6" s="30"/>
      <c r="G6" s="30"/>
      <c r="H6" s="30"/>
      <c r="I6" s="6"/>
      <c r="J6" s="6"/>
      <c r="K6" s="6"/>
      <c r="L6" s="6"/>
      <c r="M6" s="6"/>
      <c r="N6" s="6"/>
      <c r="O6" s="6"/>
      <c r="Q6" s="11"/>
      <c r="R6" s="11"/>
      <c r="S6" s="7"/>
    </row>
    <row r="7" spans="2:21" ht="18" customHeight="1" x14ac:dyDescent="0.3">
      <c r="B7" s="5"/>
      <c r="C7" s="29" t="s">
        <v>33</v>
      </c>
      <c r="D7" s="53">
        <v>42712</v>
      </c>
      <c r="E7" s="53"/>
      <c r="F7" s="30"/>
      <c r="G7" s="30"/>
      <c r="H7" s="30"/>
      <c r="I7" s="6"/>
      <c r="J7" s="6"/>
      <c r="K7" s="6"/>
      <c r="L7" s="6"/>
      <c r="M7" s="6"/>
      <c r="N7" s="6"/>
      <c r="O7" s="6"/>
      <c r="Q7" s="11"/>
      <c r="R7" s="11"/>
      <c r="S7" s="7"/>
      <c r="T7" s="1"/>
      <c r="U7" s="1"/>
    </row>
    <row r="8" spans="2:21" ht="18" customHeight="1" x14ac:dyDescent="0.3">
      <c r="B8" s="5"/>
      <c r="C8" s="29" t="s">
        <v>34</v>
      </c>
      <c r="D8" s="50">
        <v>0.34320601851851856</v>
      </c>
      <c r="E8" s="50"/>
      <c r="F8" s="30"/>
      <c r="G8" s="30"/>
      <c r="H8" s="30"/>
      <c r="J8" s="6"/>
      <c r="K8" s="6"/>
      <c r="L8" s="6"/>
      <c r="M8" s="6"/>
      <c r="N8" s="6"/>
      <c r="O8" s="6"/>
      <c r="Q8" s="11"/>
      <c r="R8" s="11"/>
      <c r="S8" s="7"/>
      <c r="T8" s="1"/>
      <c r="U8" s="1"/>
    </row>
    <row r="9" spans="2:21" ht="18" customHeight="1" x14ac:dyDescent="0.3">
      <c r="B9" s="5"/>
      <c r="C9" s="29" t="s">
        <v>51</v>
      </c>
      <c r="D9" s="31" t="s">
        <v>49</v>
      </c>
      <c r="E9" s="31"/>
      <c r="F9" s="30"/>
      <c r="G9" s="30"/>
      <c r="H9" s="30"/>
      <c r="J9" s="6"/>
      <c r="K9" s="6"/>
      <c r="L9" s="6"/>
      <c r="M9" s="6"/>
      <c r="N9" s="6"/>
      <c r="O9" s="6"/>
      <c r="Q9" s="11"/>
      <c r="R9" s="11"/>
      <c r="S9" s="7"/>
      <c r="T9" s="1"/>
      <c r="U9" s="1"/>
    </row>
    <row r="10" spans="2:21" ht="18" customHeight="1" thickBot="1" x14ac:dyDescent="0.35">
      <c r="B10" s="5"/>
      <c r="C10" s="32"/>
      <c r="D10" s="32"/>
      <c r="E10" s="32"/>
      <c r="F10" s="32"/>
      <c r="G10" s="32"/>
      <c r="H10" s="32"/>
      <c r="J10" s="6"/>
      <c r="K10" s="6"/>
      <c r="L10" s="6"/>
      <c r="M10" s="6"/>
      <c r="N10" s="6"/>
      <c r="O10" s="6"/>
      <c r="P10" s="11"/>
      <c r="Q10" s="11"/>
      <c r="R10" s="11"/>
      <c r="S10" s="7"/>
      <c r="T10" s="1"/>
      <c r="U10" s="1"/>
    </row>
    <row r="11" spans="2:21" ht="24.75" customHeight="1" x14ac:dyDescent="0.3">
      <c r="B11" s="5"/>
      <c r="C11" s="33"/>
      <c r="D11" s="51" t="s">
        <v>30</v>
      </c>
      <c r="E11" s="51"/>
      <c r="F11" s="34"/>
      <c r="G11" s="51" t="s">
        <v>31</v>
      </c>
      <c r="H11" s="51"/>
      <c r="I11" s="11"/>
      <c r="J11" s="6"/>
      <c r="K11" s="6"/>
      <c r="L11" s="6"/>
      <c r="M11" s="6"/>
      <c r="N11" s="6"/>
      <c r="O11" s="6"/>
      <c r="P11" s="11"/>
      <c r="Q11" s="11"/>
      <c r="R11" s="11"/>
      <c r="S11" s="7"/>
      <c r="T11" s="1"/>
      <c r="U11" s="1"/>
    </row>
    <row r="12" spans="2:21" ht="18" customHeight="1" x14ac:dyDescent="0.3">
      <c r="B12" s="5"/>
      <c r="C12" s="35"/>
      <c r="D12" s="35" t="s">
        <v>28</v>
      </c>
      <c r="E12" s="35" t="s">
        <v>29</v>
      </c>
      <c r="F12" s="36"/>
      <c r="G12" s="35" t="s">
        <v>28</v>
      </c>
      <c r="H12" s="35" t="s">
        <v>29</v>
      </c>
      <c r="I12" s="11"/>
      <c r="J12" s="6"/>
      <c r="K12" s="6"/>
      <c r="L12" s="6"/>
      <c r="M12" s="6"/>
      <c r="N12" s="6"/>
      <c r="O12" s="6"/>
      <c r="S12" s="7"/>
      <c r="T12" s="1"/>
      <c r="U12" s="1"/>
    </row>
    <row r="13" spans="2:21" ht="18" customHeight="1" x14ac:dyDescent="0.3">
      <c r="B13" s="5"/>
      <c r="C13" s="29"/>
      <c r="D13" s="29"/>
      <c r="E13" s="29"/>
      <c r="F13" s="30"/>
      <c r="G13" s="29"/>
      <c r="H13" s="29"/>
      <c r="I13" s="11"/>
      <c r="J13" s="6"/>
      <c r="K13" s="6"/>
      <c r="L13" s="6"/>
      <c r="M13" s="6"/>
      <c r="N13" s="6"/>
      <c r="O13" s="6"/>
      <c r="S13" s="7"/>
      <c r="T13" s="1"/>
      <c r="U13" s="1"/>
    </row>
    <row r="14" spans="2:21" ht="18" customHeight="1" x14ac:dyDescent="0.3">
      <c r="B14" s="5"/>
      <c r="C14" s="29" t="s">
        <v>45</v>
      </c>
      <c r="D14" s="37">
        <v>7.2040000000000006</v>
      </c>
      <c r="E14" s="37">
        <v>4.3229999999999995</v>
      </c>
      <c r="F14" s="38"/>
      <c r="G14" s="37"/>
      <c r="H14" s="37"/>
      <c r="I14" s="11"/>
      <c r="J14" s="6"/>
      <c r="K14" s="6"/>
      <c r="L14" s="6"/>
      <c r="M14" s="6"/>
      <c r="N14" s="6"/>
      <c r="O14" s="6"/>
      <c r="S14" s="7"/>
    </row>
    <row r="15" spans="2:21" ht="18" customHeight="1" x14ac:dyDescent="0.3">
      <c r="B15" s="5"/>
      <c r="C15" s="29" t="s">
        <v>46</v>
      </c>
      <c r="D15" s="37">
        <v>4.6349999999999998</v>
      </c>
      <c r="E15" s="37">
        <v>3.5529999999999999</v>
      </c>
      <c r="F15" s="38"/>
      <c r="G15" s="37"/>
      <c r="H15" s="37"/>
      <c r="I15" s="11"/>
      <c r="J15" s="6"/>
      <c r="K15" s="6"/>
      <c r="L15" s="6"/>
      <c r="M15" s="6"/>
      <c r="N15" s="6"/>
      <c r="O15" s="6"/>
      <c r="S15" s="7"/>
    </row>
    <row r="16" spans="2:21" ht="18" customHeight="1" x14ac:dyDescent="0.3">
      <c r="B16" s="5"/>
      <c r="C16" s="29" t="s">
        <v>47</v>
      </c>
      <c r="D16" s="37">
        <v>4.9950000000000001</v>
      </c>
      <c r="E16" s="37">
        <v>3.2290000000000001</v>
      </c>
      <c r="F16" s="38"/>
      <c r="G16" s="37"/>
      <c r="H16" s="37"/>
      <c r="I16" s="11"/>
      <c r="J16" s="6"/>
      <c r="K16" s="6"/>
      <c r="L16" s="6"/>
      <c r="M16" s="6"/>
      <c r="N16" s="6"/>
      <c r="O16" s="6"/>
      <c r="S16" s="7"/>
    </row>
    <row r="17" spans="2:21" ht="18" customHeight="1" x14ac:dyDescent="0.3">
      <c r="B17" s="5"/>
      <c r="C17" s="29"/>
      <c r="D17" s="29"/>
      <c r="E17" s="29"/>
      <c r="F17" s="30"/>
      <c r="G17" s="29"/>
      <c r="H17" s="29"/>
      <c r="I17" s="11"/>
      <c r="J17" s="6"/>
      <c r="K17" s="6"/>
      <c r="L17" s="6"/>
      <c r="M17" s="6"/>
      <c r="N17" s="6"/>
      <c r="O17" s="6"/>
      <c r="S17" s="7"/>
    </row>
    <row r="18" spans="2:21" ht="18" customHeight="1" x14ac:dyDescent="0.3">
      <c r="B18" s="5"/>
      <c r="C18" s="29" t="s">
        <v>44</v>
      </c>
      <c r="D18" s="44">
        <v>3.0000260000000001</v>
      </c>
      <c r="E18" s="44"/>
      <c r="F18" s="39"/>
      <c r="G18" s="46"/>
      <c r="H18" s="46"/>
      <c r="I18" s="11"/>
      <c r="J18" s="6"/>
      <c r="K18" s="6"/>
      <c r="L18" s="6"/>
      <c r="M18" s="6"/>
      <c r="N18" s="6"/>
      <c r="O18" s="6"/>
      <c r="S18" s="7"/>
    </row>
    <row r="19" spans="2:21" ht="18" customHeight="1" x14ac:dyDescent="0.3">
      <c r="B19" s="5"/>
      <c r="C19" s="29" t="s">
        <v>35</v>
      </c>
      <c r="D19" s="45">
        <v>344</v>
      </c>
      <c r="E19" s="45"/>
      <c r="F19" s="40"/>
      <c r="G19" s="47"/>
      <c r="H19" s="47"/>
      <c r="I19" s="6"/>
      <c r="J19" s="6"/>
      <c r="K19" s="6"/>
      <c r="L19" s="6"/>
      <c r="M19" s="6"/>
      <c r="N19" s="6"/>
      <c r="O19" s="6"/>
      <c r="S19" s="7"/>
    </row>
    <row r="20" spans="2:21" ht="18" customHeight="1" x14ac:dyDescent="0.3">
      <c r="B20" s="5"/>
      <c r="C20" s="29" t="s">
        <v>36</v>
      </c>
      <c r="D20" s="44">
        <v>89.482347471153091</v>
      </c>
      <c r="E20" s="44"/>
      <c r="F20" s="38"/>
      <c r="G20" s="48"/>
      <c r="H20" s="48"/>
      <c r="I20" s="6"/>
      <c r="J20" s="6"/>
      <c r="K20" s="6"/>
      <c r="L20" s="6"/>
      <c r="M20" s="6"/>
      <c r="N20" s="6"/>
      <c r="O20" s="6"/>
      <c r="S20" s="7"/>
    </row>
    <row r="21" spans="2:21" ht="18" customHeight="1" thickBot="1" x14ac:dyDescent="0.3">
      <c r="B21" s="5"/>
      <c r="C21" s="32"/>
      <c r="D21" s="32"/>
      <c r="E21" s="32"/>
      <c r="F21" s="32"/>
      <c r="G21" s="32"/>
      <c r="H21" s="32"/>
      <c r="I21" s="6"/>
      <c r="J21" s="6"/>
      <c r="K21" s="6"/>
      <c r="L21" s="6"/>
      <c r="M21" s="6"/>
      <c r="N21" s="6"/>
      <c r="O21" s="6"/>
      <c r="P21" s="11"/>
      <c r="Q21" s="11"/>
      <c r="R21" s="11"/>
      <c r="S21" s="7"/>
    </row>
    <row r="22" spans="2:21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12"/>
      <c r="Q22" s="12"/>
      <c r="R22" s="12"/>
      <c r="S22" s="7"/>
    </row>
    <row r="23" spans="2:21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12"/>
      <c r="Q23" s="12"/>
      <c r="R23" s="12"/>
      <c r="S23" s="7"/>
    </row>
    <row r="24" spans="2:21" ht="18" customHeight="1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S24" s="7"/>
    </row>
    <row r="25" spans="2:21" ht="18" customHeight="1" x14ac:dyDescent="0.3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S25" s="7"/>
      <c r="T25" s="1"/>
      <c r="U25" s="1"/>
    </row>
    <row r="26" spans="2:21" ht="18" customHeight="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S26" s="7"/>
      <c r="T26" s="1"/>
      <c r="U26" s="1"/>
    </row>
    <row r="27" spans="2:21" ht="18" customHeight="1" x14ac:dyDescent="0.3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S27" s="7"/>
      <c r="T27" s="1"/>
      <c r="U27" s="1"/>
    </row>
    <row r="28" spans="2:21" ht="18" customHeight="1" x14ac:dyDescent="0.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S28" s="7"/>
      <c r="T28" s="1"/>
      <c r="U28" s="1"/>
    </row>
    <row r="29" spans="2:21" ht="18" customHeight="1" x14ac:dyDescent="0.3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S29" s="7"/>
      <c r="T29" s="1"/>
      <c r="U29" s="1"/>
    </row>
    <row r="30" spans="2:21" ht="18" customHeight="1" x14ac:dyDescent="0.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S30" s="7"/>
      <c r="T30" s="1"/>
      <c r="U30" s="1"/>
    </row>
    <row r="31" spans="2:21" ht="18" customHeight="1" x14ac:dyDescent="0.3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S31" s="7"/>
      <c r="T31" s="1"/>
      <c r="U31" s="1"/>
    </row>
    <row r="32" spans="2:21" ht="18" customHeight="1" x14ac:dyDescent="0.25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S32" s="7"/>
    </row>
    <row r="33" spans="2:19" ht="18" customHeight="1" x14ac:dyDescent="0.25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7"/>
    </row>
    <row r="34" spans="2:19" ht="18" customHeight="1" x14ac:dyDescent="0.25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7"/>
    </row>
    <row r="35" spans="2:19" x14ac:dyDescent="0.25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7"/>
    </row>
    <row r="36" spans="2:19" x14ac:dyDescent="0.25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7"/>
    </row>
    <row r="37" spans="2:19" x14ac:dyDescent="0.25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7"/>
    </row>
    <row r="38" spans="2:19" x14ac:dyDescent="0.25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7"/>
    </row>
    <row r="39" spans="2:19" ht="18" customHeight="1" x14ac:dyDescent="0.25"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7"/>
    </row>
    <row r="40" spans="2:19" x14ac:dyDescent="0.25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7"/>
    </row>
    <row r="41" spans="2:19" x14ac:dyDescent="0.25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7"/>
    </row>
    <row r="42" spans="2:19" x14ac:dyDescent="0.25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7"/>
    </row>
    <row r="43" spans="2:19" x14ac:dyDescent="0.2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7"/>
    </row>
    <row r="44" spans="2:19" x14ac:dyDescent="0.25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7"/>
    </row>
    <row r="45" spans="2:19" x14ac:dyDescent="0.25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7"/>
    </row>
    <row r="46" spans="2:19" x14ac:dyDescent="0.25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7"/>
    </row>
    <row r="47" spans="2:19" x14ac:dyDescent="0.25"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x14ac:dyDescent="0.25"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7"/>
    </row>
    <row r="49" spans="2:19" x14ac:dyDescent="0.25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7"/>
    </row>
    <row r="50" spans="2:19" x14ac:dyDescent="0.25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7"/>
    </row>
    <row r="51" spans="2:19" x14ac:dyDescent="0.25"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7"/>
    </row>
    <row r="52" spans="2:19" x14ac:dyDescent="0.25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7"/>
    </row>
    <row r="53" spans="2:19" x14ac:dyDescent="0.25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7"/>
    </row>
    <row r="54" spans="2:19" x14ac:dyDescent="0.25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7"/>
    </row>
    <row r="55" spans="2:19" x14ac:dyDescent="0.25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7"/>
    </row>
    <row r="56" spans="2:19" x14ac:dyDescent="0.25"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7"/>
    </row>
    <row r="57" spans="2:19" x14ac:dyDescent="0.25"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7"/>
    </row>
    <row r="58" spans="2:19" ht="15.75" customHeight="1" x14ac:dyDescent="0.4">
      <c r="B58" s="5"/>
      <c r="C58" s="6"/>
      <c r="D58" s="6"/>
      <c r="E58" s="6"/>
      <c r="F58" s="6"/>
      <c r="G58" s="6"/>
      <c r="H58" s="6"/>
      <c r="I58" s="6"/>
      <c r="J58" s="25"/>
      <c r="K58" s="6"/>
      <c r="L58" s="6"/>
      <c r="M58" s="6"/>
      <c r="N58" s="6"/>
      <c r="O58" s="6"/>
      <c r="P58" s="6"/>
      <c r="Q58" s="6"/>
      <c r="R58" s="6"/>
      <c r="S58" s="7"/>
    </row>
    <row r="59" spans="2:19" ht="15.75" thickBot="1" x14ac:dyDescent="0.3">
      <c r="B59" s="8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10"/>
    </row>
    <row r="61" spans="2:19" ht="12" customHeight="1" x14ac:dyDescent="0.25"/>
  </sheetData>
  <sheetProtection sheet="1" objects="1" scenarios="1"/>
  <mergeCells count="9">
    <mergeCell ref="G18:H18"/>
    <mergeCell ref="G19:H19"/>
    <mergeCell ref="G20:H20"/>
    <mergeCell ref="C3:R4"/>
    <mergeCell ref="D8:E8"/>
    <mergeCell ref="D11:E11"/>
    <mergeCell ref="G11:H11"/>
    <mergeCell ref="D6:E6"/>
    <mergeCell ref="D7:E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" id="{0C47F27B-2580-451A-AEC7-B9899875E4A5}">
            <xm:f>Övrigt!$D$18*100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cellIs" priority="2" operator="greaterThan" id="{6EB775CF-4584-43C8-8778-DEF62EBC0DC8}">
            <xm:f>Övrigt!$D$19*100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cellIs" priority="1" operator="lessThan" id="{4D569BA2-95E8-45FC-8D97-1875011CF9D8}">
            <xm:f>Övrigt!$D$20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5:AE59"/>
  <sheetViews>
    <sheetView showGridLines="0" topLeftCell="N1" zoomScale="70" zoomScaleNormal="70" workbookViewId="0">
      <selection activeCell="AE41" sqref="AE41"/>
    </sheetView>
  </sheetViews>
  <sheetFormatPr defaultRowHeight="15" x14ac:dyDescent="0.25"/>
  <cols>
    <col min="2" max="2" width="24" customWidth="1"/>
    <col min="3" max="3" width="14" customWidth="1"/>
    <col min="4" max="4" width="15.140625" customWidth="1"/>
    <col min="5" max="5" width="15.7109375" customWidth="1"/>
    <col min="6" max="6" width="15.85546875" customWidth="1"/>
    <col min="7" max="7" width="16.28515625" customWidth="1"/>
    <col min="8" max="8" width="17" customWidth="1"/>
    <col min="9" max="9" width="23.140625" customWidth="1"/>
    <col min="10" max="10" width="14.5703125" customWidth="1"/>
    <col min="11" max="11" width="23.7109375" customWidth="1"/>
    <col min="12" max="12" width="17.28515625" customWidth="1"/>
    <col min="13" max="13" width="13.7109375" customWidth="1"/>
    <col min="14" max="14" width="13.5703125" customWidth="1"/>
    <col min="15" max="19" width="15.7109375" customWidth="1"/>
    <col min="20" max="20" width="18.140625" customWidth="1"/>
    <col min="21" max="21" width="17" customWidth="1"/>
    <col min="22" max="23" width="15.7109375" customWidth="1"/>
    <col min="24" max="24" width="13.42578125" customWidth="1"/>
    <col min="25" max="25" width="17.28515625" customWidth="1"/>
    <col min="26" max="26" width="13.28515625" customWidth="1"/>
    <col min="27" max="27" width="18.85546875" customWidth="1"/>
    <col min="28" max="29" width="20.140625" customWidth="1"/>
    <col min="30" max="30" width="11.7109375" customWidth="1"/>
    <col min="31" max="31" width="32.5703125" customWidth="1"/>
  </cols>
  <sheetData>
    <row r="5" spans="2:31" x14ac:dyDescent="0.25">
      <c r="B5" s="15" t="s">
        <v>0</v>
      </c>
      <c r="C5" s="15" t="s">
        <v>1</v>
      </c>
      <c r="D5" s="15" t="s">
        <v>2</v>
      </c>
      <c r="E5" s="15" t="s">
        <v>3</v>
      </c>
      <c r="F5" s="15" t="s">
        <v>4</v>
      </c>
      <c r="G5" s="15" t="s">
        <v>5</v>
      </c>
      <c r="H5" s="15" t="s">
        <v>6</v>
      </c>
      <c r="I5" s="15" t="s">
        <v>7</v>
      </c>
      <c r="J5" s="15" t="s">
        <v>8</v>
      </c>
      <c r="K5" s="15" t="s">
        <v>9</v>
      </c>
      <c r="L5" s="15" t="s">
        <v>10</v>
      </c>
      <c r="M5" s="15" t="s">
        <v>11</v>
      </c>
      <c r="N5" s="15" t="s">
        <v>12</v>
      </c>
      <c r="O5" s="15" t="s">
        <v>13</v>
      </c>
      <c r="P5" s="15" t="s">
        <v>14</v>
      </c>
      <c r="Q5" s="15" t="s">
        <v>15</v>
      </c>
      <c r="R5" s="15" t="s">
        <v>16</v>
      </c>
      <c r="S5" s="15" t="s">
        <v>17</v>
      </c>
      <c r="T5" s="15" t="s">
        <v>18</v>
      </c>
      <c r="U5" s="15" t="s">
        <v>19</v>
      </c>
      <c r="V5" s="15" t="s">
        <v>20</v>
      </c>
      <c r="W5" s="15" t="s">
        <v>21</v>
      </c>
      <c r="X5" s="15" t="s">
        <v>22</v>
      </c>
      <c r="Y5" s="15" t="s">
        <v>23</v>
      </c>
      <c r="Z5" s="15" t="s">
        <v>24</v>
      </c>
      <c r="AA5" s="15" t="s">
        <v>25</v>
      </c>
      <c r="AB5" s="15" t="s">
        <v>26</v>
      </c>
      <c r="AC5" s="15" t="s">
        <v>27</v>
      </c>
      <c r="AD5" s="15" t="s">
        <v>37</v>
      </c>
      <c r="AE5" s="15" t="s">
        <v>57</v>
      </c>
    </row>
    <row r="6" spans="2:31" x14ac:dyDescent="0.25">
      <c r="B6" s="15" t="s">
        <v>48</v>
      </c>
      <c r="C6" s="16">
        <v>42376</v>
      </c>
      <c r="D6" s="24">
        <v>0.36443287037037037</v>
      </c>
      <c r="E6" s="15" t="s">
        <v>49</v>
      </c>
      <c r="F6" s="15">
        <v>109.8</v>
      </c>
      <c r="G6" s="15">
        <v>134.19999999999999</v>
      </c>
      <c r="H6" s="15" t="s">
        <v>50</v>
      </c>
      <c r="I6" s="41">
        <v>3000043</v>
      </c>
      <c r="J6" s="15">
        <v>151</v>
      </c>
      <c r="K6" s="15">
        <v>6.4320000000000004</v>
      </c>
      <c r="L6" s="15">
        <v>334</v>
      </c>
      <c r="M6" s="15">
        <v>334</v>
      </c>
      <c r="N6" s="15">
        <v>832</v>
      </c>
      <c r="O6" s="15">
        <v>1011</v>
      </c>
      <c r="P6" s="19">
        <v>905.19</v>
      </c>
      <c r="Q6" s="18">
        <v>22.084</v>
      </c>
      <c r="R6" s="20">
        <v>9.6979999999999997E-2</v>
      </c>
      <c r="S6" s="20">
        <v>7.4020000000000002E-2</v>
      </c>
      <c r="T6" s="20">
        <v>6.0679999999999998E-2</v>
      </c>
      <c r="U6" s="15">
        <v>251</v>
      </c>
      <c r="V6" s="15">
        <v>251</v>
      </c>
      <c r="W6" s="15">
        <v>853</v>
      </c>
      <c r="X6" s="15">
        <v>1011</v>
      </c>
      <c r="Y6" s="15">
        <v>903.20799999999997</v>
      </c>
      <c r="Z6" s="15">
        <v>18.431999999999999</v>
      </c>
      <c r="AA6" s="20">
        <v>8.4589999999999999E-2</v>
      </c>
      <c r="AB6" s="20">
        <v>5.4850000000000003E-2</v>
      </c>
      <c r="AC6" s="20">
        <v>5.8689999999999999E-2</v>
      </c>
      <c r="AD6" s="18">
        <v>86.517696324598006</v>
      </c>
      <c r="AE6" s="15"/>
    </row>
    <row r="7" spans="2:31" x14ac:dyDescent="0.25">
      <c r="B7" s="15" t="s">
        <v>48</v>
      </c>
      <c r="C7" s="16">
        <v>42377</v>
      </c>
      <c r="D7" s="24">
        <v>0.32548611111111109</v>
      </c>
      <c r="E7" s="15" t="s">
        <v>49</v>
      </c>
      <c r="F7" s="15">
        <v>109.8</v>
      </c>
      <c r="G7" s="15">
        <v>134.19999999999999</v>
      </c>
      <c r="H7" s="15" t="s">
        <v>50</v>
      </c>
      <c r="I7" s="41">
        <v>3000038</v>
      </c>
      <c r="J7" s="15">
        <v>151</v>
      </c>
      <c r="K7" s="15">
        <v>6.4320000000000004</v>
      </c>
      <c r="L7" s="15">
        <v>334</v>
      </c>
      <c r="M7" s="15">
        <v>334</v>
      </c>
      <c r="N7" s="15">
        <v>818</v>
      </c>
      <c r="O7" s="15">
        <v>992</v>
      </c>
      <c r="P7" s="19">
        <v>906.36</v>
      </c>
      <c r="Q7" s="18">
        <v>24.884</v>
      </c>
      <c r="R7" s="20">
        <v>9.6159999999999995E-2</v>
      </c>
      <c r="S7" s="20">
        <v>6.1749999999999999E-2</v>
      </c>
      <c r="T7" s="20">
        <v>5.6120000000000003E-2</v>
      </c>
      <c r="U7" s="15">
        <v>251</v>
      </c>
      <c r="V7" s="15">
        <v>251</v>
      </c>
      <c r="W7" s="15">
        <v>845</v>
      </c>
      <c r="X7" s="15">
        <v>992</v>
      </c>
      <c r="Y7" s="15">
        <v>905.16600000000005</v>
      </c>
      <c r="Z7" s="15">
        <v>19.146999999999998</v>
      </c>
      <c r="AA7" s="20">
        <v>0.08</v>
      </c>
      <c r="AB7" s="20">
        <v>6.1749999999999999E-2</v>
      </c>
      <c r="AC7" s="20">
        <v>5.6120000000000003E-2</v>
      </c>
      <c r="AD7" s="18">
        <v>86.738520506799915</v>
      </c>
      <c r="AE7" s="15"/>
    </row>
    <row r="8" spans="2:31" x14ac:dyDescent="0.25">
      <c r="B8" s="15" t="s">
        <v>48</v>
      </c>
      <c r="C8" s="16">
        <v>42384</v>
      </c>
      <c r="D8" s="24">
        <v>0.32164351851851852</v>
      </c>
      <c r="E8" s="15" t="s">
        <v>49</v>
      </c>
      <c r="F8" s="15">
        <v>109.8</v>
      </c>
      <c r="G8" s="15">
        <v>134.19999999999999</v>
      </c>
      <c r="H8" s="15" t="s">
        <v>50</v>
      </c>
      <c r="I8" s="41">
        <v>3000028</v>
      </c>
      <c r="J8" s="15">
        <v>154</v>
      </c>
      <c r="K8" s="15">
        <v>6.4320000000000004</v>
      </c>
      <c r="L8" s="15">
        <v>334</v>
      </c>
      <c r="M8" s="15">
        <v>334</v>
      </c>
      <c r="N8" s="15">
        <v>832</v>
      </c>
      <c r="O8" s="15">
        <v>991</v>
      </c>
      <c r="P8" s="19">
        <v>905.51199999999994</v>
      </c>
      <c r="Q8" s="18">
        <v>23.77</v>
      </c>
      <c r="R8" s="20">
        <v>8.7069999999999995E-2</v>
      </c>
      <c r="S8" s="20">
        <v>6.0109999999999997E-2</v>
      </c>
      <c r="T8" s="20">
        <v>5.2690000000000001E-2</v>
      </c>
      <c r="U8" s="15">
        <v>251</v>
      </c>
      <c r="V8" s="15">
        <v>251</v>
      </c>
      <c r="W8" s="15">
        <v>849</v>
      </c>
      <c r="X8" s="15">
        <v>988</v>
      </c>
      <c r="Y8" s="15">
        <v>902.31399999999996</v>
      </c>
      <c r="Z8" s="15">
        <v>18.591999999999999</v>
      </c>
      <c r="AA8" s="20">
        <v>7.5679999999999997E-2</v>
      </c>
      <c r="AB8" s="20">
        <v>4.2680000000000003E-2</v>
      </c>
      <c r="AC8" s="20">
        <v>5.2109999999999997E-2</v>
      </c>
      <c r="AD8" s="18">
        <v>86.58074069018555</v>
      </c>
      <c r="AE8" s="15"/>
    </row>
    <row r="9" spans="2:31" x14ac:dyDescent="0.25">
      <c r="B9" s="15" t="s">
        <v>48</v>
      </c>
      <c r="C9" s="16">
        <v>42388</v>
      </c>
      <c r="D9" s="24">
        <v>0.40962962962962962</v>
      </c>
      <c r="E9" s="15" t="s">
        <v>49</v>
      </c>
      <c r="F9" s="15">
        <v>109.8</v>
      </c>
      <c r="G9" s="15">
        <v>134.19999999999999</v>
      </c>
      <c r="H9" s="15" t="s">
        <v>50</v>
      </c>
      <c r="I9" s="41">
        <v>3000039</v>
      </c>
      <c r="J9" s="15">
        <v>155</v>
      </c>
      <c r="K9" s="15">
        <v>6.4320000000000004</v>
      </c>
      <c r="L9" s="15">
        <v>334</v>
      </c>
      <c r="M9" s="15">
        <v>334</v>
      </c>
      <c r="N9" s="15">
        <v>825</v>
      </c>
      <c r="O9" s="15">
        <v>989</v>
      </c>
      <c r="P9" s="19">
        <v>905.08</v>
      </c>
      <c r="Q9" s="18">
        <v>24.814</v>
      </c>
      <c r="R9" s="20">
        <v>9.0149999999999994E-2</v>
      </c>
      <c r="S9" s="20">
        <v>5.3069999999999999E-2</v>
      </c>
      <c r="T9" s="20">
        <v>4.8959999999999997E-2</v>
      </c>
      <c r="U9" s="15">
        <v>251</v>
      </c>
      <c r="V9" s="15">
        <v>251</v>
      </c>
      <c r="W9" s="15">
        <v>853</v>
      </c>
      <c r="X9" s="15">
        <v>972</v>
      </c>
      <c r="Y9" s="15">
        <v>902.17600000000004</v>
      </c>
      <c r="Z9" s="15">
        <v>19.405999999999999</v>
      </c>
      <c r="AA9" s="20">
        <v>6.5060000000000007E-2</v>
      </c>
      <c r="AB9" s="20">
        <v>4.5539999999999997E-2</v>
      </c>
      <c r="AC9" s="20">
        <v>4.3619999999999999E-2</v>
      </c>
      <c r="AD9" s="18">
        <v>86.904658890726751</v>
      </c>
      <c r="AE9" s="15"/>
    </row>
    <row r="10" spans="2:31" x14ac:dyDescent="0.25">
      <c r="B10" s="15" t="s">
        <v>48</v>
      </c>
      <c r="C10" s="16">
        <v>42391</v>
      </c>
      <c r="D10" s="24">
        <v>0.34002314814814816</v>
      </c>
      <c r="E10" s="15" t="s">
        <v>49</v>
      </c>
      <c r="F10" s="15">
        <v>109.8</v>
      </c>
      <c r="G10" s="15">
        <v>134.19999999999999</v>
      </c>
      <c r="H10" s="15" t="s">
        <v>50</v>
      </c>
      <c r="I10" s="41">
        <v>3000063</v>
      </c>
      <c r="J10" s="15">
        <v>156</v>
      </c>
      <c r="K10" s="15">
        <v>6.4320000000000004</v>
      </c>
      <c r="L10" s="15">
        <v>334</v>
      </c>
      <c r="M10" s="15">
        <v>334</v>
      </c>
      <c r="N10" s="15">
        <v>851</v>
      </c>
      <c r="O10" s="15">
        <v>990</v>
      </c>
      <c r="P10" s="19">
        <v>905.15</v>
      </c>
      <c r="Q10" s="18">
        <v>22.34</v>
      </c>
      <c r="R10" s="20">
        <v>7.5840000000000005E-2</v>
      </c>
      <c r="S10" s="20">
        <v>6.4630000000000007E-2</v>
      </c>
      <c r="T10" s="20">
        <v>5.364E-2</v>
      </c>
      <c r="U10" s="15">
        <v>251</v>
      </c>
      <c r="V10" s="15">
        <v>251</v>
      </c>
      <c r="W10" s="15">
        <v>855</v>
      </c>
      <c r="X10" s="15">
        <v>990</v>
      </c>
      <c r="Y10" s="15">
        <v>902.154</v>
      </c>
      <c r="Z10" s="15">
        <v>18.256</v>
      </c>
      <c r="AA10" s="20">
        <v>7.3209999999999997E-2</v>
      </c>
      <c r="AB10" s="20">
        <v>4.9329999999999999E-2</v>
      </c>
      <c r="AC10" s="20">
        <v>5.2040000000000003E-2</v>
      </c>
      <c r="AD10" s="18">
        <v>87.011567783555293</v>
      </c>
      <c r="AE10" s="15"/>
    </row>
    <row r="11" spans="2:31" x14ac:dyDescent="0.25">
      <c r="B11" s="15" t="s">
        <v>48</v>
      </c>
      <c r="C11" s="16">
        <v>42405</v>
      </c>
      <c r="D11" s="24">
        <v>0.32341435185185186</v>
      </c>
      <c r="E11" s="15" t="s">
        <v>49</v>
      </c>
      <c r="F11" s="15">
        <v>109.8</v>
      </c>
      <c r="G11" s="15">
        <v>134.19999999999999</v>
      </c>
      <c r="H11" s="15" t="s">
        <v>50</v>
      </c>
      <c r="I11" s="41">
        <v>3000039</v>
      </c>
      <c r="J11" s="15">
        <v>162</v>
      </c>
      <c r="K11" s="15">
        <v>6.4320000000000004</v>
      </c>
      <c r="L11" s="15">
        <v>334</v>
      </c>
      <c r="M11" s="15">
        <v>334</v>
      </c>
      <c r="N11" s="15">
        <v>826</v>
      </c>
      <c r="O11" s="15">
        <v>1005</v>
      </c>
      <c r="P11" s="19">
        <v>905.12400000000002</v>
      </c>
      <c r="Q11" s="18">
        <v>24.907</v>
      </c>
      <c r="R11" s="20">
        <v>9.7850000000000006E-2</v>
      </c>
      <c r="S11" s="20">
        <v>6.5000000000000002E-2</v>
      </c>
      <c r="T11" s="20">
        <v>5.8680000000000003E-2</v>
      </c>
      <c r="U11" s="15">
        <v>251</v>
      </c>
      <c r="V11" s="15">
        <v>251</v>
      </c>
      <c r="W11" s="15">
        <v>850</v>
      </c>
      <c r="X11" s="15">
        <v>1005</v>
      </c>
      <c r="Y11" s="15">
        <v>902.36199999999997</v>
      </c>
      <c r="Z11" s="15">
        <v>19.366</v>
      </c>
      <c r="AA11" s="20">
        <v>8.3790000000000003E-2</v>
      </c>
      <c r="AB11" s="20">
        <v>4.369E-2</v>
      </c>
      <c r="AC11" s="20">
        <v>5.8680000000000003E-2</v>
      </c>
      <c r="AD11" s="18">
        <v>86.834462255697176</v>
      </c>
      <c r="AE11" s="15"/>
    </row>
    <row r="12" spans="2:31" x14ac:dyDescent="0.25">
      <c r="B12" s="15" t="s">
        <v>48</v>
      </c>
      <c r="C12" s="16">
        <v>42436</v>
      </c>
      <c r="D12" s="24">
        <v>0.41328703703703701</v>
      </c>
      <c r="E12" s="15" t="s">
        <v>49</v>
      </c>
      <c r="F12" s="15">
        <v>109.8</v>
      </c>
      <c r="G12" s="15">
        <v>134.19999999999999</v>
      </c>
      <c r="H12" s="15" t="s">
        <v>50</v>
      </c>
      <c r="I12" s="41">
        <v>3000053</v>
      </c>
      <c r="J12" s="15">
        <v>173</v>
      </c>
      <c r="K12" s="15">
        <v>6.4320000000000004</v>
      </c>
      <c r="L12" s="15">
        <v>334</v>
      </c>
      <c r="M12" s="15">
        <v>334</v>
      </c>
      <c r="N12" s="15">
        <v>849</v>
      </c>
      <c r="O12" s="15">
        <v>984</v>
      </c>
      <c r="P12" s="19">
        <v>921.04200000000003</v>
      </c>
      <c r="Q12" s="18">
        <v>18.498000000000001</v>
      </c>
      <c r="R12" s="20">
        <v>7.3760000000000006E-2</v>
      </c>
      <c r="S12" s="20">
        <v>4.3189999999999999E-2</v>
      </c>
      <c r="T12" s="20">
        <v>4.7440000000000003E-2</v>
      </c>
      <c r="U12" s="15">
        <v>251</v>
      </c>
      <c r="V12" s="15">
        <v>251</v>
      </c>
      <c r="W12" s="15">
        <v>880</v>
      </c>
      <c r="X12" s="15">
        <v>968</v>
      </c>
      <c r="Y12" s="15">
        <v>924.91099999999994</v>
      </c>
      <c r="Z12" s="15">
        <v>14.428000000000001</v>
      </c>
      <c r="AA12" s="20">
        <v>4.7849999999999997E-2</v>
      </c>
      <c r="AB12" s="20">
        <v>3.6880000000000003E-2</v>
      </c>
      <c r="AC12" s="20">
        <v>3.8929999999999999E-2</v>
      </c>
      <c r="AD12" s="18">
        <v>88.004412750881244</v>
      </c>
      <c r="AE12" s="15"/>
    </row>
    <row r="13" spans="2:31" x14ac:dyDescent="0.25">
      <c r="B13" s="15" t="s">
        <v>48</v>
      </c>
      <c r="C13" s="16">
        <v>42436</v>
      </c>
      <c r="D13" s="24">
        <v>0.64245370370370369</v>
      </c>
      <c r="E13" s="15" t="s">
        <v>49</v>
      </c>
      <c r="F13" s="15">
        <v>109.8</v>
      </c>
      <c r="G13" s="15">
        <v>134.19999999999999</v>
      </c>
      <c r="H13" s="15" t="s">
        <v>50</v>
      </c>
      <c r="I13" s="41">
        <v>3000042</v>
      </c>
      <c r="J13" s="15">
        <v>173</v>
      </c>
      <c r="K13" s="15">
        <v>6.4320000000000004</v>
      </c>
      <c r="L13" s="15">
        <v>334</v>
      </c>
      <c r="M13" s="15">
        <v>334</v>
      </c>
      <c r="N13" s="15">
        <v>860</v>
      </c>
      <c r="O13" s="15">
        <v>991</v>
      </c>
      <c r="P13" s="19">
        <v>921.07100000000003</v>
      </c>
      <c r="Q13" s="18">
        <v>19.024999999999999</v>
      </c>
      <c r="R13" s="20">
        <v>7.0730000000000001E-2</v>
      </c>
      <c r="S13" s="20">
        <v>4.9889999999999997E-2</v>
      </c>
      <c r="T13" s="20">
        <v>4.8399999999999999E-2</v>
      </c>
      <c r="U13" s="15">
        <v>251</v>
      </c>
      <c r="V13" s="15">
        <v>251</v>
      </c>
      <c r="W13" s="15">
        <v>877</v>
      </c>
      <c r="X13" s="15">
        <v>974</v>
      </c>
      <c r="Y13" s="15">
        <v>925.08299999999997</v>
      </c>
      <c r="Z13" s="15">
        <v>15.491</v>
      </c>
      <c r="AA13" s="20">
        <v>5.2859999999999997E-2</v>
      </c>
      <c r="AB13" s="20">
        <v>3.8760000000000003E-2</v>
      </c>
      <c r="AC13" s="20">
        <v>3.9410000000000001E-2</v>
      </c>
      <c r="AD13" s="18">
        <v>88.004090073735128</v>
      </c>
      <c r="AE13" s="15"/>
    </row>
    <row r="14" spans="2:31" x14ac:dyDescent="0.25">
      <c r="B14" s="15" t="s">
        <v>48</v>
      </c>
      <c r="C14" s="16">
        <v>42437</v>
      </c>
      <c r="D14" s="24">
        <v>0.63460648148148147</v>
      </c>
      <c r="E14" s="15" t="s">
        <v>49</v>
      </c>
      <c r="F14" s="15">
        <v>109.8</v>
      </c>
      <c r="G14" s="15">
        <v>134.19999999999999</v>
      </c>
      <c r="H14" s="15" t="s">
        <v>50</v>
      </c>
      <c r="I14" s="41">
        <v>3000040</v>
      </c>
      <c r="J14" s="15">
        <v>174</v>
      </c>
      <c r="K14" s="15">
        <v>6.4320000000000004</v>
      </c>
      <c r="L14" s="15">
        <v>334</v>
      </c>
      <c r="M14" s="15">
        <v>334</v>
      </c>
      <c r="N14" s="15">
        <v>841</v>
      </c>
      <c r="O14" s="15">
        <v>987</v>
      </c>
      <c r="P14" s="19">
        <v>920.74300000000005</v>
      </c>
      <c r="Q14" s="18">
        <v>19.553000000000001</v>
      </c>
      <c r="R14" s="20">
        <v>8.0259999999999998E-2</v>
      </c>
      <c r="S14" s="20">
        <v>4.249E-2</v>
      </c>
      <c r="T14" s="20">
        <v>5.0639999999999998E-2</v>
      </c>
      <c r="U14" s="15">
        <v>251</v>
      </c>
      <c r="V14" s="15">
        <v>251</v>
      </c>
      <c r="W14" s="15">
        <v>882</v>
      </c>
      <c r="X14" s="15">
        <v>967</v>
      </c>
      <c r="Y14" s="15">
        <v>925.00199999999995</v>
      </c>
      <c r="Z14" s="15">
        <v>14.944000000000001</v>
      </c>
      <c r="AA14" s="20">
        <v>4.6030000000000001E-2</v>
      </c>
      <c r="AB14" s="20">
        <v>2.9250000000000002E-2</v>
      </c>
      <c r="AC14" s="20">
        <v>4.5190000000000001E-2</v>
      </c>
      <c r="AD14" s="18">
        <v>87.721734245644029</v>
      </c>
      <c r="AE14" s="15"/>
    </row>
    <row r="15" spans="2:31" x14ac:dyDescent="0.25">
      <c r="B15" s="15" t="s">
        <v>48</v>
      </c>
      <c r="C15" s="16">
        <v>42439</v>
      </c>
      <c r="D15" s="24">
        <v>0.46328703703703705</v>
      </c>
      <c r="E15" s="15" t="s">
        <v>49</v>
      </c>
      <c r="F15" s="15">
        <v>109.8</v>
      </c>
      <c r="G15" s="15">
        <v>134.19999999999999</v>
      </c>
      <c r="H15" s="15" t="s">
        <v>50</v>
      </c>
      <c r="I15" s="41">
        <v>3000047</v>
      </c>
      <c r="J15" s="15">
        <v>174</v>
      </c>
      <c r="K15" s="15">
        <v>6.4320000000000004</v>
      </c>
      <c r="L15" s="15">
        <v>334</v>
      </c>
      <c r="M15" s="15">
        <v>334</v>
      </c>
      <c r="N15" s="15">
        <v>852</v>
      </c>
      <c r="O15" s="15">
        <v>991</v>
      </c>
      <c r="P15" s="19">
        <v>920.99599999999998</v>
      </c>
      <c r="Q15" s="18">
        <v>18.715</v>
      </c>
      <c r="R15" s="20">
        <v>7.5249999999999997E-2</v>
      </c>
      <c r="S15" s="20">
        <v>4.0300000000000002E-2</v>
      </c>
      <c r="T15" s="20">
        <v>5.568E-2</v>
      </c>
      <c r="U15" s="15">
        <v>251</v>
      </c>
      <c r="V15" s="15">
        <v>251</v>
      </c>
      <c r="W15" s="15">
        <v>878</v>
      </c>
      <c r="X15" s="15">
        <v>984</v>
      </c>
      <c r="Y15" s="15">
        <v>925.19200000000001</v>
      </c>
      <c r="Z15" s="15">
        <v>15.065</v>
      </c>
      <c r="AA15" s="20">
        <v>5.6809999999999999E-2</v>
      </c>
      <c r="AB15" s="20">
        <v>3.32E-2</v>
      </c>
      <c r="AC15" s="20">
        <v>4.2950000000000002E-2</v>
      </c>
      <c r="AD15" s="18">
        <v>88.170599974289686</v>
      </c>
      <c r="AE15" s="15"/>
    </row>
    <row r="16" spans="2:31" x14ac:dyDescent="0.25">
      <c r="B16" s="15" t="s">
        <v>48</v>
      </c>
      <c r="C16" s="16">
        <v>42444</v>
      </c>
      <c r="D16" s="24">
        <v>0.35951388888888891</v>
      </c>
      <c r="E16" s="15" t="s">
        <v>49</v>
      </c>
      <c r="F16" s="15">
        <v>109.8</v>
      </c>
      <c r="G16" s="15">
        <v>134.19999999999999</v>
      </c>
      <c r="H16" s="15" t="s">
        <v>50</v>
      </c>
      <c r="I16" s="41">
        <v>3000048</v>
      </c>
      <c r="J16" s="15">
        <v>177</v>
      </c>
      <c r="K16" s="15">
        <v>6.4320000000000004</v>
      </c>
      <c r="L16" s="15">
        <v>334</v>
      </c>
      <c r="M16" s="15">
        <v>334</v>
      </c>
      <c r="N16" s="15">
        <v>842</v>
      </c>
      <c r="O16" s="15">
        <v>1000</v>
      </c>
      <c r="P16" s="19">
        <v>921.49800000000005</v>
      </c>
      <c r="Q16" s="18">
        <v>19.425999999999998</v>
      </c>
      <c r="R16" s="20">
        <v>8.5589999999999999E-2</v>
      </c>
      <c r="S16" s="20">
        <v>5.6329999999999998E-2</v>
      </c>
      <c r="T16" s="20">
        <v>5.3100000000000001E-2</v>
      </c>
      <c r="U16" s="15">
        <v>251</v>
      </c>
      <c r="V16" s="15">
        <v>251</v>
      </c>
      <c r="W16" s="15">
        <v>880</v>
      </c>
      <c r="X16" s="15">
        <v>983</v>
      </c>
      <c r="Y16" s="15">
        <v>925.51499999999999</v>
      </c>
      <c r="Z16" s="15">
        <v>15.154</v>
      </c>
      <c r="AA16" s="20">
        <v>5.5599999999999997E-2</v>
      </c>
      <c r="AB16" s="20">
        <v>4.258E-2</v>
      </c>
      <c r="AC16" s="20">
        <v>4.045E-2</v>
      </c>
      <c r="AD16" s="18">
        <v>87.788748313191405</v>
      </c>
      <c r="AE16" s="15"/>
    </row>
    <row r="17" spans="2:31" x14ac:dyDescent="0.25">
      <c r="B17" s="15" t="s">
        <v>48</v>
      </c>
      <c r="C17" s="16">
        <v>42447</v>
      </c>
      <c r="D17" s="24">
        <v>0.31935185185185183</v>
      </c>
      <c r="E17" s="15" t="s">
        <v>49</v>
      </c>
      <c r="F17" s="15">
        <v>109.8</v>
      </c>
      <c r="G17" s="15">
        <v>134.19999999999999</v>
      </c>
      <c r="H17" s="15" t="s">
        <v>50</v>
      </c>
      <c r="I17" s="41">
        <v>3000037</v>
      </c>
      <c r="J17" s="15">
        <v>178</v>
      </c>
      <c r="K17" s="15">
        <v>6.4320000000000004</v>
      </c>
      <c r="L17" s="15">
        <v>334</v>
      </c>
      <c r="M17" s="15">
        <v>334</v>
      </c>
      <c r="N17" s="15">
        <v>840</v>
      </c>
      <c r="O17" s="15">
        <v>987</v>
      </c>
      <c r="P17" s="19">
        <v>921.33799999999997</v>
      </c>
      <c r="Q17" s="18">
        <v>19.190000000000001</v>
      </c>
      <c r="R17" s="20">
        <v>8.0390000000000003E-2</v>
      </c>
      <c r="S17" s="20">
        <v>4.8660000000000002E-2</v>
      </c>
      <c r="T17" s="20">
        <v>5.738E-2</v>
      </c>
      <c r="U17" s="15">
        <v>251</v>
      </c>
      <c r="V17" s="15">
        <v>251</v>
      </c>
      <c r="W17" s="15">
        <v>879</v>
      </c>
      <c r="X17" s="15">
        <v>971</v>
      </c>
      <c r="Y17" s="15">
        <v>925.23400000000004</v>
      </c>
      <c r="Z17" s="15">
        <v>15.226000000000001</v>
      </c>
      <c r="AA17" s="20">
        <v>4.9790000000000001E-2</v>
      </c>
      <c r="AB17" s="20">
        <v>3.9280000000000002E-2</v>
      </c>
      <c r="AC17" s="20">
        <v>4.1090000000000002E-2</v>
      </c>
      <c r="AD17" s="18">
        <v>87.965806560109996</v>
      </c>
      <c r="AE17" s="15"/>
    </row>
    <row r="18" spans="2:31" x14ac:dyDescent="0.25">
      <c r="B18" s="15" t="s">
        <v>48</v>
      </c>
      <c r="C18" s="16">
        <v>42461</v>
      </c>
      <c r="D18" s="24">
        <v>0.32980324074074074</v>
      </c>
      <c r="E18" s="15" t="s">
        <v>49</v>
      </c>
      <c r="F18" s="15">
        <v>109.8</v>
      </c>
      <c r="G18" s="15">
        <v>134.19999999999999</v>
      </c>
      <c r="H18" s="15" t="s">
        <v>50</v>
      </c>
      <c r="I18" s="41">
        <v>3000033</v>
      </c>
      <c r="J18" s="15">
        <v>184</v>
      </c>
      <c r="K18" s="15">
        <v>6.4320000000000004</v>
      </c>
      <c r="L18" s="15">
        <v>334</v>
      </c>
      <c r="M18" s="15">
        <v>334</v>
      </c>
      <c r="N18" s="15">
        <v>842</v>
      </c>
      <c r="O18" s="15">
        <v>985</v>
      </c>
      <c r="P18" s="19">
        <v>921.65599999999995</v>
      </c>
      <c r="Q18" s="18">
        <v>18.927</v>
      </c>
      <c r="R18" s="20">
        <v>7.8520000000000006E-2</v>
      </c>
      <c r="S18" s="20">
        <v>4.6059999999999997E-2</v>
      </c>
      <c r="T18" s="20">
        <v>4.9230000000000003E-2</v>
      </c>
      <c r="U18" s="15">
        <v>251</v>
      </c>
      <c r="V18" s="15">
        <v>251</v>
      </c>
      <c r="W18" s="15">
        <v>880</v>
      </c>
      <c r="X18" s="15">
        <v>979</v>
      </c>
      <c r="Y18" s="15">
        <v>925.41200000000003</v>
      </c>
      <c r="Z18" s="15">
        <v>14.965999999999999</v>
      </c>
      <c r="AA18" s="20">
        <v>5.3469999999999997E-2</v>
      </c>
      <c r="AB18" s="20">
        <v>3.8960000000000002E-2</v>
      </c>
      <c r="AC18" s="20">
        <v>3.7100000000000001E-2</v>
      </c>
      <c r="AD18" s="18">
        <v>88.191048328221697</v>
      </c>
      <c r="AE18" s="15"/>
    </row>
    <row r="19" spans="2:31" x14ac:dyDescent="0.25">
      <c r="B19" s="15" t="s">
        <v>48</v>
      </c>
      <c r="C19" s="16">
        <v>42468</v>
      </c>
      <c r="D19" s="24">
        <v>0.3324537037037037</v>
      </c>
      <c r="E19" s="15" t="s">
        <v>49</v>
      </c>
      <c r="F19" s="15">
        <v>109.8</v>
      </c>
      <c r="G19" s="15">
        <v>134.19999999999999</v>
      </c>
      <c r="H19" s="15" t="s">
        <v>50</v>
      </c>
      <c r="I19" s="41">
        <v>3000038</v>
      </c>
      <c r="J19" s="15">
        <v>187</v>
      </c>
      <c r="K19" s="15">
        <v>6.4320000000000004</v>
      </c>
      <c r="L19" s="15">
        <v>334</v>
      </c>
      <c r="M19" s="15">
        <v>334</v>
      </c>
      <c r="N19" s="15">
        <v>850</v>
      </c>
      <c r="O19" s="15">
        <v>983</v>
      </c>
      <c r="P19" s="19">
        <v>920.77300000000002</v>
      </c>
      <c r="Q19" s="18">
        <v>18.847999999999999</v>
      </c>
      <c r="R19" s="20">
        <v>7.2429999999999994E-2</v>
      </c>
      <c r="S19" s="20">
        <v>4.2540000000000001E-2</v>
      </c>
      <c r="T19" s="20">
        <v>6.6000000000000003E-2</v>
      </c>
      <c r="U19" s="15">
        <v>251</v>
      </c>
      <c r="V19" s="15">
        <v>251</v>
      </c>
      <c r="W19" s="15">
        <v>870</v>
      </c>
      <c r="X19" s="15">
        <v>983</v>
      </c>
      <c r="Y19" s="15">
        <v>924.59100000000001</v>
      </c>
      <c r="Z19" s="15">
        <v>15.103</v>
      </c>
      <c r="AA19" s="20">
        <v>6.0609999999999997E-2</v>
      </c>
      <c r="AB19" s="20">
        <v>4.2540000000000001E-2</v>
      </c>
      <c r="AC19" s="20">
        <v>4.0050000000000002E-2</v>
      </c>
      <c r="AD19" s="18">
        <v>88.339706751576827</v>
      </c>
      <c r="AE19" s="15"/>
    </row>
    <row r="20" spans="2:31" x14ac:dyDescent="0.25">
      <c r="B20" s="15" t="s">
        <v>48</v>
      </c>
      <c r="C20" s="16">
        <v>42482</v>
      </c>
      <c r="D20" s="24">
        <v>0.3309375</v>
      </c>
      <c r="E20" s="15" t="s">
        <v>49</v>
      </c>
      <c r="F20" s="15">
        <v>109.8</v>
      </c>
      <c r="G20" s="15">
        <v>134.19999999999999</v>
      </c>
      <c r="H20" s="15" t="s">
        <v>50</v>
      </c>
      <c r="I20" s="41">
        <v>3000039</v>
      </c>
      <c r="J20" s="15">
        <v>194</v>
      </c>
      <c r="K20" s="15">
        <v>6.4320000000000004</v>
      </c>
      <c r="L20" s="15">
        <v>334</v>
      </c>
      <c r="M20" s="15">
        <v>334</v>
      </c>
      <c r="N20" s="15">
        <v>856</v>
      </c>
      <c r="O20" s="15">
        <v>996</v>
      </c>
      <c r="P20" s="19">
        <v>920.96500000000003</v>
      </c>
      <c r="Q20" s="18">
        <v>18.384</v>
      </c>
      <c r="R20" s="20">
        <v>7.5209999999999999E-2</v>
      </c>
      <c r="S20" s="20">
        <v>4.4580000000000002E-2</v>
      </c>
      <c r="T20" s="20">
        <v>5.3159999999999999E-2</v>
      </c>
      <c r="U20" s="15">
        <v>251</v>
      </c>
      <c r="V20" s="15">
        <v>251</v>
      </c>
      <c r="W20" s="15">
        <v>881</v>
      </c>
      <c r="X20" s="15">
        <v>976</v>
      </c>
      <c r="Y20" s="15">
        <v>924.16300000000001</v>
      </c>
      <c r="Z20" s="15">
        <v>14.677</v>
      </c>
      <c r="AA20" s="20">
        <v>5.1299999999999998E-2</v>
      </c>
      <c r="AB20" s="20">
        <v>3.6790000000000003E-2</v>
      </c>
      <c r="AC20" s="20">
        <v>3.6799999999999999E-2</v>
      </c>
      <c r="AD20" s="18">
        <v>88.248024139446215</v>
      </c>
      <c r="AE20" s="15"/>
    </row>
    <row r="21" spans="2:31" x14ac:dyDescent="0.25">
      <c r="B21" s="15" t="s">
        <v>48</v>
      </c>
      <c r="C21" s="16">
        <v>42486</v>
      </c>
      <c r="D21" s="24">
        <v>0.4274074074074074</v>
      </c>
      <c r="E21" s="15" t="s">
        <v>49</v>
      </c>
      <c r="F21" s="15">
        <v>109.8</v>
      </c>
      <c r="G21" s="15">
        <v>134.19999999999999</v>
      </c>
      <c r="H21" s="15" t="s">
        <v>50</v>
      </c>
      <c r="I21" s="41">
        <v>3000038</v>
      </c>
      <c r="J21" s="15">
        <v>196</v>
      </c>
      <c r="K21" s="15">
        <v>6.4320000000000004</v>
      </c>
      <c r="L21" s="15">
        <v>334</v>
      </c>
      <c r="M21" s="15">
        <v>334</v>
      </c>
      <c r="N21" s="15">
        <v>858</v>
      </c>
      <c r="O21" s="15">
        <v>990</v>
      </c>
      <c r="P21" s="19">
        <v>921.33799999999997</v>
      </c>
      <c r="Q21" s="18">
        <v>18.773</v>
      </c>
      <c r="R21" s="20">
        <v>7.1650000000000005E-2</v>
      </c>
      <c r="S21" s="20">
        <v>4.548E-2</v>
      </c>
      <c r="T21" s="20">
        <v>4.7350000000000003E-2</v>
      </c>
      <c r="U21" s="15">
        <v>251</v>
      </c>
      <c r="V21" s="15">
        <v>251</v>
      </c>
      <c r="W21" s="15">
        <v>882</v>
      </c>
      <c r="X21" s="15">
        <v>970</v>
      </c>
      <c r="Y21" s="15">
        <v>924.22699999999998</v>
      </c>
      <c r="Z21" s="15">
        <v>14.359</v>
      </c>
      <c r="AA21" s="20">
        <v>4.7750000000000001E-2</v>
      </c>
      <c r="AB21" s="20">
        <v>4.1020000000000001E-2</v>
      </c>
      <c r="AC21" s="20">
        <v>4.1640000000000003E-2</v>
      </c>
      <c r="AD21" s="18">
        <v>88.243281849091218</v>
      </c>
      <c r="AE21" s="15"/>
    </row>
    <row r="22" spans="2:31" x14ac:dyDescent="0.25">
      <c r="B22" s="15" t="s">
        <v>48</v>
      </c>
      <c r="C22" s="16">
        <v>42489</v>
      </c>
      <c r="D22" s="24">
        <v>0.32447916666666665</v>
      </c>
      <c r="E22" s="15" t="s">
        <v>49</v>
      </c>
      <c r="F22" s="15">
        <v>109.8</v>
      </c>
      <c r="G22" s="15">
        <v>134.19999999999999</v>
      </c>
      <c r="H22" s="15" t="s">
        <v>50</v>
      </c>
      <c r="I22" s="41">
        <v>3000051</v>
      </c>
      <c r="J22" s="15">
        <v>197</v>
      </c>
      <c r="K22" s="15">
        <v>6.4320000000000004</v>
      </c>
      <c r="L22" s="15">
        <v>334</v>
      </c>
      <c r="M22" s="15">
        <v>334</v>
      </c>
      <c r="N22" s="15">
        <v>856</v>
      </c>
      <c r="O22" s="15">
        <v>990</v>
      </c>
      <c r="P22" s="19">
        <v>920.00099999999998</v>
      </c>
      <c r="Q22" s="18">
        <v>18.891999999999999</v>
      </c>
      <c r="R22" s="20">
        <v>7.2739999999999999E-2</v>
      </c>
      <c r="S22" s="20">
        <v>5.425E-2</v>
      </c>
      <c r="T22" s="20">
        <v>4.7070000000000001E-2</v>
      </c>
      <c r="U22" s="15">
        <v>251</v>
      </c>
      <c r="V22" s="15">
        <v>251</v>
      </c>
      <c r="W22" s="15">
        <v>867</v>
      </c>
      <c r="X22" s="15">
        <v>969</v>
      </c>
      <c r="Y22" s="15">
        <v>924.38599999999997</v>
      </c>
      <c r="Z22" s="15">
        <v>15.702999999999999</v>
      </c>
      <c r="AA22" s="20">
        <v>5.5919999999999997E-2</v>
      </c>
      <c r="AB22" s="20">
        <v>3.6760000000000001E-2</v>
      </c>
      <c r="AC22" s="20">
        <v>3.5349999999999999E-2</v>
      </c>
      <c r="AD22" s="18">
        <v>88.470145021203464</v>
      </c>
      <c r="AE22" s="15"/>
    </row>
    <row r="23" spans="2:31" x14ac:dyDescent="0.25">
      <c r="B23" s="15" t="s">
        <v>48</v>
      </c>
      <c r="C23" s="16">
        <v>42500</v>
      </c>
      <c r="D23" s="24">
        <v>0.35312499999999997</v>
      </c>
      <c r="E23" s="15" t="s">
        <v>49</v>
      </c>
      <c r="F23" s="15">
        <v>109.8</v>
      </c>
      <c r="G23" s="15">
        <v>134.19999999999999</v>
      </c>
      <c r="H23" s="15" t="s">
        <v>50</v>
      </c>
      <c r="I23" s="41">
        <v>3000034</v>
      </c>
      <c r="J23" s="15">
        <v>203</v>
      </c>
      <c r="K23" s="15">
        <v>6.4320000000000004</v>
      </c>
      <c r="L23" s="15">
        <v>334</v>
      </c>
      <c r="M23" s="15">
        <v>334</v>
      </c>
      <c r="N23" s="15">
        <v>858</v>
      </c>
      <c r="O23" s="15">
        <v>984</v>
      </c>
      <c r="P23" s="19">
        <v>921.04399999999998</v>
      </c>
      <c r="Q23" s="18">
        <v>19.007000000000001</v>
      </c>
      <c r="R23" s="20">
        <v>6.8659999999999999E-2</v>
      </c>
      <c r="S23" s="20">
        <v>5.0090000000000003E-2</v>
      </c>
      <c r="T23" s="20">
        <v>4.7230000000000001E-2</v>
      </c>
      <c r="U23" s="15">
        <v>251</v>
      </c>
      <c r="V23" s="15">
        <v>251</v>
      </c>
      <c r="W23" s="15">
        <v>872</v>
      </c>
      <c r="X23" s="15">
        <v>969</v>
      </c>
      <c r="Y23" s="15">
        <v>924.40899999999999</v>
      </c>
      <c r="Z23" s="15">
        <v>14.991</v>
      </c>
      <c r="AA23" s="20">
        <v>5.2729999999999999E-2</v>
      </c>
      <c r="AB23" s="20">
        <v>3.7670000000000002E-2</v>
      </c>
      <c r="AC23" s="20">
        <v>4.2700000000000002E-2</v>
      </c>
      <c r="AD23" s="18">
        <v>88.297848533931599</v>
      </c>
      <c r="AE23" s="15"/>
    </row>
    <row r="24" spans="2:31" x14ac:dyDescent="0.25">
      <c r="B24" s="15" t="s">
        <v>48</v>
      </c>
      <c r="C24" s="16">
        <v>42503</v>
      </c>
      <c r="D24" s="24">
        <v>0.33175925925925925</v>
      </c>
      <c r="E24" s="15" t="s">
        <v>49</v>
      </c>
      <c r="F24" s="15">
        <v>109.8</v>
      </c>
      <c r="G24" s="15">
        <v>134.19999999999999</v>
      </c>
      <c r="H24" s="15" t="s">
        <v>50</v>
      </c>
      <c r="I24" s="41">
        <v>3000036</v>
      </c>
      <c r="J24" s="15">
        <v>204</v>
      </c>
      <c r="K24" s="15">
        <v>6.4320000000000004</v>
      </c>
      <c r="L24" s="15">
        <v>334</v>
      </c>
      <c r="M24" s="15">
        <v>334</v>
      </c>
      <c r="N24" s="15">
        <v>844</v>
      </c>
      <c r="O24" s="15">
        <v>979</v>
      </c>
      <c r="P24" s="19">
        <v>920.94899999999996</v>
      </c>
      <c r="Q24" s="18">
        <v>18.672000000000001</v>
      </c>
      <c r="R24" s="20">
        <v>7.424E-2</v>
      </c>
      <c r="S24" s="20">
        <v>4.5469999999999997E-2</v>
      </c>
      <c r="T24" s="20">
        <v>4.4510000000000001E-2</v>
      </c>
      <c r="U24" s="15">
        <v>251</v>
      </c>
      <c r="V24" s="15">
        <v>251</v>
      </c>
      <c r="W24" s="15">
        <v>870</v>
      </c>
      <c r="X24" s="15">
        <v>965</v>
      </c>
      <c r="Y24" s="15">
        <v>924.46500000000003</v>
      </c>
      <c r="Z24" s="15">
        <v>14.648999999999999</v>
      </c>
      <c r="AA24" s="20">
        <v>5.1909999999999998E-2</v>
      </c>
      <c r="AB24" s="20">
        <v>4.0030000000000003E-2</v>
      </c>
      <c r="AC24" s="20">
        <v>4.2840000000000003E-2</v>
      </c>
      <c r="AD24" s="18">
        <v>88.540025396583175</v>
      </c>
      <c r="AE24" s="15"/>
    </row>
    <row r="25" spans="2:31" x14ac:dyDescent="0.25">
      <c r="B25" s="15" t="s">
        <v>48</v>
      </c>
      <c r="C25" s="16">
        <v>42510</v>
      </c>
      <c r="D25" s="24">
        <v>0.32611111111111107</v>
      </c>
      <c r="E25" s="15" t="s">
        <v>49</v>
      </c>
      <c r="F25" s="15">
        <v>109.8</v>
      </c>
      <c r="G25" s="15">
        <v>134.19999999999999</v>
      </c>
      <c r="H25" s="15" t="s">
        <v>50</v>
      </c>
      <c r="I25" s="41">
        <v>3000038</v>
      </c>
      <c r="J25" s="15">
        <v>208</v>
      </c>
      <c r="K25" s="15">
        <v>6.4320000000000004</v>
      </c>
      <c r="L25" s="15">
        <v>334</v>
      </c>
      <c r="M25" s="15">
        <v>334</v>
      </c>
      <c r="N25" s="15">
        <v>849</v>
      </c>
      <c r="O25" s="15">
        <v>987</v>
      </c>
      <c r="P25" s="19">
        <v>921.18499999999995</v>
      </c>
      <c r="Q25" s="18">
        <v>18.544</v>
      </c>
      <c r="R25" s="20">
        <v>7.485E-2</v>
      </c>
      <c r="S25" s="20">
        <v>4.1880000000000001E-2</v>
      </c>
      <c r="T25" s="20">
        <v>5.2319999999999998E-2</v>
      </c>
      <c r="U25" s="15">
        <v>251</v>
      </c>
      <c r="V25" s="15">
        <v>251</v>
      </c>
      <c r="W25" s="15">
        <v>868</v>
      </c>
      <c r="X25" s="15">
        <v>973</v>
      </c>
      <c r="Y25" s="15">
        <v>924.85699999999997</v>
      </c>
      <c r="Z25" s="15">
        <v>14.631</v>
      </c>
      <c r="AA25" s="20">
        <v>5.7160000000000002E-2</v>
      </c>
      <c r="AB25" s="20">
        <v>3.8179999999999999E-2</v>
      </c>
      <c r="AC25" s="20">
        <v>3.9239999999999997E-2</v>
      </c>
      <c r="AD25" s="18">
        <v>88.401833393728552</v>
      </c>
      <c r="AE25" s="15"/>
    </row>
    <row r="26" spans="2:31" x14ac:dyDescent="0.25">
      <c r="B26" s="15" t="s">
        <v>48</v>
      </c>
      <c r="C26" s="16">
        <v>42517</v>
      </c>
      <c r="D26" s="24">
        <v>0.32778935185185182</v>
      </c>
      <c r="E26" s="15" t="s">
        <v>49</v>
      </c>
      <c r="F26" s="15">
        <v>109.8</v>
      </c>
      <c r="G26" s="15">
        <v>134.19999999999999</v>
      </c>
      <c r="H26" s="15" t="s">
        <v>50</v>
      </c>
      <c r="I26" s="41">
        <v>3000033</v>
      </c>
      <c r="J26" s="15">
        <v>211</v>
      </c>
      <c r="K26" s="15">
        <v>6.4320000000000004</v>
      </c>
      <c r="L26" s="15">
        <v>334</v>
      </c>
      <c r="M26" s="15">
        <v>334</v>
      </c>
      <c r="N26" s="15">
        <v>853</v>
      </c>
      <c r="O26" s="15">
        <v>987</v>
      </c>
      <c r="P26" s="19">
        <v>920.74599999999998</v>
      </c>
      <c r="Q26" s="18">
        <v>18.658999999999999</v>
      </c>
      <c r="R26" s="20">
        <v>7.2849999999999998E-2</v>
      </c>
      <c r="S26" s="20">
        <v>4.4249999999999998E-2</v>
      </c>
      <c r="T26" s="20">
        <v>4.6960000000000002E-2</v>
      </c>
      <c r="U26" s="15">
        <v>251</v>
      </c>
      <c r="V26" s="15">
        <v>251</v>
      </c>
      <c r="W26" s="15">
        <v>876</v>
      </c>
      <c r="X26" s="15">
        <v>972</v>
      </c>
      <c r="Y26" s="15">
        <v>923.71299999999997</v>
      </c>
      <c r="Z26" s="15">
        <v>15.206</v>
      </c>
      <c r="AA26" s="20">
        <v>5.2109999999999997E-2</v>
      </c>
      <c r="AB26" s="20">
        <v>3.5810000000000002E-2</v>
      </c>
      <c r="AC26" s="20">
        <v>4.641E-2</v>
      </c>
      <c r="AD26" s="18">
        <v>88.714770992570536</v>
      </c>
      <c r="AE26" s="15"/>
    </row>
    <row r="27" spans="2:31" x14ac:dyDescent="0.25">
      <c r="B27" s="15" t="s">
        <v>48</v>
      </c>
      <c r="C27" s="16">
        <v>42524</v>
      </c>
      <c r="D27" s="24">
        <v>0.33361111111111108</v>
      </c>
      <c r="E27" s="15" t="s">
        <v>49</v>
      </c>
      <c r="F27" s="15">
        <v>109.8</v>
      </c>
      <c r="G27" s="15">
        <v>134.19999999999999</v>
      </c>
      <c r="H27" s="15" t="s">
        <v>50</v>
      </c>
      <c r="I27" s="41">
        <v>3000033</v>
      </c>
      <c r="J27" s="15">
        <v>215</v>
      </c>
      <c r="K27" s="15">
        <v>6.4320000000000004</v>
      </c>
      <c r="L27" s="15">
        <v>334</v>
      </c>
      <c r="M27" s="15">
        <v>334</v>
      </c>
      <c r="N27" s="15">
        <v>854</v>
      </c>
      <c r="O27" s="15">
        <v>987</v>
      </c>
      <c r="P27" s="19">
        <v>920.50800000000004</v>
      </c>
      <c r="Q27" s="18">
        <v>18.167999999999999</v>
      </c>
      <c r="R27" s="20">
        <v>7.2169999999999998E-2</v>
      </c>
      <c r="S27" s="20">
        <v>4.9329999999999999E-2</v>
      </c>
      <c r="T27" s="20">
        <v>4.7640000000000002E-2</v>
      </c>
      <c r="U27" s="15">
        <v>251</v>
      </c>
      <c r="V27" s="15">
        <v>251</v>
      </c>
      <c r="W27" s="15">
        <v>882</v>
      </c>
      <c r="X27" s="15">
        <v>970</v>
      </c>
      <c r="Y27" s="15">
        <v>923.97</v>
      </c>
      <c r="Z27" s="15">
        <v>14.721</v>
      </c>
      <c r="AA27" s="20">
        <v>4.7120000000000002E-2</v>
      </c>
      <c r="AB27" s="20">
        <v>3.3399999999999999E-2</v>
      </c>
      <c r="AC27" s="20">
        <v>3.8159999999999999E-2</v>
      </c>
      <c r="AD27" s="18">
        <v>88.632793823009948</v>
      </c>
      <c r="AE27" s="15"/>
    </row>
    <row r="28" spans="2:31" x14ac:dyDescent="0.25">
      <c r="B28" s="15" t="s">
        <v>48</v>
      </c>
      <c r="C28" s="16">
        <v>42528</v>
      </c>
      <c r="D28" s="24">
        <v>0.33697916666666666</v>
      </c>
      <c r="E28" s="15" t="s">
        <v>49</v>
      </c>
      <c r="F28" s="15">
        <v>109.8</v>
      </c>
      <c r="G28" s="15">
        <v>134.19999999999999</v>
      </c>
      <c r="H28" s="15" t="s">
        <v>50</v>
      </c>
      <c r="I28" s="41">
        <v>3000036</v>
      </c>
      <c r="J28" s="15">
        <v>217</v>
      </c>
      <c r="K28" s="15">
        <v>6.4320000000000004</v>
      </c>
      <c r="L28" s="15">
        <v>334</v>
      </c>
      <c r="M28" s="15">
        <v>334</v>
      </c>
      <c r="N28" s="15">
        <v>846</v>
      </c>
      <c r="O28" s="15">
        <v>993</v>
      </c>
      <c r="P28" s="19">
        <v>920.43299999999999</v>
      </c>
      <c r="Q28" s="18">
        <v>17.984999999999999</v>
      </c>
      <c r="R28" s="20">
        <v>7.9880000000000007E-2</v>
      </c>
      <c r="S28" s="20">
        <v>5.4280000000000002E-2</v>
      </c>
      <c r="T28" s="20">
        <v>4.7120000000000002E-2</v>
      </c>
      <c r="U28" s="15">
        <v>251</v>
      </c>
      <c r="V28" s="15">
        <v>251</v>
      </c>
      <c r="W28" s="15">
        <v>880</v>
      </c>
      <c r="X28" s="15">
        <v>993</v>
      </c>
      <c r="Y28" s="15">
        <v>924.12099999999998</v>
      </c>
      <c r="Z28" s="15">
        <v>15.685</v>
      </c>
      <c r="AA28" s="20">
        <v>6.0519999999999997E-2</v>
      </c>
      <c r="AB28" s="20">
        <v>3.7479999999999999E-2</v>
      </c>
      <c r="AC28" s="20">
        <v>4.2299999999999997E-2</v>
      </c>
      <c r="AD28" s="18">
        <v>88.716570856629858</v>
      </c>
      <c r="AE28" s="15"/>
    </row>
    <row r="29" spans="2:31" x14ac:dyDescent="0.25">
      <c r="B29" s="15" t="s">
        <v>48</v>
      </c>
      <c r="C29" s="16">
        <v>42535</v>
      </c>
      <c r="D29" s="24">
        <v>0.53796296296296298</v>
      </c>
      <c r="E29" s="15" t="s">
        <v>49</v>
      </c>
      <c r="F29" s="15">
        <v>109.8</v>
      </c>
      <c r="G29" s="15">
        <v>134.19999999999999</v>
      </c>
      <c r="H29" s="15" t="s">
        <v>50</v>
      </c>
      <c r="I29" s="41">
        <v>3000044</v>
      </c>
      <c r="J29" s="15">
        <v>221</v>
      </c>
      <c r="K29" s="15">
        <v>6.4320000000000004</v>
      </c>
      <c r="L29" s="15">
        <v>334</v>
      </c>
      <c r="M29" s="15">
        <v>334</v>
      </c>
      <c r="N29" s="15">
        <v>840</v>
      </c>
      <c r="O29" s="15">
        <v>982</v>
      </c>
      <c r="P29" s="19">
        <v>920.29300000000001</v>
      </c>
      <c r="Q29" s="18">
        <v>18.861999999999998</v>
      </c>
      <c r="R29" s="20">
        <v>7.757E-2</v>
      </c>
      <c r="S29" s="20">
        <v>4.6600000000000003E-2</v>
      </c>
      <c r="T29" s="20">
        <v>6.3250000000000001E-2</v>
      </c>
      <c r="U29" s="15">
        <v>251</v>
      </c>
      <c r="V29" s="15">
        <v>251</v>
      </c>
      <c r="W29" s="15">
        <v>874</v>
      </c>
      <c r="X29" s="15">
        <v>971</v>
      </c>
      <c r="Y29" s="15">
        <v>924.2</v>
      </c>
      <c r="Z29" s="15">
        <v>14.558999999999999</v>
      </c>
      <c r="AA29" s="20">
        <v>5.2859999999999997E-2</v>
      </c>
      <c r="AB29" s="20">
        <v>4.2189999999999998E-2</v>
      </c>
      <c r="AC29" s="20">
        <v>3.6990000000000002E-2</v>
      </c>
      <c r="AD29" s="18">
        <v>88.680446871560278</v>
      </c>
      <c r="AE29" s="15"/>
    </row>
    <row r="30" spans="2:31" x14ac:dyDescent="0.25">
      <c r="B30" s="15" t="s">
        <v>48</v>
      </c>
      <c r="C30" s="16">
        <v>42538</v>
      </c>
      <c r="D30" s="24">
        <v>0.33134259259259258</v>
      </c>
      <c r="E30" s="15" t="s">
        <v>49</v>
      </c>
      <c r="F30" s="15">
        <v>109.8</v>
      </c>
      <c r="G30" s="15">
        <v>134.19999999999999</v>
      </c>
      <c r="H30" s="15" t="s">
        <v>50</v>
      </c>
      <c r="I30" s="41">
        <v>3000032</v>
      </c>
      <c r="J30" s="15">
        <v>223</v>
      </c>
      <c r="K30" s="15">
        <v>6.4320000000000004</v>
      </c>
      <c r="L30" s="15">
        <v>334</v>
      </c>
      <c r="M30" s="15">
        <v>334</v>
      </c>
      <c r="N30" s="15">
        <v>858</v>
      </c>
      <c r="O30" s="15">
        <v>975</v>
      </c>
      <c r="P30" s="19">
        <v>920.54300000000001</v>
      </c>
      <c r="Q30" s="18">
        <v>17.234999999999999</v>
      </c>
      <c r="R30" s="20">
        <v>6.3399999999999998E-2</v>
      </c>
      <c r="S30" s="20">
        <v>4.2909999999999997E-2</v>
      </c>
      <c r="T30" s="20">
        <v>4.2520000000000002E-2</v>
      </c>
      <c r="U30" s="15">
        <v>251</v>
      </c>
      <c r="V30" s="15">
        <v>251</v>
      </c>
      <c r="W30" s="15">
        <v>878</v>
      </c>
      <c r="X30" s="15">
        <v>975</v>
      </c>
      <c r="Y30" s="15">
        <v>924.70399999999995</v>
      </c>
      <c r="Z30" s="15">
        <v>15.372999999999999</v>
      </c>
      <c r="AA30" s="20">
        <v>5.2240000000000002E-2</v>
      </c>
      <c r="AB30" s="20">
        <v>4.2909999999999997E-2</v>
      </c>
      <c r="AC30" s="20">
        <v>3.7810000000000003E-2</v>
      </c>
      <c r="AD30" s="18">
        <v>88.559857062179859</v>
      </c>
      <c r="AE30" s="15"/>
    </row>
    <row r="31" spans="2:31" x14ac:dyDescent="0.25">
      <c r="B31" s="15" t="s">
        <v>48</v>
      </c>
      <c r="C31" s="16">
        <v>42542</v>
      </c>
      <c r="D31" s="24">
        <v>0.34858796296296296</v>
      </c>
      <c r="E31" s="15" t="s">
        <v>49</v>
      </c>
      <c r="F31" s="15">
        <v>109.8</v>
      </c>
      <c r="G31" s="15">
        <v>134.19999999999999</v>
      </c>
      <c r="H31" s="15" t="s">
        <v>50</v>
      </c>
      <c r="I31" s="41">
        <v>3000025</v>
      </c>
      <c r="J31" s="15">
        <v>225</v>
      </c>
      <c r="K31" s="15">
        <v>6.4320000000000004</v>
      </c>
      <c r="L31" s="15">
        <v>334</v>
      </c>
      <c r="M31" s="15">
        <v>334</v>
      </c>
      <c r="N31" s="15">
        <v>854</v>
      </c>
      <c r="O31" s="15">
        <v>976</v>
      </c>
      <c r="P31" s="19">
        <v>920.82899999999995</v>
      </c>
      <c r="Q31" s="18">
        <v>18.683</v>
      </c>
      <c r="R31" s="20">
        <v>6.7000000000000004E-2</v>
      </c>
      <c r="S31" s="20">
        <v>4.0919999999999998E-2</v>
      </c>
      <c r="T31" s="20">
        <v>5.1639999999999998E-2</v>
      </c>
      <c r="U31" s="15">
        <v>251</v>
      </c>
      <c r="V31" s="15">
        <v>251</v>
      </c>
      <c r="W31" s="15">
        <v>873</v>
      </c>
      <c r="X31" s="15">
        <v>973</v>
      </c>
      <c r="Y31" s="15">
        <v>923.72</v>
      </c>
      <c r="Z31" s="15">
        <v>15.63</v>
      </c>
      <c r="AA31" s="20">
        <v>5.4440000000000002E-2</v>
      </c>
      <c r="AB31" s="20">
        <v>3.6940000000000001E-2</v>
      </c>
      <c r="AC31" s="20">
        <v>3.5979999999999998E-2</v>
      </c>
      <c r="AD31" s="18">
        <v>88.672588383999511</v>
      </c>
      <c r="AE31" s="15"/>
    </row>
    <row r="32" spans="2:31" x14ac:dyDescent="0.25">
      <c r="B32" s="15" t="s">
        <v>48</v>
      </c>
      <c r="C32" s="16">
        <v>42551</v>
      </c>
      <c r="D32" s="24">
        <v>0.33657407407407408</v>
      </c>
      <c r="E32" s="15" t="s">
        <v>49</v>
      </c>
      <c r="F32" s="15">
        <v>109.8</v>
      </c>
      <c r="G32" s="15">
        <v>134.19999999999999</v>
      </c>
      <c r="H32" s="15" t="s">
        <v>50</v>
      </c>
      <c r="I32" s="41">
        <v>3000026</v>
      </c>
      <c r="J32" s="15">
        <v>230</v>
      </c>
      <c r="K32" s="15">
        <v>6.4320000000000004</v>
      </c>
      <c r="L32" s="15">
        <v>334</v>
      </c>
      <c r="M32" s="15">
        <v>334</v>
      </c>
      <c r="N32" s="15">
        <v>857</v>
      </c>
      <c r="O32" s="15">
        <v>997</v>
      </c>
      <c r="P32" s="19">
        <v>920.35400000000004</v>
      </c>
      <c r="Q32" s="18">
        <v>18.385999999999999</v>
      </c>
      <c r="R32" s="20">
        <v>7.5359999999999996E-2</v>
      </c>
      <c r="S32" s="20">
        <v>4.7870000000000003E-2</v>
      </c>
      <c r="T32" s="20">
        <v>4.6829999999999997E-2</v>
      </c>
      <c r="U32" s="15">
        <v>251</v>
      </c>
      <c r="V32" s="15">
        <v>251</v>
      </c>
      <c r="W32" s="15">
        <v>857</v>
      </c>
      <c r="X32" s="15">
        <v>968</v>
      </c>
      <c r="Y32" s="15">
        <v>923.66099999999994</v>
      </c>
      <c r="Z32" s="15">
        <v>14.247</v>
      </c>
      <c r="AA32" s="20">
        <v>6.0979999999999999E-2</v>
      </c>
      <c r="AB32" s="20">
        <v>4.6859999999999999E-2</v>
      </c>
      <c r="AC32" s="20">
        <v>4.3270000000000003E-2</v>
      </c>
      <c r="AD32" s="18">
        <v>88.759387014407963</v>
      </c>
      <c r="AE32" s="15"/>
    </row>
    <row r="33" spans="2:31" x14ac:dyDescent="0.25">
      <c r="B33" s="15" t="s">
        <v>48</v>
      </c>
      <c r="C33" s="16">
        <v>42552</v>
      </c>
      <c r="D33" s="24">
        <v>0.32733796296296297</v>
      </c>
      <c r="E33" s="15" t="s">
        <v>49</v>
      </c>
      <c r="F33" s="15">
        <v>109.8</v>
      </c>
      <c r="G33" s="15">
        <v>134.19999999999999</v>
      </c>
      <c r="H33" s="15" t="s">
        <v>50</v>
      </c>
      <c r="I33" s="41">
        <v>3000039</v>
      </c>
      <c r="J33" s="15">
        <v>230</v>
      </c>
      <c r="K33" s="15">
        <v>6.4320000000000004</v>
      </c>
      <c r="L33" s="15">
        <v>334</v>
      </c>
      <c r="M33" s="15">
        <v>334</v>
      </c>
      <c r="N33" s="15">
        <v>854</v>
      </c>
      <c r="O33" s="15">
        <v>983</v>
      </c>
      <c r="P33" s="19">
        <v>920.678</v>
      </c>
      <c r="Q33" s="18">
        <v>18.385000000000002</v>
      </c>
      <c r="R33" s="20">
        <v>7.0400000000000004E-2</v>
      </c>
      <c r="S33" s="20">
        <v>4.616E-2</v>
      </c>
      <c r="T33" s="20">
        <v>4.4260000000000001E-2</v>
      </c>
      <c r="U33" s="15">
        <v>251</v>
      </c>
      <c r="V33" s="15">
        <v>251</v>
      </c>
      <c r="W33" s="15">
        <v>876</v>
      </c>
      <c r="X33" s="15">
        <v>969</v>
      </c>
      <c r="Y33" s="15">
        <v>923.61599999999999</v>
      </c>
      <c r="Z33" s="15">
        <v>14.066000000000001</v>
      </c>
      <c r="AA33" s="20">
        <v>5.0450000000000002E-2</v>
      </c>
      <c r="AB33" s="20">
        <v>3.6560000000000002E-2</v>
      </c>
      <c r="AC33" s="20">
        <v>3.7490000000000002E-2</v>
      </c>
      <c r="AD33" s="18">
        <v>88.986466706034207</v>
      </c>
      <c r="AE33" s="15"/>
    </row>
    <row r="34" spans="2:31" x14ac:dyDescent="0.25">
      <c r="B34" s="15" t="s">
        <v>48</v>
      </c>
      <c r="C34" s="16">
        <v>42559</v>
      </c>
      <c r="D34" s="24">
        <v>0.32734953703703701</v>
      </c>
      <c r="E34" s="15" t="s">
        <v>49</v>
      </c>
      <c r="F34" s="15">
        <v>109.8</v>
      </c>
      <c r="G34" s="15">
        <v>134.19999999999999</v>
      </c>
      <c r="H34" s="15" t="s">
        <v>50</v>
      </c>
      <c r="I34" s="41">
        <v>3000036</v>
      </c>
      <c r="J34" s="15">
        <v>234</v>
      </c>
      <c r="K34" s="15">
        <v>6.4320000000000004</v>
      </c>
      <c r="L34" s="15">
        <v>334</v>
      </c>
      <c r="M34" s="15">
        <v>334</v>
      </c>
      <c r="N34" s="15">
        <v>860</v>
      </c>
      <c r="O34" s="15">
        <v>983</v>
      </c>
      <c r="P34" s="19">
        <v>920.53800000000001</v>
      </c>
      <c r="Q34" s="18">
        <v>18.681000000000001</v>
      </c>
      <c r="R34" s="20">
        <v>6.6820000000000004E-2</v>
      </c>
      <c r="S34" s="20">
        <v>4.0239999999999998E-2</v>
      </c>
      <c r="T34" s="20">
        <v>5.4890000000000001E-2</v>
      </c>
      <c r="U34" s="15">
        <v>251</v>
      </c>
      <c r="V34" s="15">
        <v>251</v>
      </c>
      <c r="W34" s="15">
        <v>879</v>
      </c>
      <c r="X34" s="15">
        <v>974</v>
      </c>
      <c r="Y34" s="15">
        <v>922.86400000000003</v>
      </c>
      <c r="Z34" s="15">
        <v>15.099</v>
      </c>
      <c r="AA34" s="20">
        <v>5.1220000000000002E-2</v>
      </c>
      <c r="AB34" s="20">
        <v>3.8440000000000002E-2</v>
      </c>
      <c r="AC34" s="20">
        <v>3.9350000000000003E-2</v>
      </c>
      <c r="AD34" s="18">
        <v>89.040997211892588</v>
      </c>
      <c r="AE34" s="15"/>
    </row>
    <row r="35" spans="2:31" x14ac:dyDescent="0.25">
      <c r="B35" s="15" t="s">
        <v>48</v>
      </c>
      <c r="C35" s="16">
        <v>42564</v>
      </c>
      <c r="D35" s="24">
        <v>0.326087962962963</v>
      </c>
      <c r="E35" s="15" t="s">
        <v>49</v>
      </c>
      <c r="F35" s="15">
        <v>109.8</v>
      </c>
      <c r="G35" s="15">
        <v>134.19999999999999</v>
      </c>
      <c r="H35" s="15" t="s">
        <v>50</v>
      </c>
      <c r="I35" s="41">
        <v>3000035</v>
      </c>
      <c r="J35" s="15">
        <v>237</v>
      </c>
      <c r="K35" s="15">
        <v>6.4320000000000004</v>
      </c>
      <c r="L35" s="15">
        <v>334</v>
      </c>
      <c r="M35" s="15">
        <v>334</v>
      </c>
      <c r="N35" s="15">
        <v>850</v>
      </c>
      <c r="O35" s="15">
        <v>982</v>
      </c>
      <c r="P35" s="19">
        <v>920.16300000000001</v>
      </c>
      <c r="Q35" s="18">
        <v>19.452999999999999</v>
      </c>
      <c r="R35" s="20">
        <v>7.2270000000000001E-2</v>
      </c>
      <c r="S35" s="20">
        <v>4.7160000000000001E-2</v>
      </c>
      <c r="T35" s="20">
        <v>5.1670000000000001E-2</v>
      </c>
      <c r="U35" s="15">
        <v>251</v>
      </c>
      <c r="V35" s="15">
        <v>251</v>
      </c>
      <c r="W35" s="15">
        <v>877</v>
      </c>
      <c r="X35" s="15">
        <v>976</v>
      </c>
      <c r="Y35" s="15">
        <v>924.27200000000005</v>
      </c>
      <c r="Z35" s="15">
        <v>15.321</v>
      </c>
      <c r="AA35" s="20">
        <v>5.3519999999999998E-2</v>
      </c>
      <c r="AB35" s="20">
        <v>4.3409999999999997E-2</v>
      </c>
      <c r="AC35" s="20">
        <v>3.8870000000000002E-2</v>
      </c>
      <c r="AD35" s="18">
        <v>89.042289046136219</v>
      </c>
      <c r="AE35" s="15"/>
    </row>
    <row r="36" spans="2:31" x14ac:dyDescent="0.25">
      <c r="B36" s="15" t="s">
        <v>48</v>
      </c>
      <c r="C36" s="16">
        <v>42564</v>
      </c>
      <c r="D36" s="24">
        <v>0.326087962962963</v>
      </c>
      <c r="E36" s="15" t="s">
        <v>49</v>
      </c>
      <c r="F36" s="15">
        <v>109.8</v>
      </c>
      <c r="G36" s="15">
        <v>134.19999999999999</v>
      </c>
      <c r="H36" s="15" t="s">
        <v>50</v>
      </c>
      <c r="I36" s="41">
        <v>3000035</v>
      </c>
      <c r="J36" s="15">
        <v>237</v>
      </c>
      <c r="K36" s="15">
        <v>6.4320000000000004</v>
      </c>
      <c r="L36" s="15">
        <v>334</v>
      </c>
      <c r="M36" s="15">
        <v>334</v>
      </c>
      <c r="N36" s="15">
        <v>850</v>
      </c>
      <c r="O36" s="15">
        <v>982</v>
      </c>
      <c r="P36" s="19">
        <v>920.16300000000001</v>
      </c>
      <c r="Q36" s="18">
        <v>19.452999999999999</v>
      </c>
      <c r="R36" s="20">
        <v>7.2270000000000001E-2</v>
      </c>
      <c r="S36" s="20">
        <v>4.7160000000000001E-2</v>
      </c>
      <c r="T36" s="20">
        <v>5.1670000000000001E-2</v>
      </c>
      <c r="U36" s="15">
        <v>251</v>
      </c>
      <c r="V36" s="15">
        <v>251</v>
      </c>
      <c r="W36" s="15">
        <v>877</v>
      </c>
      <c r="X36" s="15">
        <v>976</v>
      </c>
      <c r="Y36" s="15">
        <v>924.27200000000005</v>
      </c>
      <c r="Z36" s="15">
        <v>15.321</v>
      </c>
      <c r="AA36" s="20">
        <v>5.3519999999999998E-2</v>
      </c>
      <c r="AB36" s="20">
        <v>4.3409999999999997E-2</v>
      </c>
      <c r="AC36" s="20">
        <v>3.8870000000000002E-2</v>
      </c>
      <c r="AD36" s="18">
        <v>89.042289046136219</v>
      </c>
      <c r="AE36" s="15"/>
    </row>
    <row r="37" spans="2:31" x14ac:dyDescent="0.25">
      <c r="B37" s="15" t="s">
        <v>48</v>
      </c>
      <c r="C37" s="16">
        <v>42566</v>
      </c>
      <c r="D37" s="24">
        <v>0.32336805555555553</v>
      </c>
      <c r="E37" s="15" t="s">
        <v>49</v>
      </c>
      <c r="F37" s="15">
        <v>109.8</v>
      </c>
      <c r="G37" s="15">
        <v>134.19999999999999</v>
      </c>
      <c r="H37" s="15" t="s">
        <v>50</v>
      </c>
      <c r="I37" s="41">
        <v>3000033</v>
      </c>
      <c r="J37" s="15">
        <v>238</v>
      </c>
      <c r="K37" s="15">
        <v>6.4320000000000004</v>
      </c>
      <c r="L37" s="15">
        <v>334</v>
      </c>
      <c r="M37" s="15">
        <v>334</v>
      </c>
      <c r="N37" s="15">
        <v>839</v>
      </c>
      <c r="O37" s="15">
        <v>994</v>
      </c>
      <c r="P37" s="19">
        <v>920.29100000000005</v>
      </c>
      <c r="Q37" s="18">
        <v>18.588999999999999</v>
      </c>
      <c r="R37" s="20">
        <v>8.4449999999999997E-2</v>
      </c>
      <c r="S37" s="20">
        <v>4.9079999999999999E-2</v>
      </c>
      <c r="T37" s="20">
        <v>5.0720000000000001E-2</v>
      </c>
      <c r="U37" s="15">
        <v>251</v>
      </c>
      <c r="V37" s="15">
        <v>251</v>
      </c>
      <c r="W37" s="15">
        <v>870</v>
      </c>
      <c r="X37" s="15">
        <v>974</v>
      </c>
      <c r="Y37" s="15">
        <v>922.82799999999997</v>
      </c>
      <c r="Z37" s="15">
        <v>14.222</v>
      </c>
      <c r="AA37" s="20">
        <v>5.6610000000000001E-2</v>
      </c>
      <c r="AB37" s="20">
        <v>3.8739999999999997E-2</v>
      </c>
      <c r="AC37" s="20">
        <v>3.7870000000000001E-2</v>
      </c>
      <c r="AD37" s="18">
        <v>89.121602949167567</v>
      </c>
      <c r="AE37" s="15"/>
    </row>
    <row r="38" spans="2:31" x14ac:dyDescent="0.25">
      <c r="B38" s="15" t="s">
        <v>48</v>
      </c>
      <c r="C38" s="16">
        <v>42578</v>
      </c>
      <c r="D38" s="24">
        <v>0.36322916666666666</v>
      </c>
      <c r="E38" s="15" t="s">
        <v>49</v>
      </c>
      <c r="F38" s="15">
        <v>109.8</v>
      </c>
      <c r="G38" s="15">
        <v>134.19999999999999</v>
      </c>
      <c r="H38" s="15" t="s">
        <v>50</v>
      </c>
      <c r="I38" s="41">
        <v>3000031</v>
      </c>
      <c r="J38" s="15">
        <v>245</v>
      </c>
      <c r="K38" s="15">
        <v>6.4320000000000004</v>
      </c>
      <c r="L38" s="15">
        <v>334</v>
      </c>
      <c r="M38" s="15">
        <v>334</v>
      </c>
      <c r="N38" s="15">
        <v>846</v>
      </c>
      <c r="O38" s="15">
        <v>979</v>
      </c>
      <c r="P38" s="19">
        <v>920.13800000000003</v>
      </c>
      <c r="Q38" s="18">
        <v>18.303999999999998</v>
      </c>
      <c r="R38" s="20">
        <v>7.2940000000000005E-2</v>
      </c>
      <c r="S38" s="20">
        <v>4.2840000000000003E-2</v>
      </c>
      <c r="T38" s="20">
        <v>4.648E-2</v>
      </c>
      <c r="U38" s="15">
        <v>251</v>
      </c>
      <c r="V38" s="15">
        <v>251</v>
      </c>
      <c r="W38" s="15">
        <v>876</v>
      </c>
      <c r="X38" s="15">
        <v>977</v>
      </c>
      <c r="Y38" s="15">
        <v>923.93100000000004</v>
      </c>
      <c r="Z38" s="15">
        <v>13.829000000000001</v>
      </c>
      <c r="AA38" s="20">
        <v>5.4420000000000003E-2</v>
      </c>
      <c r="AB38" s="20">
        <v>3.3930000000000002E-2</v>
      </c>
      <c r="AC38" s="20">
        <v>3.5569999999999997E-2</v>
      </c>
      <c r="AD38" s="18">
        <v>89.266193184376633</v>
      </c>
      <c r="AE38" s="15"/>
    </row>
    <row r="39" spans="2:31" x14ac:dyDescent="0.25">
      <c r="B39" s="15" t="s">
        <v>48</v>
      </c>
      <c r="C39" s="16">
        <v>42584</v>
      </c>
      <c r="D39" s="24">
        <v>0.34313657407407411</v>
      </c>
      <c r="E39" s="15" t="s">
        <v>49</v>
      </c>
      <c r="F39" s="15">
        <v>109.8</v>
      </c>
      <c r="G39" s="15">
        <v>134.19999999999999</v>
      </c>
      <c r="H39" s="15" t="s">
        <v>50</v>
      </c>
      <c r="I39" s="41">
        <v>3000035</v>
      </c>
      <c r="J39" s="15">
        <v>249</v>
      </c>
      <c r="K39" s="15">
        <v>6.4320000000000004</v>
      </c>
      <c r="L39" s="15">
        <v>334</v>
      </c>
      <c r="M39" s="15">
        <v>334</v>
      </c>
      <c r="N39" s="15">
        <v>854</v>
      </c>
      <c r="O39" s="15">
        <v>985</v>
      </c>
      <c r="P39" s="19">
        <v>920.13800000000003</v>
      </c>
      <c r="Q39" s="18">
        <v>17.975000000000001</v>
      </c>
      <c r="R39" s="20">
        <v>7.1179999999999993E-2</v>
      </c>
      <c r="S39" s="20">
        <v>4.6609999999999999E-2</v>
      </c>
      <c r="T39" s="20">
        <v>5.3580000000000003E-2</v>
      </c>
      <c r="U39" s="15">
        <v>251</v>
      </c>
      <c r="V39" s="15">
        <v>251</v>
      </c>
      <c r="W39" s="15">
        <v>881</v>
      </c>
      <c r="X39" s="15">
        <v>962</v>
      </c>
      <c r="Y39" s="15">
        <v>923.678</v>
      </c>
      <c r="Z39" s="15">
        <v>13.858000000000001</v>
      </c>
      <c r="AA39" s="20">
        <v>4.4049999999999999E-2</v>
      </c>
      <c r="AB39" s="20">
        <v>3.1919999999999997E-2</v>
      </c>
      <c r="AC39" s="20">
        <v>3.1960000000000002E-2</v>
      </c>
      <c r="AD39" s="18">
        <v>89.186896503696317</v>
      </c>
      <c r="AE39" s="15"/>
    </row>
    <row r="40" spans="2:31" x14ac:dyDescent="0.25">
      <c r="B40" s="15" t="s">
        <v>48</v>
      </c>
      <c r="C40" s="16">
        <v>42591</v>
      </c>
      <c r="D40" s="24">
        <v>0.34874999999999995</v>
      </c>
      <c r="E40" s="15" t="s">
        <v>49</v>
      </c>
      <c r="F40" s="15">
        <v>109.8</v>
      </c>
      <c r="G40" s="15">
        <v>134.19999999999999</v>
      </c>
      <c r="H40" s="15" t="s">
        <v>50</v>
      </c>
      <c r="I40" s="41">
        <v>3000019</v>
      </c>
      <c r="J40" s="15">
        <v>406</v>
      </c>
      <c r="K40" s="15">
        <v>6.4320000000000004</v>
      </c>
      <c r="L40" s="15">
        <v>334</v>
      </c>
      <c r="M40" s="15">
        <v>334</v>
      </c>
      <c r="N40" s="15">
        <v>843</v>
      </c>
      <c r="O40" s="15">
        <v>997</v>
      </c>
      <c r="P40" s="19">
        <v>918.72</v>
      </c>
      <c r="Q40" s="18">
        <v>20.308</v>
      </c>
      <c r="R40" s="20">
        <v>8.3699999999999997E-2</v>
      </c>
      <c r="S40" s="20">
        <v>5.423E-2</v>
      </c>
      <c r="T40" s="20">
        <v>5.3990000000000003E-2</v>
      </c>
      <c r="U40" s="15">
        <v>251</v>
      </c>
      <c r="V40" s="15">
        <v>251</v>
      </c>
      <c r="W40" s="15">
        <v>877</v>
      </c>
      <c r="X40" s="15">
        <v>988</v>
      </c>
      <c r="Y40" s="15">
        <v>921.57899999999995</v>
      </c>
      <c r="Z40" s="15">
        <v>15.897</v>
      </c>
      <c r="AA40" s="20">
        <v>5.9830000000000001E-2</v>
      </c>
      <c r="AB40" s="20">
        <v>3.7629999999999997E-2</v>
      </c>
      <c r="AC40" s="20">
        <v>3.807E-2</v>
      </c>
      <c r="AD40" s="18">
        <v>55.683504074797732</v>
      </c>
      <c r="AE40" s="15" t="s">
        <v>58</v>
      </c>
    </row>
    <row r="41" spans="2:31" x14ac:dyDescent="0.25">
      <c r="B41" s="15" t="s">
        <v>48</v>
      </c>
      <c r="C41" s="16">
        <v>42593</v>
      </c>
      <c r="D41" s="24">
        <v>0.33432870370370371</v>
      </c>
      <c r="E41" s="15" t="s">
        <v>59</v>
      </c>
      <c r="F41" s="15">
        <v>109.8</v>
      </c>
      <c r="G41" s="15">
        <v>134.19999999999999</v>
      </c>
      <c r="H41" s="15" t="s">
        <v>50</v>
      </c>
      <c r="I41" s="41">
        <v>3000027</v>
      </c>
      <c r="J41" s="15">
        <v>407</v>
      </c>
      <c r="K41" s="15">
        <v>6.4320000000000004</v>
      </c>
      <c r="L41" s="15">
        <v>334</v>
      </c>
      <c r="M41" s="15">
        <v>334</v>
      </c>
      <c r="N41" s="15">
        <v>835</v>
      </c>
      <c r="O41" s="15">
        <v>986</v>
      </c>
      <c r="P41" s="19">
        <v>919.46699999999998</v>
      </c>
      <c r="Q41" s="18">
        <v>20.335000000000001</v>
      </c>
      <c r="R41" s="20">
        <v>8.3239999999999995E-2</v>
      </c>
      <c r="S41" s="20">
        <v>5.7509999999999999E-2</v>
      </c>
      <c r="T41" s="20">
        <v>4.8039999999999999E-2</v>
      </c>
      <c r="U41" s="15">
        <v>251</v>
      </c>
      <c r="V41" s="15">
        <v>251</v>
      </c>
      <c r="W41" s="15">
        <v>865</v>
      </c>
      <c r="X41" s="15">
        <v>982</v>
      </c>
      <c r="Y41" s="15">
        <v>920.91899999999998</v>
      </c>
      <c r="Z41" s="15">
        <v>16.885999999999999</v>
      </c>
      <c r="AA41" s="20">
        <v>6.3560000000000005E-2</v>
      </c>
      <c r="AB41" s="20">
        <v>4.0669999999999998E-2</v>
      </c>
      <c r="AC41" s="20">
        <v>4.0869999999999997E-2</v>
      </c>
      <c r="AD41" s="18">
        <v>55.830936546664333</v>
      </c>
      <c r="AE41" s="15"/>
    </row>
    <row r="42" spans="2:31" x14ac:dyDescent="0.25">
      <c r="B42" s="15" t="s">
        <v>48</v>
      </c>
      <c r="C42" s="16">
        <v>42601</v>
      </c>
      <c r="D42" s="24">
        <v>0.33122685185185186</v>
      </c>
      <c r="E42" s="15" t="s">
        <v>49</v>
      </c>
      <c r="F42" s="15">
        <v>109.8</v>
      </c>
      <c r="G42" s="15">
        <v>134.19999999999999</v>
      </c>
      <c r="H42" s="15" t="s">
        <v>50</v>
      </c>
      <c r="I42" s="41">
        <v>3000022</v>
      </c>
      <c r="J42" s="15">
        <v>260</v>
      </c>
      <c r="K42" s="15">
        <v>6.4320000000000004</v>
      </c>
      <c r="L42" s="15">
        <v>334</v>
      </c>
      <c r="M42" s="15">
        <v>334</v>
      </c>
      <c r="N42" s="15">
        <v>858</v>
      </c>
      <c r="O42" s="15">
        <v>982</v>
      </c>
      <c r="P42" s="19">
        <v>919.755</v>
      </c>
      <c r="Q42" s="18">
        <v>17.619</v>
      </c>
      <c r="R42" s="20">
        <v>6.7100000000000007E-2</v>
      </c>
      <c r="S42" s="20">
        <v>4.9099999999999998E-2</v>
      </c>
      <c r="T42" s="20">
        <v>5.0720000000000001E-2</v>
      </c>
      <c r="U42" s="15">
        <v>251</v>
      </c>
      <c r="V42" s="15">
        <v>251</v>
      </c>
      <c r="W42" s="15">
        <v>873</v>
      </c>
      <c r="X42" s="15">
        <v>982</v>
      </c>
      <c r="Y42" s="15">
        <v>923.572</v>
      </c>
      <c r="Z42" s="15">
        <v>15.673999999999999</v>
      </c>
      <c r="AA42" s="20">
        <v>5.8930000000000003E-2</v>
      </c>
      <c r="AB42" s="20">
        <v>4.3610000000000003E-2</v>
      </c>
      <c r="AC42" s="20">
        <v>3.4279999999999998E-2</v>
      </c>
      <c r="AD42" s="18">
        <v>89.198498779942199</v>
      </c>
      <c r="AE42" s="15"/>
    </row>
    <row r="43" spans="2:31" x14ac:dyDescent="0.25">
      <c r="B43" s="15" t="s">
        <v>48</v>
      </c>
      <c r="C43" s="16">
        <v>42605</v>
      </c>
      <c r="D43" s="24">
        <v>0.36290509259259257</v>
      </c>
      <c r="E43" s="15" t="s">
        <v>49</v>
      </c>
      <c r="F43" s="15">
        <v>109.8</v>
      </c>
      <c r="G43" s="15">
        <v>134.19999999999999</v>
      </c>
      <c r="H43" s="15" t="s">
        <v>50</v>
      </c>
      <c r="I43" s="41">
        <v>3000020</v>
      </c>
      <c r="J43" s="15">
        <v>420</v>
      </c>
      <c r="K43" s="15">
        <v>6.4320000000000004</v>
      </c>
      <c r="L43" s="15">
        <v>334</v>
      </c>
      <c r="M43" s="15">
        <v>334</v>
      </c>
      <c r="N43" s="15">
        <v>833</v>
      </c>
      <c r="O43" s="15">
        <v>990</v>
      </c>
      <c r="P43" s="19">
        <v>918.66099999999994</v>
      </c>
      <c r="Q43" s="18">
        <v>20.98</v>
      </c>
      <c r="R43" s="20">
        <v>8.6550000000000002E-2</v>
      </c>
      <c r="S43" s="20">
        <v>4.666E-2</v>
      </c>
      <c r="T43" s="20">
        <v>6.0560000000000003E-2</v>
      </c>
      <c r="U43" s="15">
        <v>251</v>
      </c>
      <c r="V43" s="15">
        <v>251</v>
      </c>
      <c r="W43" s="15">
        <v>880</v>
      </c>
      <c r="X43" s="15">
        <v>990</v>
      </c>
      <c r="Y43" s="15">
        <v>920.56</v>
      </c>
      <c r="Z43" s="15">
        <v>15.465</v>
      </c>
      <c r="AA43" s="20">
        <v>5.8950000000000002E-2</v>
      </c>
      <c r="AB43" s="20">
        <v>4.5019999999999998E-2</v>
      </c>
      <c r="AC43" s="20">
        <v>3.5990000000000001E-2</v>
      </c>
      <c r="AD43" s="18">
        <v>55.784360735565642</v>
      </c>
      <c r="AE43" s="15"/>
    </row>
    <row r="44" spans="2:31" x14ac:dyDescent="0.25">
      <c r="B44" s="15" t="s">
        <v>48</v>
      </c>
      <c r="C44" s="16">
        <v>42608</v>
      </c>
      <c r="D44" s="24">
        <v>0.32390046296296299</v>
      </c>
      <c r="E44" s="15" t="s">
        <v>49</v>
      </c>
      <c r="F44" s="15">
        <v>109.8</v>
      </c>
      <c r="G44" s="15">
        <v>134.19999999999999</v>
      </c>
      <c r="H44" s="15" t="s">
        <v>50</v>
      </c>
      <c r="I44" s="41">
        <v>3000030</v>
      </c>
      <c r="J44" s="15">
        <v>264</v>
      </c>
      <c r="K44" s="15">
        <v>6.4320000000000004</v>
      </c>
      <c r="L44" s="15">
        <v>334</v>
      </c>
      <c r="M44" s="15">
        <v>334</v>
      </c>
      <c r="N44" s="15">
        <v>853</v>
      </c>
      <c r="O44" s="15">
        <v>985</v>
      </c>
      <c r="P44" s="19">
        <v>919.73900000000003</v>
      </c>
      <c r="Q44" s="18">
        <v>18.503</v>
      </c>
      <c r="R44" s="20">
        <v>7.1900000000000006E-2</v>
      </c>
      <c r="S44" s="20">
        <v>4.5609999999999998E-2</v>
      </c>
      <c r="T44" s="20">
        <v>5.0410000000000003E-2</v>
      </c>
      <c r="U44" s="15">
        <v>251</v>
      </c>
      <c r="V44" s="15">
        <v>251</v>
      </c>
      <c r="W44" s="15">
        <v>878</v>
      </c>
      <c r="X44" s="15">
        <v>972</v>
      </c>
      <c r="Y44" s="15">
        <v>922.32299999999998</v>
      </c>
      <c r="Z44" s="15">
        <v>14.776</v>
      </c>
      <c r="AA44" s="20">
        <v>5.0509999999999999E-2</v>
      </c>
      <c r="AB44" s="20">
        <v>3.3950000000000001E-2</v>
      </c>
      <c r="AC44" s="20">
        <v>3.2550000000000003E-2</v>
      </c>
      <c r="AD44" s="18">
        <v>89.429876766585963</v>
      </c>
      <c r="AE44" s="15"/>
    </row>
    <row r="45" spans="2:31" x14ac:dyDescent="0.25">
      <c r="B45" s="15" t="s">
        <v>48</v>
      </c>
      <c r="C45" s="16">
        <v>42629</v>
      </c>
      <c r="D45" s="24">
        <v>0.33351851851851855</v>
      </c>
      <c r="E45" s="15" t="s">
        <v>49</v>
      </c>
      <c r="F45" s="15">
        <v>109.8</v>
      </c>
      <c r="G45" s="15">
        <v>134.19999999999999</v>
      </c>
      <c r="H45" s="15" t="s">
        <v>50</v>
      </c>
      <c r="I45" s="41">
        <v>3000027</v>
      </c>
      <c r="J45" s="15">
        <v>279</v>
      </c>
      <c r="K45" s="15">
        <v>6.4320000000000004</v>
      </c>
      <c r="L45" s="15">
        <v>334</v>
      </c>
      <c r="M45" s="15">
        <v>334</v>
      </c>
      <c r="N45" s="15">
        <v>849</v>
      </c>
      <c r="O45" s="15">
        <v>981</v>
      </c>
      <c r="P45" s="19">
        <v>919.70899999999995</v>
      </c>
      <c r="Q45" s="18">
        <v>18.091000000000001</v>
      </c>
      <c r="R45" s="20">
        <v>7.2349999999999998E-2</v>
      </c>
      <c r="S45" s="20">
        <v>5.0720000000000001E-2</v>
      </c>
      <c r="T45" s="20">
        <v>4.7960000000000003E-2</v>
      </c>
      <c r="U45" s="15">
        <v>251</v>
      </c>
      <c r="V45" s="15">
        <v>251</v>
      </c>
      <c r="W45" s="15">
        <v>879</v>
      </c>
      <c r="X45" s="15">
        <v>981</v>
      </c>
      <c r="Y45" s="15">
        <v>922.98900000000003</v>
      </c>
      <c r="Z45" s="15">
        <v>14.500999999999999</v>
      </c>
      <c r="AA45" s="20">
        <v>5.5129999999999998E-2</v>
      </c>
      <c r="AB45" s="20">
        <v>4.2259999999999999E-2</v>
      </c>
      <c r="AC45" s="20">
        <v>4.0189999999999997E-2</v>
      </c>
      <c r="AD45" s="18">
        <v>89.278204041306424</v>
      </c>
      <c r="AE45" s="15"/>
    </row>
    <row r="46" spans="2:31" x14ac:dyDescent="0.25">
      <c r="B46" s="15" t="s">
        <v>48</v>
      </c>
      <c r="C46" s="16">
        <v>42635</v>
      </c>
      <c r="D46" s="24">
        <v>0.36055555555555557</v>
      </c>
      <c r="E46" s="15" t="s">
        <v>49</v>
      </c>
      <c r="F46" s="15">
        <v>109.8</v>
      </c>
      <c r="G46" s="15">
        <v>134.19999999999999</v>
      </c>
      <c r="H46" s="15" t="s">
        <v>50</v>
      </c>
      <c r="I46" s="41">
        <v>3000026</v>
      </c>
      <c r="J46" s="15">
        <v>283</v>
      </c>
      <c r="K46" s="15">
        <v>6.4320000000000004</v>
      </c>
      <c r="L46" s="15">
        <v>334</v>
      </c>
      <c r="M46" s="15">
        <v>334</v>
      </c>
      <c r="N46" s="15">
        <v>853</v>
      </c>
      <c r="O46" s="15">
        <v>990</v>
      </c>
      <c r="P46" s="19">
        <v>919.42899999999997</v>
      </c>
      <c r="Q46" s="18">
        <v>18.824999999999999</v>
      </c>
      <c r="R46" s="20">
        <v>7.3929999999999996E-2</v>
      </c>
      <c r="S46" s="20">
        <v>5.0160000000000003E-2</v>
      </c>
      <c r="T46" s="20">
        <v>5.1529999999999999E-2</v>
      </c>
      <c r="U46" s="15">
        <v>251</v>
      </c>
      <c r="V46" s="15">
        <v>251</v>
      </c>
      <c r="W46" s="15">
        <v>874</v>
      </c>
      <c r="X46" s="15">
        <v>989</v>
      </c>
      <c r="Y46" s="15">
        <v>921.745</v>
      </c>
      <c r="Z46" s="15">
        <v>14.992000000000001</v>
      </c>
      <c r="AA46" s="20">
        <v>6.1830000000000003E-2</v>
      </c>
      <c r="AB46" s="20">
        <v>4.7539999999999999E-2</v>
      </c>
      <c r="AC46" s="20">
        <v>5.1529999999999999E-2</v>
      </c>
      <c r="AD46" s="18">
        <v>89.373710597191206</v>
      </c>
      <c r="AE46" s="15"/>
    </row>
    <row r="47" spans="2:31" x14ac:dyDescent="0.25">
      <c r="B47" s="15" t="s">
        <v>48</v>
      </c>
      <c r="C47" s="16">
        <v>42647</v>
      </c>
      <c r="D47" s="24">
        <v>0.50877314814814811</v>
      </c>
      <c r="E47" s="15" t="s">
        <v>49</v>
      </c>
      <c r="F47" s="15">
        <v>109.8</v>
      </c>
      <c r="G47" s="15">
        <v>134.19999999999999</v>
      </c>
      <c r="H47" s="15" t="s">
        <v>50</v>
      </c>
      <c r="I47" s="41">
        <v>3000028</v>
      </c>
      <c r="J47" s="15">
        <v>292</v>
      </c>
      <c r="K47" s="15">
        <v>6.4320000000000004</v>
      </c>
      <c r="L47" s="15">
        <v>334</v>
      </c>
      <c r="M47" s="15">
        <v>334</v>
      </c>
      <c r="N47" s="15">
        <v>844</v>
      </c>
      <c r="O47" s="15">
        <v>986</v>
      </c>
      <c r="P47" s="19">
        <v>919.76800000000003</v>
      </c>
      <c r="Q47" s="18">
        <v>18.329999999999998</v>
      </c>
      <c r="R47" s="20">
        <v>7.7710000000000001E-2</v>
      </c>
      <c r="S47" s="20">
        <v>4.8030000000000003E-2</v>
      </c>
      <c r="T47" s="20">
        <v>4.8300000000000003E-2</v>
      </c>
      <c r="U47" s="15">
        <v>251</v>
      </c>
      <c r="V47" s="15">
        <v>251</v>
      </c>
      <c r="W47" s="15">
        <v>883</v>
      </c>
      <c r="X47" s="15">
        <v>978</v>
      </c>
      <c r="Y47" s="15">
        <v>922.83699999999999</v>
      </c>
      <c r="Z47" s="15">
        <v>13.769</v>
      </c>
      <c r="AA47" s="20">
        <v>5.0939999999999999E-2</v>
      </c>
      <c r="AB47" s="20">
        <v>4.0289999999999999E-2</v>
      </c>
      <c r="AC47" s="20">
        <v>4.0559999999999999E-2</v>
      </c>
      <c r="AD47" s="18">
        <v>89.311442717281906</v>
      </c>
      <c r="AE47" s="15"/>
    </row>
    <row r="48" spans="2:31" x14ac:dyDescent="0.25">
      <c r="B48" s="15" t="s">
        <v>48</v>
      </c>
      <c r="C48" s="16">
        <v>42650</v>
      </c>
      <c r="D48" s="24">
        <v>0.2908796296296296</v>
      </c>
      <c r="E48" s="15" t="s">
        <v>49</v>
      </c>
      <c r="F48" s="15">
        <v>109.8</v>
      </c>
      <c r="G48" s="15">
        <v>134.19999999999999</v>
      </c>
      <c r="H48" s="15" t="s">
        <v>50</v>
      </c>
      <c r="I48" s="41">
        <v>3000022</v>
      </c>
      <c r="J48" s="15">
        <v>294</v>
      </c>
      <c r="K48" s="15">
        <v>6.4320000000000004</v>
      </c>
      <c r="L48" s="15">
        <v>334</v>
      </c>
      <c r="M48" s="15">
        <v>334</v>
      </c>
      <c r="N48" s="15">
        <v>859</v>
      </c>
      <c r="O48" s="15">
        <v>998</v>
      </c>
      <c r="P48" s="19">
        <v>920.14700000000005</v>
      </c>
      <c r="Q48" s="18">
        <v>17.510999999999999</v>
      </c>
      <c r="R48" s="20">
        <v>7.4709999999999999E-2</v>
      </c>
      <c r="S48" s="20">
        <v>4.6649999999999997E-2</v>
      </c>
      <c r="T48" s="20">
        <v>5.6480000000000002E-2</v>
      </c>
      <c r="U48" s="15">
        <v>251</v>
      </c>
      <c r="V48" s="15">
        <v>251</v>
      </c>
      <c r="W48" s="15">
        <v>876</v>
      </c>
      <c r="X48" s="15">
        <v>997</v>
      </c>
      <c r="Y48" s="15">
        <v>923.08299999999997</v>
      </c>
      <c r="Z48" s="15">
        <v>14.515000000000001</v>
      </c>
      <c r="AA48" s="20">
        <v>6.4670000000000005E-2</v>
      </c>
      <c r="AB48" s="20">
        <v>4.0469999999999999E-2</v>
      </c>
      <c r="AC48" s="20">
        <v>4.2720000000000001E-2</v>
      </c>
      <c r="AD48" s="18">
        <v>89.385097435973435</v>
      </c>
      <c r="AE48" s="15"/>
    </row>
    <row r="49" spans="2:31" x14ac:dyDescent="0.25">
      <c r="B49" s="15" t="s">
        <v>48</v>
      </c>
      <c r="C49" s="16">
        <v>42654</v>
      </c>
      <c r="D49" s="24">
        <v>0.34539351851851857</v>
      </c>
      <c r="E49" s="15" t="s">
        <v>49</v>
      </c>
      <c r="F49" s="15">
        <v>109.8</v>
      </c>
      <c r="G49" s="15">
        <v>134.19999999999999</v>
      </c>
      <c r="H49" s="15" t="s">
        <v>50</v>
      </c>
      <c r="I49" s="41">
        <v>3000031</v>
      </c>
      <c r="J49" s="15">
        <v>297</v>
      </c>
      <c r="K49" s="15">
        <v>6.4320000000000004</v>
      </c>
      <c r="L49" s="15">
        <v>334</v>
      </c>
      <c r="M49" s="15">
        <v>334</v>
      </c>
      <c r="N49" s="15">
        <v>848</v>
      </c>
      <c r="O49" s="15">
        <v>996</v>
      </c>
      <c r="P49" s="19">
        <v>919.31600000000003</v>
      </c>
      <c r="Q49" s="18">
        <v>18.324999999999999</v>
      </c>
      <c r="R49" s="20">
        <v>8.0159999999999995E-2</v>
      </c>
      <c r="S49" s="20">
        <v>4.4380000000000003E-2</v>
      </c>
      <c r="T49" s="20">
        <v>4.8770000000000001E-2</v>
      </c>
      <c r="U49" s="15">
        <v>251</v>
      </c>
      <c r="V49" s="15">
        <v>251</v>
      </c>
      <c r="W49" s="15">
        <v>872</v>
      </c>
      <c r="X49" s="15">
        <v>964</v>
      </c>
      <c r="Y49" s="15">
        <v>921.44799999999998</v>
      </c>
      <c r="Z49" s="15">
        <v>14.944000000000001</v>
      </c>
      <c r="AA49" s="20">
        <v>4.9779999999999998E-2</v>
      </c>
      <c r="AB49" s="20">
        <v>3.7199999999999997E-2</v>
      </c>
      <c r="AC49" s="20">
        <v>4.1750000000000002E-2</v>
      </c>
      <c r="AD49" s="18">
        <v>89.389899543115391</v>
      </c>
      <c r="AE49" s="15"/>
    </row>
    <row r="50" spans="2:31" x14ac:dyDescent="0.25">
      <c r="B50" s="15" t="s">
        <v>48</v>
      </c>
      <c r="C50" s="16">
        <v>42657</v>
      </c>
      <c r="D50" s="24">
        <v>0.28697916666666667</v>
      </c>
      <c r="E50" s="15" t="s">
        <v>49</v>
      </c>
      <c r="F50" s="15">
        <v>109.8</v>
      </c>
      <c r="G50" s="15">
        <v>134.19999999999999</v>
      </c>
      <c r="H50" s="15" t="s">
        <v>50</v>
      </c>
      <c r="I50" s="41">
        <v>3000012</v>
      </c>
      <c r="J50" s="15">
        <v>299</v>
      </c>
      <c r="K50" s="15">
        <v>6.4320000000000004</v>
      </c>
      <c r="L50" s="15">
        <v>334</v>
      </c>
      <c r="M50" s="15">
        <v>334</v>
      </c>
      <c r="N50" s="15">
        <v>851</v>
      </c>
      <c r="O50" s="15">
        <v>983</v>
      </c>
      <c r="P50" s="19">
        <v>919.697</v>
      </c>
      <c r="Q50" s="18">
        <v>18.579000000000001</v>
      </c>
      <c r="R50" s="20">
        <v>7.1879999999999999E-2</v>
      </c>
      <c r="S50" s="20">
        <v>4.7600000000000003E-2</v>
      </c>
      <c r="T50" s="20">
        <v>5.0990000000000001E-2</v>
      </c>
      <c r="U50" s="15">
        <v>251</v>
      </c>
      <c r="V50" s="15">
        <v>251</v>
      </c>
      <c r="W50" s="15">
        <v>876</v>
      </c>
      <c r="X50" s="15">
        <v>970</v>
      </c>
      <c r="Y50" s="15">
        <v>922.18899999999996</v>
      </c>
      <c r="Z50" s="15">
        <v>14.65</v>
      </c>
      <c r="AA50" s="20">
        <v>5.1069999999999997E-2</v>
      </c>
      <c r="AB50" s="20">
        <v>4.4569999999999999E-2</v>
      </c>
      <c r="AC50" s="20">
        <v>3.4520000000000002E-2</v>
      </c>
      <c r="AD50" s="18">
        <v>89.47347814631793</v>
      </c>
      <c r="AE50" s="15"/>
    </row>
    <row r="51" spans="2:31" x14ac:dyDescent="0.25">
      <c r="B51" s="15" t="s">
        <v>48</v>
      </c>
      <c r="C51" s="16">
        <v>42664</v>
      </c>
      <c r="D51" s="24">
        <v>0.28854166666666664</v>
      </c>
      <c r="E51" s="15" t="s">
        <v>49</v>
      </c>
      <c r="F51" s="15">
        <v>109.8</v>
      </c>
      <c r="G51" s="15">
        <v>134.19999999999999</v>
      </c>
      <c r="H51" s="15" t="s">
        <v>50</v>
      </c>
      <c r="I51" s="41">
        <v>3000039</v>
      </c>
      <c r="J51" s="15">
        <v>305</v>
      </c>
      <c r="K51" s="15">
        <v>6.4320000000000004</v>
      </c>
      <c r="L51" s="15">
        <v>334</v>
      </c>
      <c r="M51" s="15">
        <v>334</v>
      </c>
      <c r="N51" s="15">
        <v>864</v>
      </c>
      <c r="O51" s="15">
        <v>980</v>
      </c>
      <c r="P51" s="19">
        <v>920.00300000000004</v>
      </c>
      <c r="Q51" s="18">
        <v>18.635999999999999</v>
      </c>
      <c r="R51" s="20">
        <v>6.336E-2</v>
      </c>
      <c r="S51" s="20">
        <v>4.3389999999999998E-2</v>
      </c>
      <c r="T51" s="20">
        <v>4.8919999999999998E-2</v>
      </c>
      <c r="U51" s="15">
        <v>251</v>
      </c>
      <c r="V51" s="15">
        <v>251</v>
      </c>
      <c r="W51" s="15">
        <v>882</v>
      </c>
      <c r="X51" s="15">
        <v>970</v>
      </c>
      <c r="Y51" s="15">
        <v>923.096</v>
      </c>
      <c r="Z51" s="15">
        <v>14.641999999999999</v>
      </c>
      <c r="AA51" s="20">
        <v>4.743E-2</v>
      </c>
      <c r="AB51" s="20">
        <v>4.3389999999999998E-2</v>
      </c>
      <c r="AC51" s="20">
        <v>3.2439999999999997E-2</v>
      </c>
      <c r="AD51" s="18">
        <v>89.294371675430511</v>
      </c>
      <c r="AE51" s="15"/>
    </row>
    <row r="52" spans="2:31" x14ac:dyDescent="0.25">
      <c r="B52" s="15" t="s">
        <v>48</v>
      </c>
      <c r="C52" s="16">
        <v>42668</v>
      </c>
      <c r="D52" s="24">
        <v>0.30989583333333331</v>
      </c>
      <c r="E52" s="15" t="s">
        <v>49</v>
      </c>
      <c r="F52" s="15">
        <v>109.8</v>
      </c>
      <c r="G52" s="15">
        <v>134.19999999999999</v>
      </c>
      <c r="H52" s="15" t="s">
        <v>50</v>
      </c>
      <c r="I52" s="41">
        <v>3000025</v>
      </c>
      <c r="J52" s="15">
        <v>308</v>
      </c>
      <c r="K52" s="15">
        <v>6.4320000000000004</v>
      </c>
      <c r="L52" s="15">
        <v>334</v>
      </c>
      <c r="M52" s="15">
        <v>334</v>
      </c>
      <c r="N52" s="15">
        <v>846</v>
      </c>
      <c r="O52" s="15">
        <v>981</v>
      </c>
      <c r="P52" s="19">
        <v>919.93499999999995</v>
      </c>
      <c r="Q52" s="18">
        <v>18.399999999999999</v>
      </c>
      <c r="R52" s="20">
        <v>7.3950000000000002E-2</v>
      </c>
      <c r="S52" s="20">
        <v>4.641E-2</v>
      </c>
      <c r="T52" s="20">
        <v>4.786E-2</v>
      </c>
      <c r="U52" s="15">
        <v>251</v>
      </c>
      <c r="V52" s="15">
        <v>251</v>
      </c>
      <c r="W52" s="15">
        <v>875</v>
      </c>
      <c r="X52" s="15">
        <v>969</v>
      </c>
      <c r="Y52" s="15">
        <v>922.57299999999998</v>
      </c>
      <c r="Z52" s="15">
        <v>14.536</v>
      </c>
      <c r="AA52" s="20">
        <v>5.0750000000000003E-2</v>
      </c>
      <c r="AB52" s="20">
        <v>3.9039999999999998E-2</v>
      </c>
      <c r="AC52" s="20">
        <v>3.2410000000000001E-2</v>
      </c>
      <c r="AD52" s="18">
        <v>89.331027470320308</v>
      </c>
      <c r="AE52" s="15"/>
    </row>
    <row r="53" spans="2:31" x14ac:dyDescent="0.25">
      <c r="B53" s="15" t="s">
        <v>48</v>
      </c>
      <c r="C53" s="16">
        <v>42671</v>
      </c>
      <c r="D53" s="24">
        <v>0.29377314814814814</v>
      </c>
      <c r="E53" s="15" t="s">
        <v>49</v>
      </c>
      <c r="F53" s="15">
        <v>109.8</v>
      </c>
      <c r="G53" s="15">
        <v>134.19999999999999</v>
      </c>
      <c r="H53" s="15" t="s">
        <v>50</v>
      </c>
      <c r="I53" s="41">
        <v>3000025</v>
      </c>
      <c r="J53" s="15">
        <v>310</v>
      </c>
      <c r="K53" s="15">
        <v>6.4320000000000004</v>
      </c>
      <c r="L53" s="15">
        <v>334</v>
      </c>
      <c r="M53" s="15">
        <v>334</v>
      </c>
      <c r="N53" s="15">
        <v>853</v>
      </c>
      <c r="O53" s="15">
        <v>983</v>
      </c>
      <c r="P53" s="19">
        <v>920.29499999999996</v>
      </c>
      <c r="Q53" s="18">
        <v>18.731999999999999</v>
      </c>
      <c r="R53" s="20">
        <v>7.0970000000000005E-2</v>
      </c>
      <c r="S53" s="20">
        <v>5.3249999999999999E-2</v>
      </c>
      <c r="T53" s="20">
        <v>4.4150000000000002E-2</v>
      </c>
      <c r="U53" s="15">
        <v>251</v>
      </c>
      <c r="V53" s="15">
        <v>251</v>
      </c>
      <c r="W53" s="15">
        <v>873</v>
      </c>
      <c r="X53" s="15">
        <v>966</v>
      </c>
      <c r="Y53" s="15">
        <v>922.86500000000001</v>
      </c>
      <c r="Z53" s="15">
        <v>15.193</v>
      </c>
      <c r="AA53" s="20">
        <v>5.0950000000000002E-2</v>
      </c>
      <c r="AB53" s="20">
        <v>3.8580000000000003E-2</v>
      </c>
      <c r="AC53" s="20">
        <v>3.5220000000000001E-2</v>
      </c>
      <c r="AD53" s="18">
        <v>89.436482938084694</v>
      </c>
      <c r="AE53" s="15"/>
    </row>
    <row r="54" spans="2:31" x14ac:dyDescent="0.25">
      <c r="B54" s="15" t="s">
        <v>48</v>
      </c>
      <c r="C54" s="16">
        <v>42675</v>
      </c>
      <c r="D54" s="24">
        <v>0.46725694444444449</v>
      </c>
      <c r="E54" s="15" t="s">
        <v>49</v>
      </c>
      <c r="F54" s="15">
        <v>109.8</v>
      </c>
      <c r="G54" s="15">
        <v>134.19999999999999</v>
      </c>
      <c r="H54" s="15" t="s">
        <v>50</v>
      </c>
      <c r="I54" s="41">
        <v>3000028</v>
      </c>
      <c r="J54" s="15">
        <v>313</v>
      </c>
      <c r="K54" s="15">
        <v>6.4320000000000004</v>
      </c>
      <c r="L54" s="15">
        <v>334</v>
      </c>
      <c r="M54" s="15">
        <v>334</v>
      </c>
      <c r="N54" s="15">
        <v>865</v>
      </c>
      <c r="O54" s="15">
        <v>985</v>
      </c>
      <c r="P54" s="19">
        <v>920.16200000000003</v>
      </c>
      <c r="Q54" s="18">
        <v>17.792999999999999</v>
      </c>
      <c r="R54" s="20">
        <v>6.4390000000000003E-2</v>
      </c>
      <c r="S54" s="20">
        <v>5.5070000000000001E-2</v>
      </c>
      <c r="T54" s="20">
        <v>4.8430000000000001E-2</v>
      </c>
      <c r="U54" s="15">
        <v>251</v>
      </c>
      <c r="V54" s="15">
        <v>251</v>
      </c>
      <c r="W54" s="15">
        <v>877</v>
      </c>
      <c r="X54" s="15">
        <v>970</v>
      </c>
      <c r="Y54" s="15">
        <v>922.654</v>
      </c>
      <c r="Z54" s="15">
        <v>14.159000000000001</v>
      </c>
      <c r="AA54" s="20">
        <v>5.0380000000000001E-2</v>
      </c>
      <c r="AB54" s="20">
        <v>4.4420000000000001E-2</v>
      </c>
      <c r="AC54" s="20">
        <v>3.7409999999999999E-2</v>
      </c>
      <c r="AD54" s="18">
        <v>89.487762695093863</v>
      </c>
      <c r="AE54" s="15"/>
    </row>
    <row r="55" spans="2:31" x14ac:dyDescent="0.25">
      <c r="B55" s="15" t="s">
        <v>48</v>
      </c>
      <c r="C55" s="16">
        <v>42685</v>
      </c>
      <c r="D55" s="24">
        <v>0.35488425925925932</v>
      </c>
      <c r="E55" s="15" t="s">
        <v>49</v>
      </c>
      <c r="F55" s="15">
        <v>109.8</v>
      </c>
      <c r="G55" s="15">
        <v>134.19999999999999</v>
      </c>
      <c r="H55" s="15" t="s">
        <v>50</v>
      </c>
      <c r="I55" s="41">
        <v>3000023</v>
      </c>
      <c r="J55" s="15">
        <v>321</v>
      </c>
      <c r="K55" s="15">
        <v>6.4320000000000004</v>
      </c>
      <c r="L55" s="15">
        <v>334</v>
      </c>
      <c r="M55" s="15">
        <v>334</v>
      </c>
      <c r="N55" s="15">
        <v>854</v>
      </c>
      <c r="O55" s="15">
        <v>991</v>
      </c>
      <c r="P55" s="19">
        <v>919.32299999999998</v>
      </c>
      <c r="Q55" s="18">
        <v>18.698</v>
      </c>
      <c r="R55" s="20">
        <v>7.4440000000000006E-2</v>
      </c>
      <c r="S55" s="20">
        <v>5.0520000000000002E-2</v>
      </c>
      <c r="T55" s="20">
        <v>5.3249999999999999E-2</v>
      </c>
      <c r="U55" s="15">
        <v>251</v>
      </c>
      <c r="V55" s="15">
        <v>251</v>
      </c>
      <c r="W55" s="15">
        <v>871</v>
      </c>
      <c r="X55" s="15">
        <v>982</v>
      </c>
      <c r="Y55" s="15">
        <v>922.18299999999999</v>
      </c>
      <c r="Z55" s="15">
        <v>15.066000000000001</v>
      </c>
      <c r="AA55" s="20">
        <v>5.9769999999999997E-2</v>
      </c>
      <c r="AB55" s="20">
        <v>3.7159999999999999E-2</v>
      </c>
      <c r="AC55" s="20">
        <v>4.8219999999999999E-2</v>
      </c>
      <c r="AD55" s="18">
        <v>89.511760747344667</v>
      </c>
      <c r="AE55" s="15"/>
    </row>
    <row r="56" spans="2:31" x14ac:dyDescent="0.25">
      <c r="B56" s="15" t="s">
        <v>48</v>
      </c>
      <c r="C56" s="16">
        <v>42699</v>
      </c>
      <c r="D56" s="24">
        <v>0.33993055555555557</v>
      </c>
      <c r="E56" s="15" t="s">
        <v>49</v>
      </c>
      <c r="F56" s="15">
        <v>109.8</v>
      </c>
      <c r="G56" s="15">
        <v>134.19999999999999</v>
      </c>
      <c r="H56" s="15" t="s">
        <v>50</v>
      </c>
      <c r="I56" s="41">
        <v>3000012</v>
      </c>
      <c r="J56" s="15">
        <v>333</v>
      </c>
      <c r="K56" s="15">
        <v>6.4320000000000004</v>
      </c>
      <c r="L56" s="15">
        <v>334</v>
      </c>
      <c r="M56" s="15">
        <v>334</v>
      </c>
      <c r="N56" s="15">
        <v>856</v>
      </c>
      <c r="O56" s="15">
        <v>986</v>
      </c>
      <c r="P56" s="19">
        <v>920.24199999999996</v>
      </c>
      <c r="Q56" s="18">
        <v>17.914000000000001</v>
      </c>
      <c r="R56" s="20">
        <v>7.0540000000000005E-2</v>
      </c>
      <c r="S56" s="20">
        <v>5.0040000000000001E-2</v>
      </c>
      <c r="T56" s="20">
        <v>4.8959999999999997E-2</v>
      </c>
      <c r="U56" s="15">
        <v>251</v>
      </c>
      <c r="V56" s="15">
        <v>251</v>
      </c>
      <c r="W56" s="15">
        <v>878</v>
      </c>
      <c r="X56" s="15">
        <v>973</v>
      </c>
      <c r="Y56" s="15">
        <v>922.95899999999995</v>
      </c>
      <c r="Z56" s="15">
        <v>14.228999999999999</v>
      </c>
      <c r="AA56" s="20">
        <v>5.1409999999999997E-2</v>
      </c>
      <c r="AB56" s="20">
        <v>3.1730000000000001E-2</v>
      </c>
      <c r="AC56" s="20">
        <v>3.4099999999999998E-2</v>
      </c>
      <c r="AD56" s="18">
        <v>89.422811928760808</v>
      </c>
      <c r="AE56" s="15"/>
    </row>
    <row r="57" spans="2:31" x14ac:dyDescent="0.25">
      <c r="B57" s="15" t="s">
        <v>48</v>
      </c>
      <c r="C57" s="16">
        <v>42703</v>
      </c>
      <c r="D57" s="24">
        <v>0.35578703703703707</v>
      </c>
      <c r="E57" s="15" t="s">
        <v>49</v>
      </c>
      <c r="F57" s="15">
        <v>109.8</v>
      </c>
      <c r="G57" s="15">
        <v>134.19999999999999</v>
      </c>
      <c r="H57" s="15" t="s">
        <v>50</v>
      </c>
      <c r="I57" s="41">
        <v>3000014</v>
      </c>
      <c r="J57" s="15">
        <v>336</v>
      </c>
      <c r="K57" s="15">
        <v>6.4320000000000004</v>
      </c>
      <c r="L57" s="15">
        <v>334</v>
      </c>
      <c r="M57" s="15">
        <v>334</v>
      </c>
      <c r="N57" s="15">
        <v>861</v>
      </c>
      <c r="O57" s="15">
        <v>982</v>
      </c>
      <c r="P57" s="19">
        <v>920.14099999999996</v>
      </c>
      <c r="Q57" s="18">
        <v>19.077000000000002</v>
      </c>
      <c r="R57" s="20">
        <v>6.5920000000000006E-2</v>
      </c>
      <c r="S57" s="20">
        <v>4.8309999999999999E-2</v>
      </c>
      <c r="T57" s="20">
        <v>4.7539999999999999E-2</v>
      </c>
      <c r="U57" s="15">
        <v>251</v>
      </c>
      <c r="V57" s="15">
        <v>251</v>
      </c>
      <c r="W57" s="15">
        <v>873</v>
      </c>
      <c r="X57" s="15">
        <v>977</v>
      </c>
      <c r="Y57" s="15">
        <v>922.77300000000002</v>
      </c>
      <c r="Z57" s="15">
        <v>15.333</v>
      </c>
      <c r="AA57" s="20">
        <v>5.6120000000000003E-2</v>
      </c>
      <c r="AB57" s="20">
        <v>4.8309999999999999E-2</v>
      </c>
      <c r="AC57" s="20">
        <v>4.2439999999999999E-2</v>
      </c>
      <c r="AD57" s="18">
        <v>89.533325429887654</v>
      </c>
      <c r="AE57" s="15"/>
    </row>
    <row r="58" spans="2:31" x14ac:dyDescent="0.25">
      <c r="B58" s="15" t="s">
        <v>48</v>
      </c>
      <c r="C58" s="16">
        <v>42706</v>
      </c>
      <c r="D58" s="24">
        <v>0.34126157407407409</v>
      </c>
      <c r="E58" s="15" t="s">
        <v>49</v>
      </c>
      <c r="F58" s="15">
        <v>109.8</v>
      </c>
      <c r="G58" s="15">
        <v>134.19999999999999</v>
      </c>
      <c r="H58" s="15" t="s">
        <v>50</v>
      </c>
      <c r="I58" s="41">
        <v>3000024</v>
      </c>
      <c r="J58" s="15">
        <v>339</v>
      </c>
      <c r="K58" s="15">
        <v>6.4320000000000004</v>
      </c>
      <c r="L58" s="15">
        <v>334</v>
      </c>
      <c r="M58" s="15">
        <v>334</v>
      </c>
      <c r="N58" s="15">
        <v>853</v>
      </c>
      <c r="O58" s="15">
        <v>978</v>
      </c>
      <c r="P58" s="19">
        <v>920.03700000000003</v>
      </c>
      <c r="Q58" s="18">
        <v>18.817</v>
      </c>
      <c r="R58" s="20">
        <v>6.8129999999999996E-2</v>
      </c>
      <c r="S58" s="20">
        <v>5.067E-2</v>
      </c>
      <c r="T58" s="20">
        <v>5.1549999999999999E-2</v>
      </c>
      <c r="U58" s="15">
        <v>251</v>
      </c>
      <c r="V58" s="15">
        <v>251</v>
      </c>
      <c r="W58" s="15">
        <v>886</v>
      </c>
      <c r="X58" s="15">
        <v>970</v>
      </c>
      <c r="Y58" s="15">
        <v>922.577</v>
      </c>
      <c r="Z58" s="15">
        <v>14.302</v>
      </c>
      <c r="AA58" s="20">
        <v>4.5289999999999997E-2</v>
      </c>
      <c r="AB58" s="20">
        <v>3.5700000000000003E-2</v>
      </c>
      <c r="AC58" s="20">
        <v>3.6269999999999997E-2</v>
      </c>
      <c r="AD58" s="18">
        <v>89.422972604698231</v>
      </c>
      <c r="AE58" s="15"/>
    </row>
    <row r="59" spans="2:31" x14ac:dyDescent="0.25">
      <c r="B59" s="15" t="s">
        <v>48</v>
      </c>
      <c r="C59" s="16">
        <v>42712</v>
      </c>
      <c r="D59" s="24">
        <v>0.34320601851851856</v>
      </c>
      <c r="E59" s="15" t="s">
        <v>49</v>
      </c>
      <c r="F59" s="15">
        <v>109.8</v>
      </c>
      <c r="G59" s="15">
        <v>134.19999999999999</v>
      </c>
      <c r="H59" s="15" t="s">
        <v>50</v>
      </c>
      <c r="I59" s="41">
        <v>3000026</v>
      </c>
      <c r="J59" s="15">
        <v>344</v>
      </c>
      <c r="K59" s="15">
        <v>6.4320000000000004</v>
      </c>
      <c r="L59" s="15">
        <v>334</v>
      </c>
      <c r="M59" s="15">
        <v>334</v>
      </c>
      <c r="N59" s="15">
        <v>851</v>
      </c>
      <c r="O59" s="15">
        <v>983</v>
      </c>
      <c r="P59" s="19">
        <v>919.36</v>
      </c>
      <c r="Q59" s="18">
        <v>18.071000000000002</v>
      </c>
      <c r="R59" s="20">
        <v>7.2040000000000007E-2</v>
      </c>
      <c r="S59" s="20">
        <v>4.6350000000000002E-2</v>
      </c>
      <c r="T59" s="20">
        <v>4.9950000000000001E-2</v>
      </c>
      <c r="U59" s="15">
        <v>251</v>
      </c>
      <c r="V59" s="15">
        <v>251</v>
      </c>
      <c r="W59" s="15">
        <v>884</v>
      </c>
      <c r="X59" s="15">
        <v>964</v>
      </c>
      <c r="Y59" s="15">
        <v>921.78</v>
      </c>
      <c r="Z59" s="15">
        <v>13.885</v>
      </c>
      <c r="AA59" s="20">
        <v>4.3229999999999998E-2</v>
      </c>
      <c r="AB59" s="20">
        <v>3.5529999999999999E-2</v>
      </c>
      <c r="AC59" s="20">
        <v>3.2289999999999999E-2</v>
      </c>
      <c r="AD59" s="18">
        <v>89.482347471153091</v>
      </c>
      <c r="AE59" s="15"/>
    </row>
  </sheetData>
  <sheetProtection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5:AD6"/>
  <sheetViews>
    <sheetView showGridLines="0" zoomScale="70" zoomScaleNormal="70" workbookViewId="0">
      <selection activeCell="R29" sqref="R29"/>
    </sheetView>
  </sheetViews>
  <sheetFormatPr defaultRowHeight="15" x14ac:dyDescent="0.25"/>
  <cols>
    <col min="2" max="2" width="15.7109375" customWidth="1"/>
    <col min="3" max="3" width="14" customWidth="1"/>
    <col min="4" max="4" width="15.140625" customWidth="1"/>
    <col min="5" max="5" width="15.7109375" customWidth="1"/>
    <col min="6" max="6" width="9.5703125" customWidth="1"/>
    <col min="7" max="7" width="13" customWidth="1"/>
    <col min="8" max="8" width="17" customWidth="1"/>
    <col min="9" max="9" width="17.42578125" customWidth="1"/>
    <col min="10" max="10" width="13.42578125" customWidth="1"/>
    <col min="11" max="11" width="18.140625" customWidth="1"/>
    <col min="12" max="12" width="18.42578125" customWidth="1"/>
    <col min="13" max="13" width="17.28515625" customWidth="1"/>
    <col min="14" max="14" width="13.7109375" customWidth="1"/>
    <col min="15" max="15" width="13.5703125" customWidth="1"/>
    <col min="16" max="20" width="15.7109375" customWidth="1"/>
    <col min="21" max="21" width="18.140625" customWidth="1"/>
    <col min="22" max="22" width="17" customWidth="1"/>
    <col min="23" max="29" width="15.7109375" customWidth="1"/>
    <col min="30" max="30" width="23" customWidth="1"/>
  </cols>
  <sheetData>
    <row r="5" spans="2:30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22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37</v>
      </c>
    </row>
    <row r="6" spans="2:30" x14ac:dyDescent="0.25">
      <c r="C6" s="17"/>
      <c r="D6" s="14"/>
      <c r="P6" s="22"/>
      <c r="Q6" s="22"/>
      <c r="R6" s="21"/>
      <c r="S6" s="21"/>
      <c r="T6" s="21"/>
      <c r="AA6" s="21"/>
      <c r="AB6" s="21"/>
      <c r="AC6" s="21"/>
      <c r="AD6" s="23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H25"/>
  <sheetViews>
    <sheetView showGridLines="0" tabSelected="1" zoomScale="130" zoomScaleNormal="130" workbookViewId="0">
      <selection activeCell="B11" sqref="B11"/>
    </sheetView>
  </sheetViews>
  <sheetFormatPr defaultRowHeight="15" x14ac:dyDescent="0.25"/>
  <cols>
    <col min="2" max="2" width="2.5703125" customWidth="1"/>
    <col min="3" max="3" width="17.28515625" customWidth="1"/>
    <col min="4" max="4" width="18.7109375" customWidth="1"/>
    <col min="7" max="7" width="10.85546875" customWidth="1"/>
  </cols>
  <sheetData>
    <row r="1" spans="2:4" ht="12.75" customHeight="1" thickBot="1" x14ac:dyDescent="0.3"/>
    <row r="2" spans="2:4" ht="6.75" customHeight="1" x14ac:dyDescent="0.25">
      <c r="B2" s="2"/>
      <c r="C2" s="3"/>
      <c r="D2" s="4"/>
    </row>
    <row r="3" spans="2:4" x14ac:dyDescent="0.25">
      <c r="B3" s="5"/>
      <c r="C3" s="6" t="s">
        <v>41</v>
      </c>
      <c r="D3" s="27" t="s">
        <v>52</v>
      </c>
    </row>
    <row r="4" spans="2:4" x14ac:dyDescent="0.25">
      <c r="B4" s="5"/>
      <c r="C4" s="6" t="s">
        <v>39</v>
      </c>
      <c r="D4" s="27" t="s">
        <v>40</v>
      </c>
    </row>
    <row r="5" spans="2:4" x14ac:dyDescent="0.25">
      <c r="B5" s="5"/>
      <c r="C5" s="6" t="s">
        <v>42</v>
      </c>
      <c r="D5" s="27">
        <v>271.74</v>
      </c>
    </row>
    <row r="6" spans="2:4" x14ac:dyDescent="0.25">
      <c r="B6" s="5"/>
      <c r="C6" s="6" t="s">
        <v>43</v>
      </c>
      <c r="D6" s="27">
        <v>370</v>
      </c>
    </row>
    <row r="7" spans="2:4" x14ac:dyDescent="0.25">
      <c r="B7" s="5"/>
      <c r="C7" s="6" t="s">
        <v>38</v>
      </c>
      <c r="D7" s="28">
        <v>42189</v>
      </c>
    </row>
    <row r="8" spans="2:4" ht="6" customHeight="1" thickBot="1" x14ac:dyDescent="0.3">
      <c r="B8" s="8"/>
      <c r="C8" s="9"/>
      <c r="D8" s="10"/>
    </row>
    <row r="10" spans="2:4" x14ac:dyDescent="0.25">
      <c r="B10" s="13" t="s">
        <v>53</v>
      </c>
      <c r="C10" s="13"/>
    </row>
    <row r="11" spans="2:4" x14ac:dyDescent="0.25">
      <c r="B11" t="s">
        <v>60</v>
      </c>
    </row>
    <row r="13" spans="2:4" x14ac:dyDescent="0.25">
      <c r="B13" s="13" t="s">
        <v>54</v>
      </c>
      <c r="C13" s="13"/>
    </row>
    <row r="14" spans="2:4" x14ac:dyDescent="0.25">
      <c r="B14" s="26" t="s">
        <v>48</v>
      </c>
    </row>
    <row r="16" spans="2:4" x14ac:dyDescent="0.25">
      <c r="B16" s="13" t="s">
        <v>56</v>
      </c>
      <c r="C16" s="13"/>
      <c r="D16" s="13"/>
    </row>
    <row r="18" spans="2:8" x14ac:dyDescent="0.25">
      <c r="B18" t="s">
        <v>16</v>
      </c>
      <c r="D18" s="43">
        <v>0.1</v>
      </c>
      <c r="G18" s="17">
        <f>'Detektor 1'!$C$6</f>
        <v>42376</v>
      </c>
      <c r="H18" s="42">
        <f>$D$18</f>
        <v>0.1</v>
      </c>
    </row>
    <row r="19" spans="2:8" x14ac:dyDescent="0.25">
      <c r="B19" t="s">
        <v>25</v>
      </c>
      <c r="D19" s="26">
        <v>0.08</v>
      </c>
      <c r="G19" s="17">
        <f ca="1">TODAY()</f>
        <v>42712</v>
      </c>
      <c r="H19" s="42">
        <f>$D$18</f>
        <v>0.1</v>
      </c>
    </row>
    <row r="20" spans="2:8" x14ac:dyDescent="0.25">
      <c r="B20" t="s">
        <v>37</v>
      </c>
      <c r="D20" s="26">
        <v>87</v>
      </c>
    </row>
    <row r="21" spans="2:8" x14ac:dyDescent="0.25">
      <c r="G21" s="17">
        <f>'Detektor 1'!$C$6</f>
        <v>42376</v>
      </c>
      <c r="H21">
        <f>$D$19</f>
        <v>0.08</v>
      </c>
    </row>
    <row r="22" spans="2:8" x14ac:dyDescent="0.25">
      <c r="G22" s="17">
        <f ca="1">TODAY()</f>
        <v>42712</v>
      </c>
      <c r="H22">
        <f>$D$19</f>
        <v>0.08</v>
      </c>
    </row>
    <row r="24" spans="2:8" x14ac:dyDescent="0.25">
      <c r="G24" s="17">
        <f>'Detektor 1'!$C$6</f>
        <v>42376</v>
      </c>
      <c r="H24">
        <f>$D$20</f>
        <v>87</v>
      </c>
    </row>
    <row r="25" spans="2:8" x14ac:dyDescent="0.25">
      <c r="G25" s="17">
        <f ca="1">TODAY()</f>
        <v>42712</v>
      </c>
      <c r="H25">
        <f>$D$20</f>
        <v>87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4</vt:i4>
      </vt:variant>
    </vt:vector>
  </HeadingPairs>
  <TitlesOfParts>
    <vt:vector size="4" baseType="lpstr">
      <vt:lpstr>Senaste kontroll</vt:lpstr>
      <vt:lpstr>Detektor 1</vt:lpstr>
      <vt:lpstr>Detektor 2</vt:lpstr>
      <vt:lpstr>Övrigt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Medicinsk Fysik</cp:lastModifiedBy>
  <dcterms:created xsi:type="dcterms:W3CDTF">2006-09-16T00:00:00Z</dcterms:created>
  <dcterms:modified xsi:type="dcterms:W3CDTF">2016-12-08T07:07:44Z</dcterms:modified>
</cp:coreProperties>
</file>